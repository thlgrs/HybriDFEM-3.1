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ouvain-my.sharepoint.com/personal/theo_legros_student_uclouvain_be/Documents/University/HybriDFEM/Code/HybriDFEM-3/Examples/convergence/"/>
    </mc:Choice>
  </mc:AlternateContent>
  <xr:revisionPtr revIDLastSave="377" documentId="8_{7D07D9E4-E57F-4B22-A16B-6112799D0B50}" xr6:coauthVersionLast="47" xr6:coauthVersionMax="47" xr10:uidLastSave="{27C9C4FD-9A81-426F-BDE8-8847F618358C}"/>
  <bookViews>
    <workbookView xWindow="2835" yWindow="-13560" windowWidth="23730" windowHeight="11775" activeTab="4" xr2:uid="{0FA32738-94AB-44DE-A2FD-6AA4852C768F}"/>
  </bookViews>
  <sheets>
    <sheet name="Constraint" sheetId="1" r:id="rId1"/>
    <sheet name="Penalty" sheetId="2" r:id="rId2"/>
    <sheet name="Lagrange" sheetId="3" r:id="rId3"/>
    <sheet name="Mortar" sheetId="4" r:id="rId4"/>
    <sheet name="FEM" sheetId="5" r:id="rId5"/>
    <sheet name="Midspan" sheetId="14" r:id="rId6"/>
    <sheet name="Block" sheetId="6" r:id="rId7"/>
    <sheet name="Constraint-Penalty" sheetId="13" r:id="rId8"/>
    <sheet name="Constraint-Lagrange" sheetId="10" r:id="rId9"/>
    <sheet name="Constraint-Mortar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5" l="1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" i="14"/>
  <c r="Q3" i="14"/>
  <c r="Q4" i="14"/>
  <c r="Q5" i="14"/>
  <c r="Q6" i="14"/>
  <c r="Q7" i="14"/>
  <c r="Q8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21" i="14"/>
  <c r="Q22" i="14"/>
  <c r="Q23" i="14"/>
  <c r="Q24" i="14"/>
  <c r="Q25" i="14"/>
  <c r="Q26" i="14"/>
  <c r="Q27" i="14"/>
  <c r="Q28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44" i="14"/>
  <c r="Q45" i="14"/>
  <c r="Q46" i="14"/>
  <c r="Q47" i="14"/>
  <c r="Q48" i="14"/>
  <c r="Q49" i="14"/>
  <c r="Q50" i="14"/>
  <c r="Q51" i="14"/>
  <c r="Q52" i="14"/>
  <c r="Q53" i="14"/>
  <c r="Q54" i="14"/>
  <c r="Q55" i="14"/>
  <c r="Q56" i="14"/>
  <c r="Q57" i="14"/>
  <c r="Q58" i="14"/>
  <c r="Q59" i="14"/>
  <c r="Q60" i="14"/>
  <c r="Q61" i="14"/>
  <c r="Q62" i="14"/>
  <c r="Q63" i="14"/>
  <c r="Q64" i="14"/>
  <c r="Q65" i="14"/>
  <c r="Q66" i="14"/>
  <c r="Q67" i="14"/>
  <c r="Q68" i="14"/>
  <c r="Q69" i="14"/>
  <c r="Q70" i="14"/>
  <c r="Q71" i="14"/>
  <c r="Q72" i="14"/>
  <c r="Q73" i="14"/>
  <c r="Q74" i="14"/>
  <c r="Q75" i="14"/>
  <c r="Q76" i="14"/>
  <c r="Q77" i="14"/>
  <c r="Q78" i="14"/>
  <c r="Q79" i="14"/>
  <c r="Q80" i="14"/>
  <c r="Q81" i="14"/>
  <c r="Q82" i="14"/>
  <c r="Q83" i="14"/>
  <c r="Q84" i="14"/>
  <c r="Q85" i="14"/>
  <c r="Q86" i="14"/>
  <c r="Q87" i="14"/>
  <c r="Q88" i="14"/>
  <c r="Q89" i="14"/>
  <c r="Q90" i="14"/>
  <c r="Q91" i="14"/>
  <c r="Q92" i="14"/>
  <c r="Q93" i="14"/>
  <c r="Q94" i="14"/>
  <c r="Q95" i="14"/>
  <c r="Q96" i="14"/>
  <c r="Q97" i="14"/>
  <c r="Q98" i="14"/>
  <c r="Q99" i="14"/>
  <c r="Q100" i="14"/>
  <c r="Q101" i="14"/>
  <c r="Q102" i="14"/>
  <c r="Q103" i="14"/>
  <c r="Q104" i="14"/>
  <c r="Q105" i="14"/>
  <c r="Q106" i="14"/>
  <c r="Q107" i="14"/>
  <c r="Q108" i="14"/>
  <c r="Q109" i="14"/>
  <c r="Q110" i="14"/>
  <c r="Q111" i="14"/>
  <c r="Q112" i="14"/>
  <c r="Q113" i="14"/>
  <c r="Q114" i="14"/>
  <c r="Q115" i="14"/>
  <c r="Q116" i="14"/>
  <c r="Q117" i="14"/>
  <c r="Q118" i="14"/>
  <c r="Q119" i="14"/>
  <c r="Q120" i="14"/>
  <c r="Q121" i="14"/>
  <c r="Q122" i="14"/>
  <c r="Q123" i="14"/>
  <c r="Q124" i="14"/>
  <c r="Q125" i="14"/>
  <c r="Q126" i="14"/>
  <c r="Q127" i="14"/>
  <c r="Q128" i="14"/>
  <c r="Q129" i="14"/>
  <c r="Q130" i="14"/>
  <c r="Q131" i="14"/>
  <c r="Q132" i="14"/>
  <c r="Q133" i="14"/>
  <c r="Q134" i="14"/>
  <c r="Q135" i="14"/>
  <c r="Q136" i="14"/>
  <c r="Q137" i="14"/>
  <c r="Q138" i="14"/>
  <c r="Q139" i="14"/>
  <c r="Q140" i="14"/>
  <c r="Q141" i="14"/>
  <c r="Q142" i="14"/>
  <c r="Q143" i="14"/>
  <c r="Q144" i="14"/>
  <c r="Q145" i="14"/>
  <c r="Q146" i="14"/>
  <c r="Q147" i="14"/>
  <c r="Q148" i="14"/>
  <c r="Q149" i="14"/>
  <c r="Q150" i="14"/>
  <c r="Q151" i="14"/>
  <c r="Q152" i="14"/>
  <c r="Q153" i="14"/>
  <c r="Q154" i="14"/>
  <c r="Q155" i="14"/>
  <c r="Q156" i="14"/>
  <c r="Q157" i="14"/>
  <c r="Q158" i="14"/>
  <c r="Q159" i="14"/>
  <c r="Q160" i="14"/>
  <c r="Q161" i="14"/>
  <c r="Q162" i="14"/>
  <c r="Q163" i="14"/>
  <c r="Q164" i="14"/>
  <c r="Q165" i="14"/>
  <c r="Q166" i="14"/>
  <c r="Q167" i="14"/>
  <c r="Q168" i="14"/>
  <c r="Q169" i="14"/>
  <c r="Q170" i="14"/>
  <c r="Q171" i="14"/>
  <c r="Q172" i="14"/>
  <c r="Q173" i="14"/>
  <c r="Q174" i="14"/>
  <c r="Q175" i="14"/>
  <c r="Q176" i="14"/>
  <c r="Q177" i="14"/>
  <c r="Q178" i="14"/>
  <c r="Q179" i="14"/>
  <c r="Q180" i="14"/>
  <c r="Q181" i="14"/>
  <c r="Q182" i="14"/>
  <c r="Q183" i="14"/>
  <c r="Q184" i="14"/>
  <c r="Q185" i="14"/>
  <c r="Q186" i="14"/>
  <c r="Q187" i="14"/>
  <c r="Q188" i="14"/>
  <c r="Q189" i="14"/>
  <c r="Q190" i="14"/>
  <c r="Q191" i="14"/>
  <c r="Q192" i="14"/>
  <c r="Q193" i="14"/>
  <c r="Q194" i="14"/>
  <c r="Q195" i="14"/>
  <c r="Q196" i="14"/>
  <c r="Q197" i="14"/>
  <c r="Q198" i="14"/>
  <c r="Q199" i="14"/>
  <c r="Q200" i="14"/>
  <c r="Q201" i="14"/>
  <c r="Q202" i="14"/>
  <c r="Q203" i="14"/>
  <c r="Q204" i="14"/>
  <c r="Q205" i="14"/>
  <c r="Q206" i="14"/>
  <c r="Q207" i="14"/>
  <c r="Q208" i="14"/>
  <c r="Q209" i="14"/>
  <c r="Q210" i="14"/>
  <c r="Q211" i="14"/>
  <c r="Q212" i="14"/>
  <c r="Q213" i="14"/>
  <c r="Q214" i="14"/>
  <c r="Q215" i="14"/>
  <c r="Q216" i="14"/>
  <c r="Q217" i="14"/>
  <c r="Q218" i="14"/>
  <c r="Q219" i="14"/>
  <c r="Q220" i="14"/>
  <c r="Q221" i="14"/>
  <c r="Q222" i="14"/>
  <c r="Q223" i="14"/>
  <c r="Q224" i="14"/>
  <c r="Q225" i="14"/>
  <c r="Q226" i="14"/>
  <c r="Q227" i="14"/>
  <c r="Q228" i="14"/>
  <c r="Q229" i="14"/>
  <c r="Q230" i="14"/>
  <c r="Q231" i="14"/>
  <c r="Q232" i="14"/>
  <c r="Q233" i="14"/>
  <c r="Q234" i="14"/>
  <c r="Q235" i="14"/>
  <c r="Q236" i="14"/>
  <c r="Q237" i="14"/>
  <c r="Q238" i="14"/>
  <c r="Q239" i="14"/>
  <c r="Q240" i="14"/>
  <c r="Q241" i="14"/>
  <c r="Q242" i="14"/>
  <c r="Q243" i="14"/>
  <c r="Q244" i="14"/>
  <c r="Q245" i="14"/>
  <c r="Q246" i="14"/>
  <c r="Q247" i="14"/>
  <c r="Q248" i="14"/>
  <c r="Q249" i="14"/>
  <c r="Q250" i="14"/>
  <c r="Q251" i="14"/>
  <c r="Q252" i="14"/>
  <c r="Q253" i="14"/>
  <c r="Q254" i="14"/>
  <c r="Q255" i="14"/>
  <c r="Q256" i="14"/>
  <c r="Q257" i="14"/>
  <c r="Q258" i="14"/>
  <c r="Q259" i="14"/>
  <c r="Q260" i="14"/>
  <c r="Q261" i="14"/>
  <c r="Q262" i="14"/>
  <c r="Q263" i="14"/>
  <c r="Q264" i="14"/>
  <c r="Q265" i="14"/>
  <c r="Q266" i="14"/>
  <c r="Q267" i="14"/>
  <c r="Q268" i="14"/>
  <c r="Q269" i="14"/>
  <c r="Q270" i="14"/>
  <c r="Q271" i="14"/>
  <c r="Q272" i="14"/>
  <c r="Q273" i="14"/>
  <c r="Q274" i="14"/>
  <c r="Q275" i="14"/>
  <c r="Q276" i="14"/>
  <c r="P2" i="14"/>
  <c r="P3" i="14"/>
  <c r="P4" i="14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43" i="14"/>
  <c r="P44" i="14"/>
  <c r="P45" i="14"/>
  <c r="P46" i="14"/>
  <c r="P47" i="14"/>
  <c r="P48" i="14"/>
  <c r="P49" i="14"/>
  <c r="P50" i="14"/>
  <c r="P51" i="14"/>
  <c r="P52" i="14"/>
  <c r="P53" i="14"/>
  <c r="P54" i="14"/>
  <c r="P55" i="14"/>
  <c r="P56" i="14"/>
  <c r="P57" i="14"/>
  <c r="P58" i="14"/>
  <c r="P59" i="14"/>
  <c r="P60" i="14"/>
  <c r="P61" i="14"/>
  <c r="P62" i="14"/>
  <c r="P63" i="14"/>
  <c r="P64" i="14"/>
  <c r="P65" i="14"/>
  <c r="P66" i="14"/>
  <c r="P67" i="14"/>
  <c r="P68" i="14"/>
  <c r="P69" i="14"/>
  <c r="P70" i="14"/>
  <c r="P71" i="14"/>
  <c r="P72" i="14"/>
  <c r="P73" i="14"/>
  <c r="P74" i="14"/>
  <c r="P75" i="14"/>
  <c r="P76" i="14"/>
  <c r="P77" i="14"/>
  <c r="P78" i="14"/>
  <c r="P79" i="14"/>
  <c r="P80" i="14"/>
  <c r="P81" i="14"/>
  <c r="P82" i="14"/>
  <c r="P83" i="14"/>
  <c r="P84" i="14"/>
  <c r="P85" i="14"/>
  <c r="P86" i="14"/>
  <c r="P87" i="14"/>
  <c r="P88" i="14"/>
  <c r="P89" i="14"/>
  <c r="P90" i="14"/>
  <c r="P91" i="14"/>
  <c r="P92" i="14"/>
  <c r="P93" i="14"/>
  <c r="P94" i="14"/>
  <c r="P95" i="14"/>
  <c r="P96" i="14"/>
  <c r="P97" i="14"/>
  <c r="P98" i="14"/>
  <c r="P99" i="14"/>
  <c r="P100" i="14"/>
  <c r="P101" i="14"/>
  <c r="P102" i="14"/>
  <c r="P103" i="14"/>
  <c r="P104" i="14"/>
  <c r="P105" i="14"/>
  <c r="P106" i="14"/>
  <c r="P107" i="14"/>
  <c r="P108" i="14"/>
  <c r="P109" i="14"/>
  <c r="P110" i="14"/>
  <c r="P111" i="14"/>
  <c r="P112" i="14"/>
  <c r="P113" i="14"/>
  <c r="P114" i="14"/>
  <c r="P115" i="14"/>
  <c r="P116" i="14"/>
  <c r="P117" i="14"/>
  <c r="P118" i="14"/>
  <c r="P119" i="14"/>
  <c r="P120" i="14"/>
  <c r="P121" i="14"/>
  <c r="P122" i="14"/>
  <c r="P123" i="14"/>
  <c r="P124" i="14"/>
  <c r="P125" i="14"/>
  <c r="P126" i="14"/>
  <c r="P127" i="14"/>
  <c r="P128" i="14"/>
  <c r="P129" i="14"/>
  <c r="P130" i="14"/>
  <c r="P131" i="14"/>
  <c r="P132" i="14"/>
  <c r="P133" i="14"/>
  <c r="P134" i="14"/>
  <c r="P135" i="14"/>
  <c r="P136" i="14"/>
  <c r="P137" i="14"/>
  <c r="P138" i="14"/>
  <c r="P139" i="14"/>
  <c r="P140" i="14"/>
  <c r="P141" i="14"/>
  <c r="P142" i="14"/>
  <c r="P143" i="14"/>
  <c r="P144" i="14"/>
  <c r="P145" i="14"/>
  <c r="P146" i="14"/>
  <c r="P147" i="14"/>
  <c r="P148" i="14"/>
  <c r="P149" i="14"/>
  <c r="P150" i="14"/>
  <c r="P151" i="14"/>
  <c r="P152" i="14"/>
  <c r="P153" i="14"/>
  <c r="P154" i="14"/>
  <c r="P155" i="14"/>
  <c r="P156" i="14"/>
  <c r="P157" i="14"/>
  <c r="P158" i="14"/>
  <c r="P159" i="14"/>
  <c r="P160" i="14"/>
  <c r="P161" i="14"/>
  <c r="P162" i="14"/>
  <c r="P163" i="14"/>
  <c r="P164" i="14"/>
  <c r="P165" i="14"/>
  <c r="P166" i="14"/>
  <c r="P167" i="14"/>
  <c r="P168" i="14"/>
  <c r="P169" i="14"/>
  <c r="P170" i="14"/>
  <c r="P171" i="14"/>
  <c r="P172" i="14"/>
  <c r="P173" i="14"/>
  <c r="P174" i="14"/>
  <c r="P175" i="14"/>
  <c r="P176" i="14"/>
  <c r="P177" i="14"/>
  <c r="P178" i="14"/>
  <c r="P179" i="14"/>
  <c r="P180" i="14"/>
  <c r="P181" i="14"/>
  <c r="P182" i="14"/>
  <c r="P183" i="14"/>
  <c r="P184" i="14"/>
  <c r="P185" i="14"/>
  <c r="P186" i="14"/>
  <c r="P187" i="14"/>
  <c r="P188" i="14"/>
  <c r="P189" i="14"/>
  <c r="P190" i="14"/>
  <c r="P191" i="14"/>
  <c r="P192" i="14"/>
  <c r="P193" i="14"/>
  <c r="P194" i="14"/>
  <c r="P195" i="14"/>
  <c r="P196" i="14"/>
  <c r="P197" i="14"/>
  <c r="P198" i="14"/>
  <c r="P199" i="14"/>
  <c r="P200" i="14"/>
  <c r="P201" i="14"/>
  <c r="P202" i="14"/>
  <c r="P203" i="14"/>
  <c r="P204" i="14"/>
  <c r="P205" i="14"/>
  <c r="P206" i="14"/>
  <c r="P207" i="14"/>
  <c r="P208" i="14"/>
  <c r="P209" i="14"/>
  <c r="P210" i="14"/>
  <c r="P211" i="14"/>
  <c r="P212" i="14"/>
  <c r="P213" i="14"/>
  <c r="P214" i="14"/>
  <c r="P215" i="14"/>
  <c r="P216" i="14"/>
  <c r="P217" i="14"/>
  <c r="P218" i="14"/>
  <c r="P219" i="14"/>
  <c r="P220" i="14"/>
  <c r="P221" i="14"/>
  <c r="P222" i="14"/>
  <c r="P223" i="14"/>
  <c r="P224" i="14"/>
  <c r="P225" i="14"/>
  <c r="P226" i="14"/>
  <c r="P227" i="14"/>
  <c r="P228" i="14"/>
  <c r="P229" i="14"/>
  <c r="P230" i="14"/>
  <c r="P231" i="14"/>
  <c r="P232" i="14"/>
  <c r="P233" i="14"/>
  <c r="P234" i="14"/>
  <c r="P235" i="14"/>
  <c r="P236" i="14"/>
  <c r="P237" i="14"/>
  <c r="P238" i="14"/>
  <c r="P239" i="14"/>
  <c r="P240" i="14"/>
  <c r="P241" i="14"/>
  <c r="P242" i="14"/>
  <c r="P243" i="14"/>
  <c r="P244" i="14"/>
  <c r="P245" i="14"/>
  <c r="P246" i="14"/>
  <c r="P247" i="14"/>
  <c r="P248" i="14"/>
  <c r="P249" i="14"/>
  <c r="P250" i="14"/>
  <c r="P251" i="14"/>
  <c r="P252" i="14"/>
  <c r="P253" i="14"/>
  <c r="P254" i="14"/>
  <c r="P255" i="14"/>
  <c r="P256" i="14"/>
  <c r="P257" i="14"/>
  <c r="P258" i="14"/>
  <c r="P259" i="14"/>
  <c r="P260" i="14"/>
  <c r="P261" i="14"/>
  <c r="P262" i="14"/>
  <c r="P263" i="14"/>
  <c r="P264" i="14"/>
  <c r="P265" i="14"/>
  <c r="P266" i="14"/>
  <c r="P267" i="14"/>
  <c r="P268" i="14"/>
  <c r="P269" i="14"/>
  <c r="P270" i="14"/>
  <c r="P271" i="14"/>
  <c r="P272" i="14"/>
  <c r="P273" i="14"/>
  <c r="P274" i="14"/>
  <c r="P275" i="14"/>
  <c r="P276" i="14"/>
  <c r="O2" i="14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N2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M2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M212" i="14"/>
  <c r="M213" i="14"/>
  <c r="M214" i="14"/>
  <c r="M215" i="14"/>
  <c r="M216" i="14"/>
  <c r="M217" i="14"/>
  <c r="M218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47" i="14"/>
  <c r="M248" i="14"/>
  <c r="M249" i="14"/>
  <c r="M250" i="14"/>
  <c r="M251" i="14"/>
  <c r="M252" i="14"/>
  <c r="M253" i="14"/>
  <c r="M254" i="14"/>
  <c r="M255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Q2" i="11" a="1"/>
  <c r="Q2" i="11" s="1"/>
  <c r="R2" i="11" a="1"/>
  <c r="R2" i="11" s="1"/>
  <c r="S2" i="11" a="1"/>
  <c r="S2" i="11" s="1"/>
  <c r="P2" i="11" a="1"/>
  <c r="P2" i="11" s="1"/>
  <c r="Q2" i="10" a="1"/>
  <c r="Q2" i="10" s="1"/>
  <c r="R2" i="10" a="1"/>
  <c r="R2" i="10" s="1"/>
  <c r="S2" i="10" a="1"/>
  <c r="S2" i="10" s="1"/>
  <c r="P2" i="10" a="1"/>
  <c r="P2" i="10" s="1"/>
  <c r="S2" i="13" a="1"/>
  <c r="S2" i="13" s="1"/>
  <c r="R2" i="13" a="1"/>
  <c r="R2" i="13" s="1"/>
  <c r="Q2" i="13" a="1"/>
  <c r="Q2" i="13" s="1"/>
  <c r="P2" i="13" a="1"/>
  <c r="P2" i="13" s="1"/>
  <c r="T154" i="13"/>
  <c r="T153" i="13"/>
  <c r="T152" i="13"/>
  <c r="T151" i="13"/>
  <c r="T150" i="13"/>
  <c r="T149" i="13"/>
  <c r="T148" i="13"/>
  <c r="T147" i="13"/>
  <c r="T146" i="13"/>
  <c r="T145" i="13"/>
  <c r="T144" i="13"/>
  <c r="T143" i="13"/>
  <c r="T142" i="13"/>
  <c r="T141" i="13"/>
  <c r="T140" i="13"/>
  <c r="T139" i="13"/>
  <c r="T138" i="13"/>
  <c r="T137" i="13"/>
  <c r="T136" i="13"/>
  <c r="T135" i="13"/>
  <c r="T134" i="13"/>
  <c r="T133" i="13"/>
  <c r="T132" i="13"/>
  <c r="T131" i="13"/>
  <c r="T130" i="13"/>
  <c r="T129" i="13"/>
  <c r="T128" i="13"/>
  <c r="T127" i="13"/>
  <c r="T126" i="13"/>
  <c r="T125" i="13"/>
  <c r="T124" i="13"/>
  <c r="T123" i="13"/>
  <c r="T122" i="13"/>
  <c r="T121" i="13"/>
  <c r="T120" i="13"/>
  <c r="T119" i="13"/>
  <c r="T118" i="13"/>
  <c r="T117" i="13"/>
  <c r="T116" i="13"/>
  <c r="T115" i="13"/>
  <c r="T114" i="13"/>
  <c r="T113" i="13"/>
  <c r="T112" i="13"/>
  <c r="T111" i="13"/>
  <c r="T110" i="13"/>
  <c r="T109" i="13"/>
  <c r="T108" i="13"/>
  <c r="T107" i="13"/>
  <c r="T106" i="13"/>
  <c r="T105" i="13"/>
  <c r="T104" i="13"/>
  <c r="T103" i="13"/>
  <c r="T102" i="13"/>
  <c r="T101" i="13"/>
  <c r="T100" i="13"/>
  <c r="T99" i="13"/>
  <c r="T98" i="13"/>
  <c r="T97" i="13"/>
  <c r="T96" i="13"/>
  <c r="T95" i="13"/>
  <c r="T94" i="13"/>
  <c r="T93" i="13"/>
  <c r="T92" i="13"/>
  <c r="T91" i="13"/>
  <c r="T90" i="13"/>
  <c r="T89" i="13"/>
  <c r="T88" i="13"/>
  <c r="T87" i="13"/>
  <c r="T86" i="13"/>
  <c r="T85" i="13"/>
  <c r="T84" i="13"/>
  <c r="T83" i="13"/>
  <c r="T82" i="13"/>
  <c r="T81" i="13"/>
  <c r="T80" i="13"/>
  <c r="T79" i="13"/>
  <c r="T78" i="13"/>
  <c r="T77" i="13"/>
  <c r="T76" i="13"/>
  <c r="T75" i="13"/>
  <c r="T74" i="13"/>
  <c r="T73" i="13"/>
  <c r="T72" i="13"/>
  <c r="T71" i="13"/>
  <c r="T70" i="13"/>
  <c r="T69" i="13"/>
  <c r="T68" i="13"/>
  <c r="T67" i="13"/>
  <c r="T66" i="13"/>
  <c r="T65" i="13"/>
  <c r="T64" i="13"/>
  <c r="T63" i="13"/>
  <c r="T62" i="13"/>
  <c r="T61" i="13"/>
  <c r="T60" i="13"/>
  <c r="T59" i="13"/>
  <c r="T58" i="13"/>
  <c r="T57" i="13"/>
  <c r="T56" i="13"/>
  <c r="T55" i="13"/>
  <c r="T54" i="13"/>
  <c r="T53" i="13"/>
  <c r="T52" i="13"/>
  <c r="T51" i="13"/>
  <c r="T50" i="13"/>
  <c r="T49" i="13"/>
  <c r="T48" i="13"/>
  <c r="T47" i="13"/>
  <c r="T46" i="13"/>
  <c r="T45" i="13"/>
  <c r="T44" i="13"/>
  <c r="T43" i="13"/>
  <c r="T42" i="13"/>
  <c r="T41" i="13"/>
  <c r="T40" i="13"/>
  <c r="T39" i="13"/>
  <c r="T38" i="13"/>
  <c r="T37" i="13"/>
  <c r="T36" i="13"/>
  <c r="T35" i="13"/>
  <c r="T34" i="13"/>
  <c r="T33" i="13"/>
  <c r="T32" i="13"/>
  <c r="T31" i="13"/>
  <c r="T30" i="13"/>
  <c r="T29" i="13"/>
  <c r="T28" i="13"/>
  <c r="T27" i="13"/>
  <c r="T26" i="13"/>
  <c r="T25" i="13"/>
  <c r="T24" i="13"/>
  <c r="T23" i="13"/>
  <c r="T22" i="13"/>
  <c r="T21" i="13"/>
  <c r="T20" i="13"/>
  <c r="T19" i="13"/>
  <c r="T18" i="13"/>
  <c r="T17" i="13"/>
  <c r="T16" i="13"/>
  <c r="T15" i="13"/>
  <c r="T14" i="13"/>
  <c r="T13" i="13"/>
  <c r="T12" i="13"/>
  <c r="T11" i="13"/>
  <c r="T10" i="13"/>
  <c r="T9" i="13"/>
  <c r="T8" i="13"/>
  <c r="T7" i="13"/>
  <c r="T6" i="13"/>
  <c r="T5" i="13"/>
  <c r="T4" i="13"/>
  <c r="T3" i="13"/>
  <c r="U2" i="13" a="1"/>
  <c r="U2" i="13" s="1"/>
  <c r="T2" i="13"/>
  <c r="T154" i="10"/>
  <c r="T153" i="10"/>
  <c r="T152" i="10"/>
  <c r="T151" i="10"/>
  <c r="T150" i="10"/>
  <c r="T149" i="10"/>
  <c r="T148" i="10"/>
  <c r="T147" i="10"/>
  <c r="T146" i="10"/>
  <c r="T145" i="10"/>
  <c r="T144" i="10"/>
  <c r="T143" i="10"/>
  <c r="T142" i="10"/>
  <c r="T141" i="10"/>
  <c r="T140" i="10"/>
  <c r="T139" i="10"/>
  <c r="T138" i="10"/>
  <c r="T137" i="10"/>
  <c r="T136" i="10"/>
  <c r="T135" i="10"/>
  <c r="T134" i="10"/>
  <c r="T133" i="10"/>
  <c r="T132" i="10"/>
  <c r="T131" i="10"/>
  <c r="T130" i="10"/>
  <c r="T129" i="10"/>
  <c r="T128" i="10"/>
  <c r="T127" i="10"/>
  <c r="T126" i="10"/>
  <c r="T125" i="10"/>
  <c r="T124" i="10"/>
  <c r="T123" i="10"/>
  <c r="T122" i="10"/>
  <c r="T121" i="10"/>
  <c r="T120" i="10"/>
  <c r="T119" i="10"/>
  <c r="T118" i="10"/>
  <c r="T117" i="10"/>
  <c r="T116" i="10"/>
  <c r="T115" i="10"/>
  <c r="T114" i="10"/>
  <c r="T113" i="10"/>
  <c r="T112" i="10"/>
  <c r="T111" i="10"/>
  <c r="T110" i="10"/>
  <c r="T109" i="10"/>
  <c r="T108" i="10"/>
  <c r="T107" i="10"/>
  <c r="T106" i="10"/>
  <c r="T105" i="10"/>
  <c r="T104" i="10"/>
  <c r="T103" i="10"/>
  <c r="T102" i="10"/>
  <c r="T101" i="10"/>
  <c r="T100" i="10"/>
  <c r="T99" i="10"/>
  <c r="T98" i="10"/>
  <c r="T97" i="10"/>
  <c r="T96" i="10"/>
  <c r="T95" i="10"/>
  <c r="T94" i="10"/>
  <c r="T93" i="10"/>
  <c r="T92" i="10"/>
  <c r="T91" i="10"/>
  <c r="T90" i="10"/>
  <c r="T89" i="10"/>
  <c r="T88" i="10"/>
  <c r="T87" i="10"/>
  <c r="T86" i="10"/>
  <c r="T85" i="10"/>
  <c r="T84" i="10"/>
  <c r="T83" i="10"/>
  <c r="T82" i="10"/>
  <c r="T81" i="10"/>
  <c r="T80" i="10"/>
  <c r="T79" i="10"/>
  <c r="T78" i="10"/>
  <c r="T77" i="10"/>
  <c r="T76" i="10"/>
  <c r="T75" i="10"/>
  <c r="T74" i="10"/>
  <c r="T73" i="10"/>
  <c r="T72" i="10"/>
  <c r="T71" i="10"/>
  <c r="T70" i="10"/>
  <c r="T69" i="10"/>
  <c r="T68" i="10"/>
  <c r="T67" i="10"/>
  <c r="T66" i="10"/>
  <c r="T65" i="10"/>
  <c r="T64" i="10"/>
  <c r="T63" i="10"/>
  <c r="T62" i="10"/>
  <c r="T61" i="10"/>
  <c r="T60" i="10"/>
  <c r="T59" i="10"/>
  <c r="T58" i="10"/>
  <c r="T57" i="10"/>
  <c r="T56" i="10"/>
  <c r="T55" i="10"/>
  <c r="T54" i="10"/>
  <c r="T53" i="10"/>
  <c r="T52" i="10"/>
  <c r="T51" i="10"/>
  <c r="T50" i="10"/>
  <c r="T49" i="10"/>
  <c r="T48" i="10"/>
  <c r="T47" i="10"/>
  <c r="T46" i="10"/>
  <c r="T45" i="10"/>
  <c r="T44" i="10"/>
  <c r="T43" i="10"/>
  <c r="T42" i="10"/>
  <c r="T41" i="10"/>
  <c r="T40" i="10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" i="10"/>
  <c r="U2" i="10" a="1"/>
  <c r="U2" i="10" s="1"/>
  <c r="T2" i="10"/>
  <c r="U2" i="11" a="1"/>
  <c r="U2" i="11" s="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33" i="11"/>
  <c r="T34" i="11"/>
  <c r="T35" i="11"/>
  <c r="T36" i="11"/>
  <c r="T37" i="11"/>
  <c r="T38" i="11"/>
  <c r="T39" i="11"/>
  <c r="T40" i="11"/>
  <c r="T41" i="11"/>
  <c r="T42" i="11"/>
  <c r="T43" i="11"/>
  <c r="T44" i="11"/>
  <c r="T45" i="11"/>
  <c r="T46" i="11"/>
  <c r="T47" i="11"/>
  <c r="T48" i="11"/>
  <c r="T49" i="11"/>
  <c r="T50" i="11"/>
  <c r="T51" i="11"/>
  <c r="T52" i="11"/>
  <c r="T53" i="11"/>
  <c r="T54" i="11"/>
  <c r="T55" i="11"/>
  <c r="T56" i="11"/>
  <c r="T57" i="11"/>
  <c r="T58" i="11"/>
  <c r="T59" i="11"/>
  <c r="T60" i="11"/>
  <c r="T61" i="11"/>
  <c r="T62" i="11"/>
  <c r="T63" i="11"/>
  <c r="T64" i="11"/>
  <c r="T65" i="11"/>
  <c r="T66" i="11"/>
  <c r="T67" i="11"/>
  <c r="T68" i="11"/>
  <c r="T69" i="11"/>
  <c r="T70" i="11"/>
  <c r="T71" i="11"/>
  <c r="T72" i="11"/>
  <c r="T73" i="11"/>
  <c r="T74" i="11"/>
  <c r="T75" i="11"/>
  <c r="T76" i="11"/>
  <c r="T77" i="11"/>
  <c r="T78" i="11"/>
  <c r="T79" i="11"/>
  <c r="T80" i="11"/>
  <c r="T81" i="11"/>
  <c r="T82" i="11"/>
  <c r="T83" i="11"/>
  <c r="T84" i="11"/>
  <c r="T85" i="11"/>
  <c r="T86" i="11"/>
  <c r="T87" i="11"/>
  <c r="T88" i="11"/>
  <c r="T89" i="11"/>
  <c r="T90" i="11"/>
  <c r="T91" i="11"/>
  <c r="T92" i="11"/>
  <c r="T93" i="11"/>
  <c r="T94" i="11"/>
  <c r="T95" i="11"/>
  <c r="T96" i="11"/>
  <c r="T97" i="11"/>
  <c r="T98" i="11"/>
  <c r="T99" i="11"/>
  <c r="T100" i="11"/>
  <c r="T101" i="11"/>
  <c r="T102" i="11"/>
  <c r="T103" i="11"/>
  <c r="T104" i="11"/>
  <c r="T105" i="11"/>
  <c r="T106" i="11"/>
  <c r="T107" i="11"/>
  <c r="T108" i="11"/>
  <c r="T109" i="11"/>
  <c r="T110" i="11"/>
  <c r="T111" i="11"/>
  <c r="T112" i="11"/>
  <c r="T113" i="11"/>
  <c r="T114" i="11"/>
  <c r="T115" i="11"/>
  <c r="T116" i="11"/>
  <c r="T117" i="11"/>
  <c r="T118" i="11"/>
  <c r="T119" i="11"/>
  <c r="T120" i="11"/>
  <c r="T121" i="11"/>
  <c r="T122" i="11"/>
  <c r="T123" i="11"/>
  <c r="T124" i="11"/>
  <c r="T125" i="11"/>
  <c r="T126" i="11"/>
  <c r="T127" i="11"/>
  <c r="T128" i="11"/>
  <c r="T129" i="11"/>
  <c r="T130" i="11"/>
  <c r="T131" i="11"/>
  <c r="T132" i="11"/>
  <c r="T133" i="11"/>
  <c r="T134" i="11"/>
  <c r="T135" i="11"/>
  <c r="T136" i="11"/>
  <c r="T137" i="11"/>
  <c r="T138" i="11"/>
  <c r="T139" i="11"/>
  <c r="T140" i="11"/>
  <c r="T141" i="11"/>
  <c r="T142" i="11"/>
  <c r="T143" i="11"/>
  <c r="T144" i="11"/>
  <c r="T145" i="11"/>
  <c r="T146" i="11"/>
  <c r="T147" i="11"/>
  <c r="T148" i="11"/>
  <c r="T149" i="11"/>
  <c r="T150" i="11"/>
  <c r="T151" i="11"/>
  <c r="T152" i="11"/>
  <c r="T153" i="11"/>
  <c r="T154" i="11"/>
  <c r="T2" i="11"/>
  <c r="A2" i="13" a="1"/>
  <c r="A2" i="13" s="1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2" i="1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A2" i="11" l="1" a="1"/>
  <c r="A2" i="10" a="1"/>
  <c r="A2" i="10" l="1"/>
  <c r="A2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<sst xmlns="http://schemas.openxmlformats.org/spreadsheetml/2006/main" count="153" uniqueCount="28">
  <si>
    <t>ny</t>
  </si>
  <si>
    <t>nx</t>
  </si>
  <si>
    <t>dofs_t3</t>
  </si>
  <si>
    <t>disp_t3</t>
  </si>
  <si>
    <t>dofs_t6</t>
  </si>
  <si>
    <t>disp_t6</t>
  </si>
  <si>
    <t>dofs_q4</t>
  </si>
  <si>
    <t>disp_q4</t>
  </si>
  <si>
    <t>dofs_q8</t>
  </si>
  <si>
    <t>disp_q8</t>
  </si>
  <si>
    <t>dofs_block</t>
  </si>
  <si>
    <t>disp_block</t>
  </si>
  <si>
    <t>err_t3</t>
  </si>
  <si>
    <t>err_t6</t>
  </si>
  <si>
    <t>err_q4</t>
  </si>
  <si>
    <t>err_q8</t>
  </si>
  <si>
    <t>timo_err_t3</t>
  </si>
  <si>
    <t>timo_err_t6</t>
  </si>
  <si>
    <t>timo_err_q4</t>
  </si>
  <si>
    <t>timo_err_q8</t>
  </si>
  <si>
    <t>rel_diff_disp_t3</t>
  </si>
  <si>
    <t>rel_diff_disp_t6</t>
  </si>
  <si>
    <t>rel_diff_disp_q4</t>
  </si>
  <si>
    <t>rel_diff_disp_q8</t>
  </si>
  <si>
    <t>nxi</t>
  </si>
  <si>
    <t>dofs_q9</t>
  </si>
  <si>
    <t>disp_q9</t>
  </si>
  <si>
    <t>timo_err_q9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</si>
</sst>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4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0" fontId="0" fillId="0" borderId="0" xfId="0" applyNumberFormat="1"/>
    <xf numFmtId="10" fontId="1" fillId="2" borderId="2" xfId="0" applyNumberFormat="1" applyFont="1" applyFill="1" applyBorder="1"/>
    <xf numFmtId="10" fontId="1" fillId="2" borderId="3" xfId="0" applyNumberFormat="1" applyFont="1" applyFill="1" applyBorder="1"/>
    <xf numFmtId="10" fontId="1" fillId="2" borderId="0" xfId="0" applyNumberFormat="1" applyFont="1" applyFill="1"/>
    <xf numFmtId="11" fontId="0" fillId="0" borderId="0" xfId="0" applyNumberFormat="1"/>
  </cellXfs>
  <cellStyles count="1">
    <cellStyle name="Normal" xfId="0" builtinId="0"/>
  </cellStyles>
  <dxfs count="31"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C62557-50E3-4EE7-83A3-516720B3F9BF}" name="Constraint" displayName="Constraint" ref="A1:O154" totalsRowShown="0">
  <autoFilter ref="A1:O154" xr:uid="{EDC62557-50E3-4EE7-83A3-516720B3F9BF}"/>
  <tableColumns count="15">
    <tableColumn id="1" xr3:uid="{522B1023-172E-4457-98F2-CDF4B0B44D7C}" name="ny"/>
    <tableColumn id="2" xr3:uid="{BA240F63-C12C-4116-B53B-BFB41A074FBC}" name="nxi"/>
    <tableColumn id="16" xr3:uid="{F8E5B060-8992-44F8-8D13-99CCFB14D717}" name="nx" dataDxfId="30">
      <calculatedColumnFormula>Constraint[[#This Row],[nxi]]*3</calculatedColumnFormula>
    </tableColumn>
    <tableColumn id="3" xr3:uid="{492EBF94-8850-4DF9-B5FF-A083E47E15C1}" name="dofs_t3"/>
    <tableColumn id="4" xr3:uid="{C46F8873-066A-4C1E-A448-268F0E442D9D}" name="disp_t3"/>
    <tableColumn id="5" xr3:uid="{932B247C-B0D3-4060-BD04-1D0267F78F08}" name="dofs_t6"/>
    <tableColumn id="6" xr3:uid="{F130A53D-4E31-4A84-ABB3-D429B74E0880}" name="disp_t6"/>
    <tableColumn id="7" xr3:uid="{38EA25DC-9188-4942-94DA-8FA22FFDAA3C}" name="dofs_q4"/>
    <tableColumn id="8" xr3:uid="{67329118-6E1C-4B37-B051-7CF025AF42AC}" name="disp_q4"/>
    <tableColumn id="9" xr3:uid="{B8729D3B-A0EB-4797-8E88-F4491C024A36}" name="dofs_q8"/>
    <tableColumn id="10" xr3:uid="{6592D15D-8068-4E70-BA00-91D5D7E98CB7}" name="disp_q8"/>
    <tableColumn id="11" xr3:uid="{66F96F75-F14F-4B14-A4DE-B2B255D7B359}" name="timo_err_t3" dataDxfId="29">
      <calculatedColumnFormula>(Constraint[[#This Row],[disp_t3]]--0.0145666666666666)/-0.0145666666666666</calculatedColumnFormula>
    </tableColumn>
    <tableColumn id="12" xr3:uid="{57870DD4-AE27-4384-B2B6-BDE5F29BB9E5}" name="timo_err_t6" dataDxfId="28">
      <calculatedColumnFormula>(Constraint[[#This Row],[disp_t6]]--0.0145666666666666)/-0.0145666666666666</calculatedColumnFormula>
    </tableColumn>
    <tableColumn id="13" xr3:uid="{27C79B1A-0976-4674-A29A-F1C91627A526}" name="timo_err_q4" dataDxfId="27">
      <calculatedColumnFormula>(Constraint[[#This Row],[disp_q4]]--0.0145666666666666)/-0.0145666666666666</calculatedColumnFormula>
    </tableColumn>
    <tableColumn id="14" xr3:uid="{ABE6B5C8-02F1-4262-8546-481DCA0C5F4F}" name="timo_err_q8" dataDxfId="26">
      <calculatedColumnFormula>(Constraint[[#This Row],[disp_q8]]--0.0145666666666666)/-0.0145666666666666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62B9E0-E5B8-4B02-8630-AC983E3BA2C1}" name="Penalty" displayName="Penalty" ref="A1:O154" totalsRowShown="0">
  <autoFilter ref="A1:O154" xr:uid="{5762B9E0-E5B8-4B02-8630-AC983E3BA2C1}"/>
  <tableColumns count="15">
    <tableColumn id="1" xr3:uid="{1C20AD62-A434-4383-84E4-1147649776C9}" name="ny"/>
    <tableColumn id="2" xr3:uid="{40FCC683-B836-403E-8DDA-9A898BB0875B}" name="nxi"/>
    <tableColumn id="15" xr3:uid="{48FF3219-12C6-46A4-8167-51D53EFCBF91}" name="nx" dataDxfId="25">
      <calculatedColumnFormula>Penalty[[#This Row],[nxi]]*3</calculatedColumnFormula>
    </tableColumn>
    <tableColumn id="3" xr3:uid="{71489085-198A-494E-A4F3-A4FD9CA4D9A7}" name="dofs_t3"/>
    <tableColumn id="4" xr3:uid="{F18A1D96-C4B8-4639-BBBB-07EA43B702BE}" name="disp_t3"/>
    <tableColumn id="5" xr3:uid="{D644FF4D-8136-4B43-961F-29A5E5FE23E6}" name="dofs_t6"/>
    <tableColumn id="6" xr3:uid="{0960779B-A808-4331-AEAB-E2BC8ADC096B}" name="disp_t6"/>
    <tableColumn id="7" xr3:uid="{B48A4DAD-0FFB-40DB-958A-C2CA51C3690F}" name="dofs_q4"/>
    <tableColumn id="8" xr3:uid="{45FB57A8-01EA-40C7-80C5-E769F6E14AF4}" name="disp_q4"/>
    <tableColumn id="9" xr3:uid="{67A9D121-BDA6-482F-AC18-AD65EA82FA18}" name="dofs_q8"/>
    <tableColumn id="10" xr3:uid="{6B992078-1BA6-4BE2-8509-901A6F66F2BE}" name="disp_q8"/>
    <tableColumn id="11" xr3:uid="{1ECA91C8-F3FC-4A4F-9B97-86BE47D600AF}" name="timo_err_t3" dataDxfId="24">
      <calculatedColumnFormula>(Penalty[[#This Row],[disp_t3]]--0.0145666666666666)/-0.0145666666666666</calculatedColumnFormula>
    </tableColumn>
    <tableColumn id="12" xr3:uid="{30EAFCA9-711B-4FF9-BF84-F528B32CE793}" name="timo_err_t6" dataDxfId="23">
      <calculatedColumnFormula>(Penalty[[#This Row],[disp_t6]]--0.0145666666666666)/-0.0145666666666666</calculatedColumnFormula>
    </tableColumn>
    <tableColumn id="13" xr3:uid="{5EF29850-9C6C-4128-9B63-73C2C15F30F9}" name="timo_err_q4" dataDxfId="22">
      <calculatedColumnFormula>(Penalty[[#This Row],[disp_q4]]--0.0145666666666666)/-0.0145666666666666</calculatedColumnFormula>
    </tableColumn>
    <tableColumn id="14" xr3:uid="{9FCC274F-33CC-424F-9939-496F40BBE013}" name="timo_err_q8" dataDxfId="21">
      <calculatedColumnFormula>(Penalty[[#This Row],[disp_q8]]--0.0145666666666666)/-0.0145666666666666</calculatedColumnFormula>
    </tableColumn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FA9908-81B0-4F14-A1DD-3D3D86FBEFD8}" name="Lagrange" displayName="Lagrange" ref="A1:O154" totalsRowShown="0">
  <autoFilter ref="A1:O154" xr:uid="{54FA9908-81B0-4F14-A1DD-3D3D86FBEFD8}"/>
  <tableColumns count="15">
    <tableColumn id="1" xr3:uid="{45E87FD1-CE60-4DFF-860E-DC978673265A}" name="ny"/>
    <tableColumn id="2" xr3:uid="{A5734AF5-67B3-43FB-8E7B-A82D38EEF9A6}" name="nxi"/>
    <tableColumn id="15" xr3:uid="{B09167B4-1102-49AF-8472-3FD06E26558B}" name="nx" dataDxfId="20">
      <calculatedColumnFormula>Lagrange[[#This Row],[nxi]]*3</calculatedColumnFormula>
    </tableColumn>
    <tableColumn id="3" xr3:uid="{AD563FEA-87E0-4B4D-983D-DF3A23BAF95F}" name="dofs_t3"/>
    <tableColumn id="4" xr3:uid="{8211EC93-FACC-47D8-A643-D9E6B23E5141}" name="disp_t3"/>
    <tableColumn id="5" xr3:uid="{66455106-D2BA-44F2-B8E1-1377DACC0496}" name="dofs_t6"/>
    <tableColumn id="6" xr3:uid="{DA5A4200-D10F-4B04-AF0A-7DBEA3A1099D}" name="disp_t6"/>
    <tableColumn id="7" xr3:uid="{B910AB67-8C2B-490C-A023-839C705AE585}" name="dofs_q4"/>
    <tableColumn id="8" xr3:uid="{11D00CE2-A255-457E-9433-B3E19EAC2720}" name="disp_q4"/>
    <tableColumn id="9" xr3:uid="{87E08740-739A-43B0-AEB8-84BF78E7EDA4}" name="dofs_q8"/>
    <tableColumn id="10" xr3:uid="{E90534FC-16D9-4A21-AE8E-5FF293E55068}" name="disp_q8"/>
    <tableColumn id="11" xr3:uid="{A1E59E52-24E6-4758-8E9B-6B8356ECF5B8}" name="timo_err_t3" dataDxfId="19">
      <calculatedColumnFormula>(Lagrange[[#This Row],[disp_t3]]--0.0145666666666666)/-0.0145666666666666</calculatedColumnFormula>
    </tableColumn>
    <tableColumn id="12" xr3:uid="{CD2B689E-87C7-4760-B482-3D6B2D133C79}" name="timo_err_t6" dataDxfId="18">
      <calculatedColumnFormula>(Lagrange[[#This Row],[disp_t6]]--0.0145666666666666)/-0.0145666666666666</calculatedColumnFormula>
    </tableColumn>
    <tableColumn id="13" xr3:uid="{4D191B09-5691-44D2-BA82-DED219541E84}" name="timo_err_q4" dataDxfId="17">
      <calculatedColumnFormula>(Lagrange[[#This Row],[disp_q4]]--0.0145666666666666)/-0.0145666666666666</calculatedColumnFormula>
    </tableColumn>
    <tableColumn id="14" xr3:uid="{92093B79-B7C4-4CB5-9432-406C6935CEBC}" name="timo_err_q8" dataDxfId="16">
      <calculatedColumnFormula>(Lagrange[[#This Row],[disp_q8]]--0.0145666666666666)/-0.0145666666666666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3EEC63-3151-4319-B855-242F0FE9BF52}" name="Mortar" displayName="Mortar" ref="A1:O154" totalsRowShown="0">
  <autoFilter ref="A1:O154" xr:uid="{0C3EEC63-3151-4319-B855-242F0FE9BF52}"/>
  <tableColumns count="15">
    <tableColumn id="1" xr3:uid="{426A8BCA-E168-4F22-AF0B-4D087AAA59B9}" name="ny"/>
    <tableColumn id="2" xr3:uid="{9D3173A0-7BEA-4DC9-8117-81447466EA0C}" name="nxi"/>
    <tableColumn id="15" xr3:uid="{11270317-CE6D-4337-BDE6-FAE1DD27C6E3}" name="nx" dataDxfId="15">
      <calculatedColumnFormula>Mortar[[#This Row],[nxi]]*3</calculatedColumnFormula>
    </tableColumn>
    <tableColumn id="3" xr3:uid="{11A6563B-3720-4196-AA47-E6661380EE69}" name="dofs_t3"/>
    <tableColumn id="4" xr3:uid="{3156CD1C-BF66-4183-B9E3-A7945536DD4B}" name="disp_t3"/>
    <tableColumn id="5" xr3:uid="{B3F579CA-CD11-4856-A405-093F0431E936}" name="dofs_t6"/>
    <tableColumn id="6" xr3:uid="{9F26753A-7529-4A5E-B545-546705BDE62F}" name="disp_t6"/>
    <tableColumn id="7" xr3:uid="{F8A72263-3CC9-4134-BD3C-2C3FFB72B754}" name="dofs_q4"/>
    <tableColumn id="8" xr3:uid="{B6A83B2D-5307-4800-9318-EB23A5A90A50}" name="disp_q4"/>
    <tableColumn id="9" xr3:uid="{5DDFBB69-688B-45B3-9E75-B738F7FF1C8B}" name="dofs_q8"/>
    <tableColumn id="10" xr3:uid="{8E5C0D2D-B213-4505-B468-1287D1816299}" name="disp_q8"/>
    <tableColumn id="11" xr3:uid="{97525EE1-AF8F-4A14-8263-18ED8A355F8B}" name="timo_err_t3" dataDxfId="14">
      <calculatedColumnFormula>(Mortar[[#This Row],[disp_t3]]--0.0145666666666666)/-0.0145666666666666</calculatedColumnFormula>
    </tableColumn>
    <tableColumn id="12" xr3:uid="{5E28AF7D-95D9-4B2F-B15F-C0DBEF2E7D59}" name="timo_err_t6" dataDxfId="13">
      <calculatedColumnFormula>(Mortar[[#This Row],[disp_t6]]--0.0145666666666666)/-0.0145666666666666</calculatedColumnFormula>
    </tableColumn>
    <tableColumn id="13" xr3:uid="{F51A7452-7EDA-4A70-8DED-1F599A3B9532}" name="timo_err_q4" dataDxfId="12">
      <calculatedColumnFormula>(Mortar[[#This Row],[disp_q4]]--0.0145666666666666)/-0.0145666666666666</calculatedColumnFormula>
    </tableColumn>
    <tableColumn id="14" xr3:uid="{4AB80439-D802-4D57-864C-B081BB446908}" name="timo_err_q8" dataDxfId="11">
      <calculatedColumnFormula>(Mortar[[#This Row],[disp_q8]]--0.0145666666666666)/-0.0145666666666666</calculatedColumnFormula>
    </tableColumn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44AE37-27E2-46DD-B0B0-0B826C876C77}" name="FEM" displayName="FEM" ref="A1:Q276" totalsRowShown="0">
  <autoFilter ref="A1:Q276" xr:uid="{2244AE37-27E2-46DD-B0B0-0B826C876C77}"/>
  <tableColumns count="17">
    <tableColumn id="1" xr3:uid="{DC5B2FA2-A09F-43EF-BD1E-A1ACF68711E3}" name="nx"/>
    <tableColumn id="2" xr3:uid="{51248DC6-58CE-4AFE-9BB7-2B561439316C}" name="ny"/>
    <tableColumn id="3" xr3:uid="{65F08D3B-1159-4E5A-A653-CFC7F717364E}" name="dofs_t3"/>
    <tableColumn id="4" xr3:uid="{07A74DEE-FA40-4A94-A601-6FE810FB5D67}" name="disp_t3"/>
    <tableColumn id="5" xr3:uid="{5B2751A7-899A-4897-9E64-A014198C1B81}" name="dofs_t6"/>
    <tableColumn id="6" xr3:uid="{2FC967F1-F4E5-4A42-9AD2-1D0BFD0DCC02}" name="disp_t6"/>
    <tableColumn id="7" xr3:uid="{744A3994-EB78-462B-8E66-A475B8ED3818}" name="dofs_q4"/>
    <tableColumn id="8" xr3:uid="{8E27F3AF-3E29-492D-9773-5FAD7746A63D}" name="disp_q4"/>
    <tableColumn id="9" xr3:uid="{0DADF287-08C9-40AC-BFDB-8FD010A24372}" name="dofs_q8"/>
    <tableColumn id="10" xr3:uid="{381F355A-E1FF-45AF-B8DD-6D0BFDF63C1F}" name="disp_q8"/>
    <tableColumn id="15" xr3:uid="{CEB16487-4EB1-4DDF-AEE5-C33F8BF07704}" name="dofs_q9"/>
    <tableColumn id="16" xr3:uid="{48D805D0-FF67-444B-A363-DB02225AE5C3}" name="disp_q9"/>
    <tableColumn id="11" xr3:uid="{FEBC3789-D2C3-44D0-A731-8D7A37EEFA50}" name="timo_err_t3" dataDxfId="10">
      <calculatedColumnFormula>(FEM[[#This Row],[disp_t3]]--0.0145666666666666)/-0.0145666666666666</calculatedColumnFormula>
    </tableColumn>
    <tableColumn id="12" xr3:uid="{5A9A15F4-D701-42EA-9080-C88374E78D43}" name="timo_err_t6" dataDxfId="9">
      <calculatedColumnFormula>(FEM[[#This Row],[disp_t6]]--0.0145666666666666)/-0.0145666666666666</calculatedColumnFormula>
    </tableColumn>
    <tableColumn id="13" xr3:uid="{1B9FE2EF-93B1-4293-A14A-F1C4370EB53C}" name="timo_err_q4" dataDxfId="8">
      <calculatedColumnFormula>(FEM[[#This Row],[disp_q4]]--0.0145666666666666)/-0.0145666666666666</calculatedColumnFormula>
    </tableColumn>
    <tableColumn id="14" xr3:uid="{2498F5BF-736A-43D1-A00B-E809030D7911}" name="timo_err_q8" dataDxfId="7">
      <calculatedColumnFormula>(FEM[[#This Row],[disp_q8]]--0.0145666666666666)/-0.0145666666666666</calculatedColumnFormula>
    </tableColumn>
    <tableColumn id="17" xr3:uid="{9B0C543A-22F7-4CD9-A6E4-4015E87EE5BA}" name="timo_err_q9" dataDxfId="0">
      <calculatedColumnFormula>(FEM[[#This Row],[disp_q9]]--0.0145666666666666)/-0.0145666666666666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9D27E9-BACE-4240-BBBE-552A642F9B0F}" name="Table7" displayName="Table7" ref="A1:Q276" totalsRowShown="0">
  <autoFilter ref="A1:Q276" xr:uid="{7B9D27E9-BACE-4240-BBBE-552A642F9B0F}"/>
  <tableColumns count="17">
    <tableColumn id="1" xr3:uid="{9130BCAF-24C4-4F55-959E-EDBD6B1D219A}" name="nx"/>
    <tableColumn id="2" xr3:uid="{0DCD76E4-FACA-4D35-863A-8008BC2E65A3}" name="ny"/>
    <tableColumn id="3" xr3:uid="{25334970-1DAB-4960-BDF4-ABE7951E14FE}" name="dofs_t3"/>
    <tableColumn id="4" xr3:uid="{D51F1BEC-FD11-4764-803E-334E9D695C22}" name="disp_t3"/>
    <tableColumn id="5" xr3:uid="{23BF59E1-D6FC-4384-88BC-77EC0C068BFD}" name="dofs_t6"/>
    <tableColumn id="6" xr3:uid="{47093BA0-65B8-49FE-82E5-A9111255181B}" name="disp_t6"/>
    <tableColumn id="7" xr3:uid="{0D67FF71-9E3B-4378-8858-8C9B5B0468DB}" name="dofs_q4"/>
    <tableColumn id="8" xr3:uid="{A9770296-B81C-4B60-ADE5-1446C8E71B54}" name="disp_q4"/>
    <tableColumn id="9" xr3:uid="{EF58CB3E-EE7B-4D07-8016-50F1D8ED1566}" name="dofs_q8"/>
    <tableColumn id="10" xr3:uid="{45FB19E9-D367-434C-8A0A-DF99494403BC}" name="disp_q8"/>
    <tableColumn id="24" xr3:uid="{A39A8AEA-E67C-4BC4-9616-C55A382363D2}" name="dofs_q9"/>
    <tableColumn id="25" xr3:uid="{B13F7714-0683-4A2A-BE80-B84DA41FCF5B}" name="disp_q9"/>
    <tableColumn id="13" xr3:uid="{B5F0D67C-9F09-4F1D-A72F-56949C15EC66}" name="timo_err_t3" dataDxfId="6">
      <calculatedColumnFormula>(Table7[[#This Row],[disp_t3]]--0.00354)/-0.00354</calculatedColumnFormula>
    </tableColumn>
    <tableColumn id="15" xr3:uid="{5AF04000-689F-40D6-8719-A37B66EDED9E}" name="timo_err_t6" dataDxfId="5">
      <calculatedColumnFormula>(Table7[[#This Row],[disp_t6]]--0.00354)/-0.00354</calculatedColumnFormula>
    </tableColumn>
    <tableColumn id="17" xr3:uid="{FFD8DF3A-80FC-44CA-956F-BCD18DB01BA6}" name="timo_err_q4" dataDxfId="4">
      <calculatedColumnFormula>(Table7[[#This Row],[disp_q4]]--0.00354)/-0.00354</calculatedColumnFormula>
    </tableColumn>
    <tableColumn id="19" xr3:uid="{CBCF3AFB-65CC-4960-B7AB-D1FF08903AB5}" name="timo_err_q8" dataDxfId="3">
      <calculatedColumnFormula>(Table7[[#This Row],[disp_q8]]--0.00354)/-0.00354</calculatedColumnFormula>
    </tableColumn>
    <tableColumn id="23" xr3:uid="{D59B2660-FDC4-4ABA-8FBB-118EF860729E}" name="timo_err_q9" dataDxfId="2">
      <calculatedColumnFormula>(Table7[[#This Row],[disp_q9]]--0.00354)/-0.00354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3966D7-28C3-43DE-92C3-0C54FB285137}" name="Block" displayName="Block" ref="A1:E154" totalsRowShown="0">
  <autoFilter ref="A1:E154" xr:uid="{063966D7-28C3-43DE-92C3-0C54FB285137}"/>
  <tableColumns count="5">
    <tableColumn id="1" xr3:uid="{915263DE-DC6F-4ACE-8FFC-4C0B14821B92}" name="ny"/>
    <tableColumn id="2" xr3:uid="{E7190CEA-E7DB-48EB-AD6F-75961068CFAE}" name="nx"/>
    <tableColumn id="3" xr3:uid="{C5E5909A-4F68-4CC2-BDC4-F9D2BA2318F3}" name="dofs_block"/>
    <tableColumn id="4" xr3:uid="{0C6C1932-C314-48F6-8190-12CFD1C4FDF8}" name="disp_block"/>
    <tableColumn id="5" xr3:uid="{441EEF54-0358-497B-97E5-CE8FB341A3ED}" name="timo_err_t3" dataDxfId="1">
      <calculatedColumnFormula>(Block[[#This Row],[disp_block]]--0.0145666666666666)/-0.0145666666666666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AFC70-F96D-4371-A866-BCFAE5050B9D}">
  <dimension ref="A1:O154"/>
  <sheetViews>
    <sheetView zoomScaleNormal="100" workbookViewId="0">
      <selection activeCell="B1" sqref="B1:C1"/>
    </sheetView>
  </sheetViews>
  <sheetFormatPr defaultRowHeight="14.4" x14ac:dyDescent="0.3"/>
  <cols>
    <col min="3" max="3" width="14.5546875" bestFit="1" customWidth="1"/>
    <col min="4" max="4" width="9.5546875" bestFit="1" customWidth="1"/>
    <col min="5" max="5" width="12.6640625" bestFit="1" customWidth="1"/>
    <col min="6" max="6" width="9.5546875" bestFit="1" customWidth="1"/>
    <col min="7" max="7" width="12.6640625" bestFit="1" customWidth="1"/>
    <col min="8" max="8" width="10" bestFit="1" customWidth="1"/>
    <col min="9" max="9" width="12.6640625" bestFit="1" customWidth="1"/>
    <col min="10" max="10" width="10" bestFit="1" customWidth="1"/>
    <col min="11" max="11" width="12.6640625" bestFit="1" customWidth="1"/>
    <col min="12" max="13" width="13" bestFit="1" customWidth="1"/>
    <col min="14" max="15" width="13.44140625" bestFit="1" customWidth="1"/>
  </cols>
  <sheetData>
    <row r="1" spans="1:15" x14ac:dyDescent="0.3">
      <c r="A1" t="s">
        <v>0</v>
      </c>
      <c r="B1" t="s">
        <v>24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3" t="s">
        <v>16</v>
      </c>
      <c r="M1" s="3" t="s">
        <v>17</v>
      </c>
      <c r="N1" s="3" t="s">
        <v>18</v>
      </c>
      <c r="O1" s="3" t="s">
        <v>19</v>
      </c>
    </row>
    <row r="2" spans="1:15" x14ac:dyDescent="0.3">
      <c r="A2">
        <v>20</v>
      </c>
      <c r="B2">
        <v>40</v>
      </c>
      <c r="C2">
        <f>Constraint[[#This Row],[nxi]]*3</f>
        <v>120</v>
      </c>
      <c r="D2">
        <v>6888</v>
      </c>
      <c r="E2">
        <v>-1.4883222690932601E-2</v>
      </c>
      <c r="F2">
        <v>11808</v>
      </c>
      <c r="G2">
        <v>-1.5007788774404601E-2</v>
      </c>
      <c r="H2">
        <v>6888</v>
      </c>
      <c r="I2">
        <v>-1.49109520151379E-2</v>
      </c>
      <c r="J2">
        <v>11808</v>
      </c>
      <c r="K2">
        <v>-1.5020204936674299E-2</v>
      </c>
      <c r="L2" s="3">
        <f>(Constraint[[#This Row],[disp_t3]]--0.0145666666666666)/-0.0145666666666666</f>
        <v>2.1731534846636359E-2</v>
      </c>
      <c r="M2" s="3">
        <f>(Constraint[[#This Row],[disp_t6]]--0.0145666666666666)/-0.0145666666666666</f>
        <v>3.0282982224576881E-2</v>
      </c>
      <c r="N2" s="3">
        <f>(Constraint[[#This Row],[disp_q4]]--0.0145666666666666)/-0.0145666666666666</f>
        <v>2.3635149780638565E-2</v>
      </c>
      <c r="O2" s="3">
        <f>(Constraint[[#This Row],[disp_q8]]--0.0145666666666666)/-0.0145666666666666</f>
        <v>3.1135350343778182E-2</v>
      </c>
    </row>
    <row r="3" spans="1:15" x14ac:dyDescent="0.3">
      <c r="A3">
        <v>20</v>
      </c>
      <c r="B3">
        <v>34</v>
      </c>
      <c r="C3">
        <f>Constraint[[#This Row],[nxi]]*3</f>
        <v>102</v>
      </c>
      <c r="D3">
        <v>5880</v>
      </c>
      <c r="E3">
        <v>-1.48746050881047E-2</v>
      </c>
      <c r="F3">
        <v>10068</v>
      </c>
      <c r="G3">
        <v>-1.49969070741867E-2</v>
      </c>
      <c r="H3">
        <v>5880</v>
      </c>
      <c r="I3">
        <v>-1.49057181969865E-2</v>
      </c>
      <c r="J3">
        <v>10068</v>
      </c>
      <c r="K3">
        <v>-1.5004271234989101E-2</v>
      </c>
      <c r="L3" s="3">
        <f>(Constraint[[#This Row],[disp_t3]]--0.0145666666666666)/-0.0145666666666666</f>
        <v>2.1139937398496688E-2</v>
      </c>
      <c r="M3" s="3">
        <f>(Constraint[[#This Row],[disp_t6]]--0.0145666666666666)/-0.0145666666666666</f>
        <v>2.9535954749663831E-2</v>
      </c>
      <c r="N3" s="3">
        <f>(Constraint[[#This Row],[disp_q4]]--0.0145666666666666)/-0.0145666666666666</f>
        <v>2.3275848763380024E-2</v>
      </c>
      <c r="O3" s="3">
        <f>(Constraint[[#This Row],[disp_q8]]--0.0145666666666666)/-0.0145666666666666</f>
        <v>3.0041503546167279E-2</v>
      </c>
    </row>
    <row r="4" spans="1:15" x14ac:dyDescent="0.3">
      <c r="A4">
        <v>20</v>
      </c>
      <c r="B4">
        <v>29</v>
      </c>
      <c r="C4">
        <f>Constraint[[#This Row],[nxi]]*3</f>
        <v>87</v>
      </c>
      <c r="D4">
        <v>5040</v>
      </c>
      <c r="E4">
        <v>-1.48632646231357E-2</v>
      </c>
      <c r="F4">
        <v>8618</v>
      </c>
      <c r="G4">
        <v>-1.4984944745436799E-2</v>
      </c>
      <c r="H4">
        <v>5040</v>
      </c>
      <c r="I4">
        <v>-1.4898965616344999E-2</v>
      </c>
      <c r="J4">
        <v>8618</v>
      </c>
      <c r="K4">
        <v>-1.49884143079142E-2</v>
      </c>
      <c r="L4" s="3">
        <f>(Constraint[[#This Row],[disp_t3]]--0.0145666666666666)/-0.0145666666666666</f>
        <v>2.0361415775910916E-2</v>
      </c>
      <c r="M4" s="3">
        <f>(Constraint[[#This Row],[disp_t6]]--0.0145666666666666)/-0.0145666666666666</f>
        <v>2.8714742249670598E-2</v>
      </c>
      <c r="N4" s="3">
        <f>(Constraint[[#This Row],[disp_q4]]--0.0145666666666666)/-0.0145666666666666</f>
        <v>2.2812284874947481E-2</v>
      </c>
      <c r="O4" s="3">
        <f>(Constraint[[#This Row],[disp_q8]]--0.0145666666666666)/-0.0145666666666666</f>
        <v>2.8952927316769031E-2</v>
      </c>
    </row>
    <row r="5" spans="1:15" x14ac:dyDescent="0.3">
      <c r="A5">
        <v>20</v>
      </c>
      <c r="B5">
        <v>24</v>
      </c>
      <c r="C5">
        <f>Constraint[[#This Row],[nxi]]*3</f>
        <v>72</v>
      </c>
      <c r="D5">
        <v>4200</v>
      </c>
      <c r="E5">
        <v>-1.4844836139518499E-2</v>
      </c>
      <c r="F5">
        <v>7168</v>
      </c>
      <c r="G5">
        <v>-1.49691459557828E-2</v>
      </c>
      <c r="H5">
        <v>4200</v>
      </c>
      <c r="I5">
        <v>-1.48882695198047E-2</v>
      </c>
      <c r="J5">
        <v>7168</v>
      </c>
      <c r="K5">
        <v>-1.4969320254020899E-2</v>
      </c>
      <c r="L5" s="3">
        <f>(Constraint[[#This Row],[disp_t3]]--0.0145666666666666)/-0.0145666666666666</f>
        <v>1.9096302484112215E-2</v>
      </c>
      <c r="M5" s="3">
        <f>(Constraint[[#This Row],[disp_t6]]--0.0145666666666666)/-0.0145666666666666</f>
        <v>2.7630157147565376E-2</v>
      </c>
      <c r="N5" s="3">
        <f>(Constraint[[#This Row],[disp_q4]]--0.0145666666666666)/-0.0145666666666666</f>
        <v>2.2077999071265602E-2</v>
      </c>
      <c r="O5" s="3">
        <f>(Constraint[[#This Row],[disp_q8]]--0.0145666666666666)/-0.0145666666666666</f>
        <v>2.7642122701668315E-2</v>
      </c>
    </row>
    <row r="6" spans="1:15" x14ac:dyDescent="0.3">
      <c r="A6">
        <v>20</v>
      </c>
      <c r="B6">
        <v>21</v>
      </c>
      <c r="C6">
        <f>Constraint[[#This Row],[nxi]]*3</f>
        <v>63</v>
      </c>
      <c r="D6">
        <v>3696</v>
      </c>
      <c r="E6">
        <v>-1.4827705846635199E-2</v>
      </c>
      <c r="F6">
        <v>6298</v>
      </c>
      <c r="G6">
        <v>-1.49570915719204E-2</v>
      </c>
      <c r="H6">
        <v>3696</v>
      </c>
      <c r="I6">
        <v>-1.48786039538382E-2</v>
      </c>
      <c r="J6">
        <v>6298</v>
      </c>
      <c r="K6">
        <v>-1.4955715796124799E-2</v>
      </c>
      <c r="L6" s="3">
        <f>(Constraint[[#This Row],[disp_t3]]--0.0145666666666666)/-0.0145666666666666</f>
        <v>1.7920309837661422E-2</v>
      </c>
      <c r="M6" s="3">
        <f>(Constraint[[#This Row],[disp_t6]]--0.0145666666666666)/-0.0145666666666666</f>
        <v>2.6802625074631777E-2</v>
      </c>
      <c r="N6" s="3">
        <f>(Constraint[[#This Row],[disp_q4]]--0.0145666666666666)/-0.0145666666666666</f>
        <v>2.1414459073565366E-2</v>
      </c>
      <c r="O6" s="3">
        <f>(Constraint[[#This Row],[disp_q8]]--0.0145666666666666)/-0.0145666666666666</f>
        <v>2.6708178223675185E-2</v>
      </c>
    </row>
    <row r="7" spans="1:15" x14ac:dyDescent="0.3">
      <c r="A7">
        <v>20</v>
      </c>
      <c r="B7">
        <v>18</v>
      </c>
      <c r="C7">
        <f>Constraint[[#This Row],[nxi]]*3</f>
        <v>54</v>
      </c>
      <c r="D7">
        <v>3192</v>
      </c>
      <c r="E7">
        <v>-1.4802500914003199E-2</v>
      </c>
      <c r="F7">
        <v>5428</v>
      </c>
      <c r="G7">
        <v>-1.4942346055655399E-2</v>
      </c>
      <c r="H7">
        <v>3192</v>
      </c>
      <c r="I7">
        <v>-1.48647862849538E-2</v>
      </c>
      <c r="J7">
        <v>5428</v>
      </c>
      <c r="K7">
        <v>-1.49398260650585E-2</v>
      </c>
      <c r="L7" s="3">
        <f>(Constraint[[#This Row],[disp_t3]]--0.0145666666666666)/-0.0145666666666666</f>
        <v>1.6189994096334162E-2</v>
      </c>
      <c r="M7" s="3">
        <f>(Constraint[[#This Row],[disp_t6]]--0.0145666666666666)/-0.0145666666666666</f>
        <v>2.5790347070169441E-2</v>
      </c>
      <c r="N7" s="3">
        <f>(Constraint[[#This Row],[disp_q4]]--0.0145666666666666)/-0.0145666666666666</f>
        <v>2.0465877685620262E-2</v>
      </c>
      <c r="O7" s="3">
        <f>(Constraint[[#This Row],[disp_q8]]--0.0145666666666666)/-0.0145666666666666</f>
        <v>2.5617350004020763E-2</v>
      </c>
    </row>
    <row r="8" spans="1:15" x14ac:dyDescent="0.3">
      <c r="A8">
        <v>20</v>
      </c>
      <c r="B8">
        <v>15</v>
      </c>
      <c r="C8">
        <f>Constraint[[#This Row],[nxi]]*3</f>
        <v>45</v>
      </c>
      <c r="D8">
        <v>2688</v>
      </c>
      <c r="E8">
        <v>-1.47630105802524E-2</v>
      </c>
      <c r="F8">
        <v>4558</v>
      </c>
      <c r="G8">
        <v>-1.49237899396409E-2</v>
      </c>
      <c r="H8">
        <v>2688</v>
      </c>
      <c r="I8">
        <v>-1.48438580562824E-2</v>
      </c>
      <c r="J8">
        <v>4558</v>
      </c>
      <c r="K8">
        <v>-1.4920587133775301E-2</v>
      </c>
      <c r="L8" s="3">
        <f>(Constraint[[#This Row],[disp_t3]]--0.0145666666666666)/-0.0145666666666666</f>
        <v>1.3478987202686605E-2</v>
      </c>
      <c r="M8" s="3">
        <f>(Constraint[[#This Row],[disp_t6]]--0.0145666666666666)/-0.0145666666666666</f>
        <v>2.4516471828899447E-2</v>
      </c>
      <c r="N8" s="3">
        <f>(Constraint[[#This Row],[disp_q4]]--0.0145666666666666)/-0.0145666666666666</f>
        <v>1.9029157181862856E-2</v>
      </c>
      <c r="O8" s="3">
        <f>(Constraint[[#This Row],[disp_q8]]--0.0145666666666666)/-0.0145666666666666</f>
        <v>2.4296599572679836E-2</v>
      </c>
    </row>
    <row r="9" spans="1:15" x14ac:dyDescent="0.3">
      <c r="A9">
        <v>20</v>
      </c>
      <c r="B9">
        <v>13</v>
      </c>
      <c r="C9">
        <f>Constraint[[#This Row],[nxi]]*3</f>
        <v>39</v>
      </c>
      <c r="D9">
        <v>2352</v>
      </c>
      <c r="E9">
        <v>-1.47224630783958E-2</v>
      </c>
      <c r="F9">
        <v>3978</v>
      </c>
      <c r="G9">
        <v>-1.4908285963746401E-2</v>
      </c>
      <c r="H9">
        <v>2352</v>
      </c>
      <c r="I9">
        <v>-1.48229834870768E-2</v>
      </c>
      <c r="J9">
        <v>3978</v>
      </c>
      <c r="K9">
        <v>-1.4904901217616701E-2</v>
      </c>
      <c r="L9" s="3">
        <f>(Constraint[[#This Row],[disp_t3]]--0.0145666666666666)/-0.0145666666666666</f>
        <v>1.0695405839533285E-2</v>
      </c>
      <c r="M9" s="3">
        <f>(Constraint[[#This Row],[disp_t6]]--0.0145666666666666)/-0.0145666666666666</f>
        <v>2.3452125657652374E-2</v>
      </c>
      <c r="N9" s="3">
        <f>(Constraint[[#This Row],[disp_q4]]--0.0145666666666666)/-0.0145666666666666</f>
        <v>1.759612039429306E-2</v>
      </c>
      <c r="O9" s="3">
        <f>(Constraint[[#This Row],[disp_q8]]--0.0145666666666666)/-0.0145666666666666</f>
        <v>2.3219763223119187E-2</v>
      </c>
    </row>
    <row r="10" spans="1:15" x14ac:dyDescent="0.3">
      <c r="A10">
        <v>20</v>
      </c>
      <c r="B10">
        <v>11</v>
      </c>
      <c r="C10">
        <f>Constraint[[#This Row],[nxi]]*3</f>
        <v>33</v>
      </c>
      <c r="D10">
        <v>2016</v>
      </c>
      <c r="E10">
        <v>-1.4661222438039001E-2</v>
      </c>
      <c r="F10">
        <v>3398</v>
      </c>
      <c r="G10">
        <v>-1.48888772007283E-2</v>
      </c>
      <c r="H10">
        <v>2016</v>
      </c>
      <c r="I10">
        <v>-1.4792142969305699E-2</v>
      </c>
      <c r="J10">
        <v>3398</v>
      </c>
      <c r="K10">
        <v>-1.48855320864724E-2</v>
      </c>
      <c r="L10" s="3">
        <f>(Constraint[[#This Row],[disp_t3]]--0.0145666666666666)/-0.0145666666666666</f>
        <v>6.4912428859772399E-3</v>
      </c>
      <c r="M10" s="3">
        <f>(Constraint[[#This Row],[disp_t6]]--0.0145666666666666)/-0.0145666666666666</f>
        <v>2.2119716297142045E-2</v>
      </c>
      <c r="N10" s="3">
        <f>(Constraint[[#This Row],[disp_q4]]--0.0145666666666666)/-0.0145666666666666</f>
        <v>1.5478922377970326E-2</v>
      </c>
      <c r="O10" s="3">
        <f>(Constraint[[#This Row],[disp_q8]]--0.0145666666666666)/-0.0145666666666666</f>
        <v>2.1890074586210697E-2</v>
      </c>
    </row>
    <row r="11" spans="1:15" x14ac:dyDescent="0.3">
      <c r="A11">
        <v>20</v>
      </c>
      <c r="B11">
        <v>9</v>
      </c>
      <c r="C11">
        <f>Constraint[[#This Row],[nxi]]*3</f>
        <v>27</v>
      </c>
      <c r="D11">
        <v>1680</v>
      </c>
      <c r="E11">
        <v>-1.45616795516841E-2</v>
      </c>
      <c r="F11">
        <v>2818</v>
      </c>
      <c r="G11">
        <v>-1.48630665475065E-2</v>
      </c>
      <c r="H11">
        <v>1680</v>
      </c>
      <c r="I11">
        <v>-1.4742803114599801E-2</v>
      </c>
      <c r="J11">
        <v>2818</v>
      </c>
      <c r="K11">
        <v>-1.4859978132482099E-2</v>
      </c>
      <c r="L11" s="3">
        <f>(Constraint[[#This Row],[disp_t3]]--0.0145666666666666)/-0.0145666666666666</f>
        <v>-3.4236487294043061E-4</v>
      </c>
      <c r="M11" s="3">
        <f>(Constraint[[#This Row],[disp_t6]]--0.0145666666666666)/-0.0145666666666666</f>
        <v>2.0347817906629404E-2</v>
      </c>
      <c r="N11" s="3">
        <f>(Constraint[[#This Row],[disp_q4]]--0.0145666666666666)/-0.0145666666666666</f>
        <v>1.2091746997702662E-2</v>
      </c>
      <c r="O11" s="3">
        <f>(Constraint[[#This Row],[disp_q8]]--0.0145666666666666)/-0.0145666666666666</f>
        <v>2.0135798568569886E-2</v>
      </c>
    </row>
    <row r="12" spans="1:15" x14ac:dyDescent="0.3">
      <c r="A12">
        <v>20</v>
      </c>
      <c r="B12">
        <v>8</v>
      </c>
      <c r="C12">
        <f>Constraint[[#This Row],[nxi]]*3</f>
        <v>24</v>
      </c>
      <c r="D12">
        <v>1512</v>
      </c>
      <c r="E12">
        <v>-1.44864983774186E-2</v>
      </c>
      <c r="F12">
        <v>2528</v>
      </c>
      <c r="G12">
        <v>-1.48462514052526E-2</v>
      </c>
      <c r="H12">
        <v>1512</v>
      </c>
      <c r="I12">
        <v>-1.4705674509222199E-2</v>
      </c>
      <c r="J12">
        <v>2528</v>
      </c>
      <c r="K12">
        <v>-1.4843368888676E-2</v>
      </c>
      <c r="L12" s="3">
        <f>(Constraint[[#This Row],[disp_t3]]--0.0145666666666666)/-0.0145666666666666</f>
        <v>-5.503543884302021E-3</v>
      </c>
      <c r="M12" s="3">
        <f>(Constraint[[#This Row],[disp_t6]]--0.0145666666666666)/-0.0145666666666666</f>
        <v>1.9193460314828516E-2</v>
      </c>
      <c r="N12" s="3">
        <f>(Constraint[[#This Row],[disp_q4]]--0.0145666666666666)/-0.0145666666666666</f>
        <v>9.542872486654504E-3</v>
      </c>
      <c r="O12" s="3">
        <f>(Constraint[[#This Row],[disp_q8]]--0.0145666666666666)/-0.0145666666666666</f>
        <v>1.8995575881652307E-2</v>
      </c>
    </row>
    <row r="13" spans="1:15" x14ac:dyDescent="0.3">
      <c r="A13">
        <v>20</v>
      </c>
      <c r="B13">
        <v>7</v>
      </c>
      <c r="C13">
        <f>Constraint[[#This Row],[nxi]]*3</f>
        <v>21</v>
      </c>
      <c r="D13">
        <v>1344</v>
      </c>
      <c r="E13">
        <v>-1.4382957653692199E-2</v>
      </c>
      <c r="F13">
        <v>2238</v>
      </c>
      <c r="G13">
        <v>-1.4825303460573799E-2</v>
      </c>
      <c r="H13">
        <v>1344</v>
      </c>
      <c r="I13">
        <v>-1.46542624824891E-2</v>
      </c>
      <c r="J13">
        <v>2238</v>
      </c>
      <c r="K13">
        <v>-1.4822684393085201E-2</v>
      </c>
      <c r="L13" s="3">
        <f>(Constraint[[#This Row],[disp_t3]]--0.0145666666666666)/-0.0145666666666666</f>
        <v>-1.2611602721354748E-2</v>
      </c>
      <c r="M13" s="3">
        <f>(Constraint[[#This Row],[disp_t6]]--0.0145666666666666)/-0.0145666666666666</f>
        <v>1.7755386309418846E-2</v>
      </c>
      <c r="N13" s="3">
        <f>(Constraint[[#This Row],[disp_q4]]--0.0145666666666666)/-0.0145666666666666</f>
        <v>6.0134427338101584E-3</v>
      </c>
      <c r="O13" s="3">
        <f>(Constraint[[#This Row],[disp_q8]]--0.0145666666666666)/-0.0145666666666666</f>
        <v>1.7575587625991023E-2</v>
      </c>
    </row>
    <row r="14" spans="1:15" x14ac:dyDescent="0.3">
      <c r="A14">
        <v>20</v>
      </c>
      <c r="B14">
        <v>6</v>
      </c>
      <c r="C14">
        <f>Constraint[[#This Row],[nxi]]*3</f>
        <v>18</v>
      </c>
      <c r="D14">
        <v>1176</v>
      </c>
      <c r="E14">
        <v>-1.42351783930313E-2</v>
      </c>
      <c r="F14">
        <v>1948</v>
      </c>
      <c r="G14">
        <v>-1.4798103200895399E-2</v>
      </c>
      <c r="H14">
        <v>1176</v>
      </c>
      <c r="I14">
        <v>-1.45796835394458E-2</v>
      </c>
      <c r="J14">
        <v>1948</v>
      </c>
      <c r="K14">
        <v>-1.47957860112837E-2</v>
      </c>
      <c r="L14" s="3">
        <f>(Constraint[[#This Row],[disp_t3]]--0.0145666666666666)/-0.0145666666666666</f>
        <v>-2.2756632057343337E-2</v>
      </c>
      <c r="M14" s="3">
        <f>(Constraint[[#This Row],[disp_t6]]--0.0145666666666666)/-0.0145666666666666</f>
        <v>1.5888091594654527E-2</v>
      </c>
      <c r="N14" s="3">
        <f>(Constraint[[#This Row],[disp_q4]]--0.0145666666666666)/-0.0145666666666666</f>
        <v>8.9360682694742169E-4</v>
      </c>
      <c r="O14" s="3">
        <f>(Constraint[[#This Row],[disp_q8]]--0.0145666666666666)/-0.0145666666666666</f>
        <v>1.5729016792936021E-2</v>
      </c>
    </row>
    <row r="15" spans="1:15" x14ac:dyDescent="0.3">
      <c r="A15">
        <v>20</v>
      </c>
      <c r="B15">
        <v>5</v>
      </c>
      <c r="C15">
        <f>Constraint[[#This Row],[nxi]]*3</f>
        <v>15</v>
      </c>
      <c r="D15">
        <v>1008</v>
      </c>
      <c r="E15">
        <v>-1.40154783218727E-2</v>
      </c>
      <c r="F15">
        <v>1658</v>
      </c>
      <c r="G15">
        <v>-1.4760865596282801E-2</v>
      </c>
      <c r="H15">
        <v>1008</v>
      </c>
      <c r="I15">
        <v>-1.44649206517477E-2</v>
      </c>
      <c r="J15">
        <v>1658</v>
      </c>
      <c r="K15">
        <v>-1.47589765456143E-2</v>
      </c>
      <c r="L15" s="3">
        <f>(Constraint[[#This Row],[disp_t3]]--0.0145666666666666)/-0.0145666666666666</f>
        <v>-3.7839016805073358E-2</v>
      </c>
      <c r="M15" s="3">
        <f>(Constraint[[#This Row],[disp_t6]]--0.0145666666666666)/-0.0145666666666666</f>
        <v>1.3331734298595117E-2</v>
      </c>
      <c r="N15" s="3">
        <f>(Constraint[[#This Row],[disp_q4]]--0.0145666666666666)/-0.0145666666666666</f>
        <v>-6.9848522827619932E-3</v>
      </c>
      <c r="O15" s="3">
        <f>(Constraint[[#This Row],[disp_q8]]--0.0145666666666666)/-0.0145666666666666</f>
        <v>1.3202051186341088E-2</v>
      </c>
    </row>
    <row r="16" spans="1:15" x14ac:dyDescent="0.3">
      <c r="A16">
        <v>20</v>
      </c>
      <c r="B16">
        <v>4</v>
      </c>
      <c r="C16">
        <f>Constraint[[#This Row],[nxi]]*3</f>
        <v>12</v>
      </c>
      <c r="D16">
        <v>840</v>
      </c>
      <c r="E16">
        <v>-1.3674369958869999E-2</v>
      </c>
      <c r="F16">
        <v>1368</v>
      </c>
      <c r="G16">
        <v>-1.47064111609993E-2</v>
      </c>
      <c r="H16">
        <v>840</v>
      </c>
      <c r="I16">
        <v>-1.42744567922083E-2</v>
      </c>
      <c r="J16">
        <v>1368</v>
      </c>
      <c r="K16">
        <v>-1.47049098147539E-2</v>
      </c>
      <c r="L16" s="3">
        <f>(Constraint[[#This Row],[disp_t3]]--0.0145666666666666)/-0.0145666666666666</f>
        <v>-6.1256066896792034E-2</v>
      </c>
      <c r="M16" s="3">
        <f>(Constraint[[#This Row],[disp_t6]]--0.0145666666666666)/-0.0145666666666666</f>
        <v>9.5934435468673519E-3</v>
      </c>
      <c r="N16" s="3">
        <f>(Constraint[[#This Row],[disp_q4]]--0.0145666666666666)/-0.0145666666666666</f>
        <v>-2.0060174447938242E-2</v>
      </c>
      <c r="O16" s="3">
        <f>(Constraint[[#This Row],[disp_q8]]--0.0145666666666666)/-0.0145666666666666</f>
        <v>9.4903762988994122E-3</v>
      </c>
    </row>
    <row r="17" spans="1:15" x14ac:dyDescent="0.3">
      <c r="A17">
        <v>20</v>
      </c>
      <c r="B17">
        <v>3</v>
      </c>
      <c r="C17">
        <f>Constraint[[#This Row],[nxi]]*3</f>
        <v>9</v>
      </c>
      <c r="D17">
        <v>672</v>
      </c>
      <c r="E17">
        <v>-1.3126205899814799E-2</v>
      </c>
      <c r="F17">
        <v>1078</v>
      </c>
      <c r="G17">
        <v>-1.4621054840416901E-2</v>
      </c>
      <c r="H17">
        <v>672</v>
      </c>
      <c r="I17">
        <v>-1.3927248864251699E-2</v>
      </c>
      <c r="J17">
        <v>1078</v>
      </c>
      <c r="K17">
        <v>-1.46208262804118E-2</v>
      </c>
      <c r="L17" s="3">
        <f>(Constraint[[#This Row],[disp_t3]]--0.0145666666666666)/-0.0145666666666666</f>
        <v>-9.8887466831931822E-2</v>
      </c>
      <c r="M17" s="3">
        <f>(Constraint[[#This Row],[disp_t6]]--0.0145666666666666)/-0.0145666666666666</f>
        <v>3.7337419050550266E-3</v>
      </c>
      <c r="N17" s="3">
        <f>(Constraint[[#This Row],[disp_q4]]--0.0145666666666666)/-0.0145666666666666</f>
        <v>-4.3895958975851454E-2</v>
      </c>
      <c r="O17" s="3">
        <f>(Constraint[[#This Row],[disp_q8]]--0.0145666666666666)/-0.0145666666666666</f>
        <v>3.7180512868558728E-3</v>
      </c>
    </row>
    <row r="18" spans="1:15" x14ac:dyDescent="0.3">
      <c r="A18">
        <v>20</v>
      </c>
      <c r="B18">
        <v>2</v>
      </c>
      <c r="C18">
        <f>Constraint[[#This Row],[nxi]]*3</f>
        <v>6</v>
      </c>
      <c r="D18">
        <v>504</v>
      </c>
      <c r="E18">
        <v>-1.2270950418418299E-2</v>
      </c>
      <c r="F18">
        <v>788</v>
      </c>
      <c r="G18">
        <v>-1.4495529157613899E-2</v>
      </c>
      <c r="H18">
        <v>504</v>
      </c>
      <c r="I18">
        <v>-1.32402929482486E-2</v>
      </c>
      <c r="J18">
        <v>788</v>
      </c>
      <c r="K18">
        <v>-1.44973623728864E-2</v>
      </c>
      <c r="L18" s="3">
        <f>(Constraint[[#This Row],[disp_t3]]--0.0145666666666666)/-0.0145666666666666</f>
        <v>-0.15760065777448357</v>
      </c>
      <c r="M18" s="3">
        <f>(Constraint[[#This Row],[disp_t6]]--0.0145666666666666)/-0.0145666666666666</f>
        <v>-4.8835818571647772E-3</v>
      </c>
      <c r="N18" s="3">
        <f>(Constraint[[#This Row],[disp_q4]]--0.0145666666666666)/-0.0145666666666666</f>
        <v>-9.1055404010389376E-2</v>
      </c>
      <c r="O18" s="3">
        <f>(Constraint[[#This Row],[disp_q8]]--0.0145666666666666)/-0.0145666666666666</f>
        <v>-4.7577318384576205E-3</v>
      </c>
    </row>
    <row r="19" spans="1:15" x14ac:dyDescent="0.3">
      <c r="A19">
        <v>15</v>
      </c>
      <c r="B19">
        <v>40</v>
      </c>
      <c r="C19">
        <f>Constraint[[#This Row],[nxi]]*3</f>
        <v>120</v>
      </c>
      <c r="D19">
        <v>5248</v>
      </c>
      <c r="E19">
        <v>-1.48640433640405E-2</v>
      </c>
      <c r="F19">
        <v>8958</v>
      </c>
      <c r="G19">
        <v>-1.5051048740476299E-2</v>
      </c>
      <c r="H19">
        <v>5248</v>
      </c>
      <c r="I19">
        <v>-1.4906189749595801E-2</v>
      </c>
      <c r="J19">
        <v>8958</v>
      </c>
      <c r="K19">
        <v>-1.50839989226202E-2</v>
      </c>
      <c r="L19" s="3">
        <f>(Constraint[[#This Row],[disp_t3]]--0.0145666666666666)/-0.0145666666666666</f>
        <v>2.0414876249924593E-2</v>
      </c>
      <c r="M19" s="3">
        <f>(Constraint[[#This Row],[disp_t6]]--0.0145666666666666)/-0.0145666666666666</f>
        <v>3.325277394574614E-2</v>
      </c>
      <c r="N19" s="3">
        <f>(Constraint[[#This Row],[disp_q4]]--0.0145666666666666)/-0.0145666666666666</f>
        <v>2.3308220796055115E-2</v>
      </c>
      <c r="O19" s="3">
        <f>(Constraint[[#This Row],[disp_q8]]--0.0145666666666666)/-0.0145666666666666</f>
        <v>3.5514800179881234E-2</v>
      </c>
    </row>
    <row r="20" spans="1:15" x14ac:dyDescent="0.3">
      <c r="A20">
        <v>15</v>
      </c>
      <c r="B20">
        <v>34</v>
      </c>
      <c r="C20">
        <f>Constraint[[#This Row],[nxi]]*3</f>
        <v>102</v>
      </c>
      <c r="D20">
        <v>4480</v>
      </c>
      <c r="E20">
        <v>-1.4855444803891E-2</v>
      </c>
      <c r="F20">
        <v>7638</v>
      </c>
      <c r="G20">
        <v>-1.5038760989802899E-2</v>
      </c>
      <c r="H20">
        <v>4480</v>
      </c>
      <c r="I20">
        <v>-1.4900826544214801E-2</v>
      </c>
      <c r="J20">
        <v>7638</v>
      </c>
      <c r="K20">
        <v>-1.50627952818706E-2</v>
      </c>
      <c r="L20" s="3">
        <f>(Constraint[[#This Row],[disp_t3]]--0.0145666666666666)/-0.0145666666666666</f>
        <v>1.9824586079478367E-2</v>
      </c>
      <c r="M20" s="3">
        <f>(Constraint[[#This Row],[disp_t6]]--0.0145666666666666)/-0.0145666666666666</f>
        <v>3.2409221267938368E-2</v>
      </c>
      <c r="N20" s="3">
        <f>(Constraint[[#This Row],[disp_q4]]--0.0145666666666666)/-0.0145666666666666</f>
        <v>2.2940037360288525E-2</v>
      </c>
      <c r="O20" s="3">
        <f>(Constraint[[#This Row],[disp_q8]]--0.0145666666666666)/-0.0145666666666666</f>
        <v>3.405917266846703E-2</v>
      </c>
    </row>
    <row r="21" spans="1:15" x14ac:dyDescent="0.3">
      <c r="A21">
        <v>15</v>
      </c>
      <c r="B21">
        <v>29</v>
      </c>
      <c r="C21">
        <f>Constraint[[#This Row],[nxi]]*3</f>
        <v>87</v>
      </c>
      <c r="D21">
        <v>3840</v>
      </c>
      <c r="E21">
        <v>-1.4844596194322299E-2</v>
      </c>
      <c r="F21">
        <v>6538</v>
      </c>
      <c r="G21">
        <v>-1.50253007220778E-2</v>
      </c>
      <c r="H21">
        <v>3840</v>
      </c>
      <c r="I21">
        <v>-1.4894417001044101E-2</v>
      </c>
      <c r="J21">
        <v>6538</v>
      </c>
      <c r="K21">
        <v>-1.50415542769385E-2</v>
      </c>
      <c r="L21" s="3">
        <f>(Constraint[[#This Row],[disp_t3]]--0.0145666666666666)/-0.0145666666666666</f>
        <v>1.9079830273846774E-2</v>
      </c>
      <c r="M21" s="3">
        <f>(Constraint[[#This Row],[disp_t6]]--0.0145666666666666)/-0.0145666666666666</f>
        <v>3.1485175428686722E-2</v>
      </c>
      <c r="N21" s="3">
        <f>(Constraint[[#This Row],[disp_q4]]--0.0145666666666666)/-0.0145666666666666</f>
        <v>2.2500022954977311E-2</v>
      </c>
      <c r="O21" s="3">
        <f>(Constraint[[#This Row],[disp_q8]]--0.0145666666666666)/-0.0145666666666666</f>
        <v>3.2600980110199303E-2</v>
      </c>
    </row>
    <row r="22" spans="1:15" x14ac:dyDescent="0.3">
      <c r="A22">
        <v>15</v>
      </c>
      <c r="B22">
        <v>24</v>
      </c>
      <c r="C22">
        <f>Constraint[[#This Row],[nxi]]*3</f>
        <v>72</v>
      </c>
      <c r="D22">
        <v>3200</v>
      </c>
      <c r="E22">
        <v>-1.48271562193267E-2</v>
      </c>
      <c r="F22">
        <v>5438</v>
      </c>
      <c r="G22">
        <v>-1.5007393886740701E-2</v>
      </c>
      <c r="H22">
        <v>3200</v>
      </c>
      <c r="I22">
        <v>-1.48845223213436E-2</v>
      </c>
      <c r="J22">
        <v>5438</v>
      </c>
      <c r="K22">
        <v>-1.5016042410068899E-2</v>
      </c>
      <c r="L22" s="3">
        <f>(Constraint[[#This Row],[disp_t3]]--0.0145666666666666)/-0.0145666666666666</f>
        <v>1.7882577985819364E-2</v>
      </c>
      <c r="M22" s="3">
        <f>(Constraint[[#This Row],[disp_t6]]--0.0145666666666666)/-0.0145666666666666</f>
        <v>3.0255873231631817E-2</v>
      </c>
      <c r="N22" s="3">
        <f>(Constraint[[#This Row],[disp_q4]]--0.0145666666666666)/-0.0145666666666666</f>
        <v>2.1820754325652322E-2</v>
      </c>
      <c r="O22" s="3">
        <f>(Constraint[[#This Row],[disp_q8]]--0.0145666666666666)/-0.0145666666666666</f>
        <v>3.0849593368579085E-2</v>
      </c>
    </row>
    <row r="23" spans="1:15" x14ac:dyDescent="0.3">
      <c r="A23">
        <v>15</v>
      </c>
      <c r="B23">
        <v>21</v>
      </c>
      <c r="C23">
        <f>Constraint[[#This Row],[nxi]]*3</f>
        <v>63</v>
      </c>
      <c r="D23">
        <v>2816</v>
      </c>
      <c r="E23">
        <v>-1.4810835113605701E-2</v>
      </c>
      <c r="F23">
        <v>4778</v>
      </c>
      <c r="G23">
        <v>-1.49935456912138E-2</v>
      </c>
      <c r="H23">
        <v>2816</v>
      </c>
      <c r="I23">
        <v>-1.4875519836697401E-2</v>
      </c>
      <c r="J23">
        <v>4778</v>
      </c>
      <c r="K23">
        <v>-1.4998028101915599E-2</v>
      </c>
      <c r="L23" s="3">
        <f>(Constraint[[#This Row],[disp_t3]]--0.0145666666666666)/-0.0145666666666666</f>
        <v>1.6762135945476153E-2</v>
      </c>
      <c r="M23" s="3">
        <f>(Constraint[[#This Row],[disp_t6]]--0.0145666666666666)/-0.0145666666666666</f>
        <v>2.9305196193171821E-2</v>
      </c>
      <c r="N23" s="3">
        <f>(Constraint[[#This Row],[disp_q4]]--0.0145666666666666)/-0.0145666666666666</f>
        <v>2.1202734784723311E-2</v>
      </c>
      <c r="O23" s="3">
        <f>(Constraint[[#This Row],[disp_q8]]--0.0145666666666666)/-0.0145666666666666</f>
        <v>2.9612913174988691E-2</v>
      </c>
    </row>
    <row r="24" spans="1:15" x14ac:dyDescent="0.3">
      <c r="A24">
        <v>15</v>
      </c>
      <c r="B24">
        <v>18</v>
      </c>
      <c r="C24">
        <f>Constraint[[#This Row],[nxi]]*3</f>
        <v>54</v>
      </c>
      <c r="D24">
        <v>2432</v>
      </c>
      <c r="E24">
        <v>-1.47865577157066E-2</v>
      </c>
      <c r="F24">
        <v>4118</v>
      </c>
      <c r="G24">
        <v>-1.49763890098798E-2</v>
      </c>
      <c r="H24">
        <v>2432</v>
      </c>
      <c r="I24">
        <v>-1.4862435966359199E-2</v>
      </c>
      <c r="J24">
        <v>4118</v>
      </c>
      <c r="K24">
        <v>-1.4977265386871301E-2</v>
      </c>
      <c r="L24" s="3">
        <f>(Constraint[[#This Row],[disp_t3]]--0.0145666666666666)/-0.0145666666666666</f>
        <v>1.5095495357437214E-2</v>
      </c>
      <c r="M24" s="3">
        <f>(Constraint[[#This Row],[disp_t6]]--0.0145666666666666)/-0.0145666666666666</f>
        <v>2.8127391982599701E-2</v>
      </c>
      <c r="N24" s="3">
        <f>(Constraint[[#This Row],[disp_q4]]--0.0145666666666666)/-0.0145666666666666</f>
        <v>2.030452858301612E-2</v>
      </c>
      <c r="O24" s="3">
        <f>(Constraint[[#This Row],[disp_q8]]--0.0145666666666666)/-0.0145666666666666</f>
        <v>2.8187555162794271E-2</v>
      </c>
    </row>
    <row r="25" spans="1:15" x14ac:dyDescent="0.3">
      <c r="A25">
        <v>15</v>
      </c>
      <c r="B25">
        <v>15</v>
      </c>
      <c r="C25">
        <f>Constraint[[#This Row],[nxi]]*3</f>
        <v>45</v>
      </c>
      <c r="D25">
        <v>2048</v>
      </c>
      <c r="E25">
        <v>-1.47480739112312E-2</v>
      </c>
      <c r="F25">
        <v>3458</v>
      </c>
      <c r="G25">
        <v>-1.49545929683023E-2</v>
      </c>
      <c r="H25">
        <v>2048</v>
      </c>
      <c r="I25">
        <v>-1.4842232806043699E-2</v>
      </c>
      <c r="J25">
        <v>3458</v>
      </c>
      <c r="K25">
        <v>-1.49526627332812E-2</v>
      </c>
      <c r="L25" s="3">
        <f>(Constraint[[#This Row],[disp_t3]]--0.0145666666666666)/-0.0145666666666666</f>
        <v>1.2453586583382274E-2</v>
      </c>
      <c r="M25" s="3">
        <f>(Constraint[[#This Row],[disp_t6]]--0.0145666666666666)/-0.0145666666666666</f>
        <v>2.663109622213063E-2</v>
      </c>
      <c r="N25" s="3">
        <f>(Constraint[[#This Row],[disp_q4]]--0.0145666666666666)/-0.0145666666666666</f>
        <v>1.8917583938931424E-2</v>
      </c>
      <c r="O25" s="3">
        <f>(Constraint[[#This Row],[disp_q8]]--0.0145666666666666)/-0.0145666666666666</f>
        <v>2.6498585808782768E-2</v>
      </c>
    </row>
    <row r="26" spans="1:15" x14ac:dyDescent="0.3">
      <c r="A26">
        <v>15</v>
      </c>
      <c r="B26">
        <v>13</v>
      </c>
      <c r="C26">
        <f>Constraint[[#This Row],[nxi]]*3</f>
        <v>39</v>
      </c>
      <c r="D26">
        <v>1792</v>
      </c>
      <c r="E26">
        <v>-1.47082392469048E-2</v>
      </c>
      <c r="F26">
        <v>3018</v>
      </c>
      <c r="G26">
        <v>-1.49363713099834E-2</v>
      </c>
      <c r="H26">
        <v>1792</v>
      </c>
      <c r="I26">
        <v>-1.48217946118144E-2</v>
      </c>
      <c r="J26">
        <v>3018</v>
      </c>
      <c r="K26">
        <v>-1.49331257002818E-2</v>
      </c>
      <c r="L26" s="3">
        <f>(Constraint[[#This Row],[disp_t3]]--0.0145666666666666)/-0.0145666666666666</f>
        <v>9.718941435116802E-3</v>
      </c>
      <c r="M26" s="3">
        <f>(Constraint[[#This Row],[disp_t6]]--0.0145666666666666)/-0.0145666666666666</f>
        <v>2.5380181463396073E-2</v>
      </c>
      <c r="N26" s="3">
        <f>(Constraint[[#This Row],[disp_q4]]--0.0145666666666666)/-0.0145666666666666</f>
        <v>1.7514504243556224E-2</v>
      </c>
      <c r="O26" s="3">
        <f>(Constraint[[#This Row],[disp_q8]]--0.0145666666666666)/-0.0145666666666666</f>
        <v>2.5157370728732413E-2</v>
      </c>
    </row>
    <row r="27" spans="1:15" x14ac:dyDescent="0.3">
      <c r="A27">
        <v>15</v>
      </c>
      <c r="B27">
        <v>11</v>
      </c>
      <c r="C27">
        <f>Constraint[[#This Row],[nxi]]*3</f>
        <v>33</v>
      </c>
      <c r="D27">
        <v>1536</v>
      </c>
      <c r="E27">
        <v>-1.46477765838148E-2</v>
      </c>
      <c r="F27">
        <v>2578</v>
      </c>
      <c r="G27">
        <v>-1.49137507442582E-2</v>
      </c>
      <c r="H27">
        <v>1536</v>
      </c>
      <c r="I27">
        <v>-1.47913269250426E-2</v>
      </c>
      <c r="J27">
        <v>2578</v>
      </c>
      <c r="K27">
        <v>-1.49096956825306E-2</v>
      </c>
      <c r="L27" s="3">
        <f>(Constraint[[#This Row],[disp_t3]]--0.0145666666666666)/-0.0145666666666666</f>
        <v>5.5681865319131022E-3</v>
      </c>
      <c r="M27" s="3">
        <f>(Constraint[[#This Row],[disp_t6]]--0.0145666666666666)/-0.0145666666666666</f>
        <v>2.3827282214526482E-2</v>
      </c>
      <c r="N27" s="3">
        <f>(Constraint[[#This Row],[disp_q4]]--0.0145666666666666)/-0.0145666666666666</f>
        <v>1.5422901032677482E-2</v>
      </c>
      <c r="O27" s="3">
        <f>(Constraint[[#This Row],[disp_q8]]--0.0145666666666666)/-0.0145666666666666</f>
        <v>2.3548902690892624E-2</v>
      </c>
    </row>
    <row r="28" spans="1:15" x14ac:dyDescent="0.3">
      <c r="A28">
        <v>15</v>
      </c>
      <c r="B28">
        <v>9</v>
      </c>
      <c r="C28">
        <f>Constraint[[#This Row],[nxi]]*3</f>
        <v>27</v>
      </c>
      <c r="D28">
        <v>1280</v>
      </c>
      <c r="E28">
        <v>-1.4549164492852099E-2</v>
      </c>
      <c r="F28">
        <v>2138</v>
      </c>
      <c r="G28">
        <v>-1.4884221329300401E-2</v>
      </c>
      <c r="H28">
        <v>1280</v>
      </c>
      <c r="I28">
        <v>-1.4742280305639699E-2</v>
      </c>
      <c r="J28">
        <v>2138</v>
      </c>
      <c r="K28">
        <v>-1.4879893114484699E-2</v>
      </c>
      <c r="L28" s="3">
        <f>(Constraint[[#This Row],[disp_t3]]--0.0145666666666666)/-0.0145666666666666</f>
        <v>-1.2015222298283868E-3</v>
      </c>
      <c r="M28" s="3">
        <f>(Constraint[[#This Row],[disp_t6]]--0.0145666666666666)/-0.0145666666666666</f>
        <v>2.1800091256325139E-2</v>
      </c>
      <c r="N28" s="3">
        <f>(Constraint[[#This Row],[disp_q4]]--0.0145666666666666)/-0.0145666666666666</f>
        <v>1.2055856222409662E-2</v>
      </c>
      <c r="O28" s="3">
        <f>(Constraint[[#This Row],[disp_q8]]--0.0145666666666666)/-0.0145666666666666</f>
        <v>2.1502959804446331E-2</v>
      </c>
    </row>
    <row r="29" spans="1:15" x14ac:dyDescent="0.3">
      <c r="A29">
        <v>15</v>
      </c>
      <c r="B29">
        <v>8</v>
      </c>
      <c r="C29">
        <f>Constraint[[#This Row],[nxi]]*3</f>
        <v>24</v>
      </c>
      <c r="D29">
        <v>1152</v>
      </c>
      <c r="E29">
        <v>-1.44745641489675E-2</v>
      </c>
      <c r="F29">
        <v>1918</v>
      </c>
      <c r="G29">
        <v>-1.4865361757997299E-2</v>
      </c>
      <c r="H29">
        <v>1152</v>
      </c>
      <c r="I29">
        <v>-1.4705265139316E-2</v>
      </c>
      <c r="J29">
        <v>1918</v>
      </c>
      <c r="K29">
        <v>-1.4861098504396699E-2</v>
      </c>
      <c r="L29" s="3">
        <f>(Constraint[[#This Row],[disp_t3]]--0.0145666666666666)/-0.0145666666666666</f>
        <v>-6.3228273019976739E-3</v>
      </c>
      <c r="M29" s="3">
        <f>(Constraint[[#This Row],[disp_t6]]--0.0145666666666666)/-0.0145666666666666</f>
        <v>2.0505383844212896E-2</v>
      </c>
      <c r="N29" s="3">
        <f>(Constraint[[#This Row],[disp_q4]]--0.0145666666666666)/-0.0145666666666666</f>
        <v>9.5147692894325866E-3</v>
      </c>
      <c r="O29" s="3">
        <f>(Constraint[[#This Row],[disp_q8]]--0.0145666666666666)/-0.0145666666666666</f>
        <v>2.0212711972318175E-2</v>
      </c>
    </row>
    <row r="30" spans="1:15" x14ac:dyDescent="0.3">
      <c r="A30">
        <v>15</v>
      </c>
      <c r="B30">
        <v>7</v>
      </c>
      <c r="C30">
        <f>Constraint[[#This Row],[nxi]]*3</f>
        <v>21</v>
      </c>
      <c r="D30">
        <v>1024</v>
      </c>
      <c r="E30">
        <v>-1.43717388918084E-2</v>
      </c>
      <c r="F30">
        <v>1698</v>
      </c>
      <c r="G30">
        <v>-1.48422532645012E-2</v>
      </c>
      <c r="H30">
        <v>1024</v>
      </c>
      <c r="I30">
        <v>-1.46539430772307E-2</v>
      </c>
      <c r="J30">
        <v>1698</v>
      </c>
      <c r="K30">
        <v>-1.48381991735319E-2</v>
      </c>
      <c r="L30" s="3">
        <f>(Constraint[[#This Row],[disp_t3]]--0.0145666666666666)/-0.0145666666666666</f>
        <v>-1.3381769441066385E-2</v>
      </c>
      <c r="M30" s="3">
        <f>(Constraint[[#This Row],[disp_t6]]--0.0145666666666666)/-0.0145666666666666</f>
        <v>1.8918988409698082E-2</v>
      </c>
      <c r="N30" s="3">
        <f>(Constraint[[#This Row],[disp_q4]]--0.0145666666666666)/-0.0145666666666666</f>
        <v>5.9915155993662149E-3</v>
      </c>
      <c r="O30" s="3">
        <f>(Constraint[[#This Row],[disp_q8]]--0.0145666666666666)/-0.0145666666666666</f>
        <v>1.8640675528510463E-2</v>
      </c>
    </row>
    <row r="31" spans="1:15" x14ac:dyDescent="0.3">
      <c r="A31">
        <v>15</v>
      </c>
      <c r="B31">
        <v>6</v>
      </c>
      <c r="C31">
        <f>Constraint[[#This Row],[nxi]]*3</f>
        <v>18</v>
      </c>
      <c r="D31">
        <v>896</v>
      </c>
      <c r="E31">
        <v>-1.4224882836483601E-2</v>
      </c>
      <c r="F31">
        <v>1478</v>
      </c>
      <c r="G31">
        <v>-1.48127847183831E-2</v>
      </c>
      <c r="H31">
        <v>896</v>
      </c>
      <c r="I31">
        <v>-1.45794295397348E-2</v>
      </c>
      <c r="J31">
        <v>1478</v>
      </c>
      <c r="K31">
        <v>-1.4809045945516301E-2</v>
      </c>
      <c r="L31" s="3">
        <f>(Constraint[[#This Row],[disp_t3]]--0.0145666666666666)/-0.0145666666666666</f>
        <v>-2.3463420836361579E-2</v>
      </c>
      <c r="M31" s="3">
        <f>(Constraint[[#This Row],[disp_t6]]--0.0145666666666666)/-0.0145666666666666</f>
        <v>1.6895976090377716E-2</v>
      </c>
      <c r="N31" s="3">
        <f>(Constraint[[#This Row],[disp_q4]]--0.0145666666666666)/-0.0145666666666666</f>
        <v>8.7616977584901307E-4</v>
      </c>
      <c r="O31" s="3">
        <f>(Constraint[[#This Row],[disp_q8]]--0.0145666666666666)/-0.0145666666666666</f>
        <v>1.6639309760849128E-2</v>
      </c>
    </row>
    <row r="32" spans="1:15" x14ac:dyDescent="0.3">
      <c r="A32">
        <v>15</v>
      </c>
      <c r="B32">
        <v>5</v>
      </c>
      <c r="C32">
        <f>Constraint[[#This Row],[nxi]]*3</f>
        <v>15</v>
      </c>
      <c r="D32">
        <v>768</v>
      </c>
      <c r="E32">
        <v>-1.4006424296308899E-2</v>
      </c>
      <c r="F32">
        <v>1258</v>
      </c>
      <c r="G32">
        <v>-1.47731826444487E-2</v>
      </c>
      <c r="H32">
        <v>768</v>
      </c>
      <c r="I32">
        <v>-1.44647067699994E-2</v>
      </c>
      <c r="J32">
        <v>1258</v>
      </c>
      <c r="K32">
        <v>-1.47700041630347E-2</v>
      </c>
      <c r="L32" s="3">
        <f>(Constraint[[#This Row],[disp_t3]]--0.0145666666666666)/-0.0145666666666666</f>
        <v>-3.8460574624098583E-2</v>
      </c>
      <c r="M32" s="3">
        <f>(Constraint[[#This Row],[disp_t6]]--0.0145666666666666)/-0.0145666666666666</f>
        <v>1.4177298245910885E-2</v>
      </c>
      <c r="N32" s="3">
        <f>(Constraint[[#This Row],[disp_q4]]--0.0145666666666666)/-0.0145666666666666</f>
        <v>-6.999535240311194E-3</v>
      </c>
      <c r="O32" s="3">
        <f>(Constraint[[#This Row],[disp_q8]]--0.0145666666666666)/-0.0145666666666666</f>
        <v>1.3959095860510414E-2</v>
      </c>
    </row>
    <row r="33" spans="1:15" x14ac:dyDescent="0.3">
      <c r="A33">
        <v>15</v>
      </c>
      <c r="B33">
        <v>4</v>
      </c>
      <c r="C33">
        <f>Constraint[[#This Row],[nxi]]*3</f>
        <v>12</v>
      </c>
      <c r="D33">
        <v>640</v>
      </c>
      <c r="E33">
        <v>-1.36670253848845E-2</v>
      </c>
      <c r="F33">
        <v>1038</v>
      </c>
      <c r="G33">
        <v>-1.47162838344949E-2</v>
      </c>
      <c r="H33">
        <v>640</v>
      </c>
      <c r="I33">
        <v>-1.42742581022159E-2</v>
      </c>
      <c r="J33">
        <v>1038</v>
      </c>
      <c r="K33">
        <v>-1.4713566161614599E-2</v>
      </c>
      <c r="L33" s="3">
        <f>(Constraint[[#This Row],[disp_t3]]--0.0145666666666666)/-0.0145666666666666</f>
        <v>-6.1760271060556281E-2</v>
      </c>
      <c r="M33" s="3">
        <f>(Constraint[[#This Row],[disp_t6]]--0.0145666666666666)/-0.0145666666666666</f>
        <v>1.0271201452743827E-2</v>
      </c>
      <c r="N33" s="3">
        <f>(Constraint[[#This Row],[disp_q4]]--0.0145666666666666)/-0.0145666666666666</f>
        <v>-2.0073814493183087E-2</v>
      </c>
      <c r="O33" s="3">
        <f>(Constraint[[#This Row],[disp_q8]]--0.0145666666666666)/-0.0145666666666666</f>
        <v>1.0084633520457707E-2</v>
      </c>
    </row>
    <row r="34" spans="1:15" x14ac:dyDescent="0.3">
      <c r="A34">
        <v>15</v>
      </c>
      <c r="B34">
        <v>3</v>
      </c>
      <c r="C34">
        <f>Constraint[[#This Row],[nxi]]*3</f>
        <v>9</v>
      </c>
      <c r="D34">
        <v>512</v>
      </c>
      <c r="E34">
        <v>-1.3121147176438299E-2</v>
      </c>
      <c r="F34">
        <v>818</v>
      </c>
      <c r="G34">
        <v>-1.4628416611275201E-2</v>
      </c>
      <c r="H34">
        <v>512</v>
      </c>
      <c r="I34">
        <v>-1.39270345794015E-2</v>
      </c>
      <c r="J34">
        <v>818</v>
      </c>
      <c r="K34">
        <v>-1.4627497146646301E-2</v>
      </c>
      <c r="L34" s="3">
        <f>(Constraint[[#This Row],[disp_t3]]--0.0145666666666666)/-0.0145666666666666</f>
        <v>-9.9234747612927221E-2</v>
      </c>
      <c r="M34" s="3">
        <f>(Constraint[[#This Row],[disp_t6]]--0.0145666666666666)/-0.0145666666666666</f>
        <v>4.2391266321694411E-3</v>
      </c>
      <c r="N34" s="3">
        <f>(Constraint[[#This Row],[disp_q4]]--0.0145666666666666)/-0.0145666666666666</f>
        <v>-4.3910669606299906E-2</v>
      </c>
      <c r="O34" s="3">
        <f>(Constraint[[#This Row],[disp_q8]]--0.0145666666666666)/-0.0145666666666666</f>
        <v>4.1760054905973683E-3</v>
      </c>
    </row>
    <row r="35" spans="1:15" x14ac:dyDescent="0.3">
      <c r="A35">
        <v>15</v>
      </c>
      <c r="B35">
        <v>2</v>
      </c>
      <c r="C35">
        <f>Constraint[[#This Row],[nxi]]*3</f>
        <v>6</v>
      </c>
      <c r="D35">
        <v>384</v>
      </c>
      <c r="E35">
        <v>-1.22684139114044E-2</v>
      </c>
      <c r="F35">
        <v>598</v>
      </c>
      <c r="G35">
        <v>-1.4500248267326699E-2</v>
      </c>
      <c r="H35">
        <v>384</v>
      </c>
      <c r="I35">
        <v>-1.32399398140511E-2</v>
      </c>
      <c r="J35">
        <v>598</v>
      </c>
      <c r="K35">
        <v>-1.4501009897534899E-2</v>
      </c>
      <c r="L35" s="3">
        <f>(Constraint[[#This Row],[disp_t3]]--0.0145666666666666)/-0.0145666666666666</f>
        <v>-0.15777478869076952</v>
      </c>
      <c r="M35" s="3">
        <f>(Constraint[[#This Row],[disp_t6]]--0.0145666666666666)/-0.0145666666666666</f>
        <v>-4.5596155153249688E-3</v>
      </c>
      <c r="N35" s="3">
        <f>(Constraint[[#This Row],[disp_q4]]--0.0145666666666666)/-0.0145666666666666</f>
        <v>-9.1079646632643396E-2</v>
      </c>
      <c r="O35" s="3">
        <f>(Constraint[[#This Row],[disp_q8]]--0.0145666666666666)/-0.0145666666666666</f>
        <v>-4.5073296886750814E-3</v>
      </c>
    </row>
    <row r="36" spans="1:15" x14ac:dyDescent="0.3">
      <c r="A36">
        <v>11</v>
      </c>
      <c r="B36">
        <v>40</v>
      </c>
      <c r="C36">
        <f>Constraint[[#This Row],[nxi]]*3</f>
        <v>120</v>
      </c>
      <c r="D36">
        <v>3936</v>
      </c>
      <c r="E36">
        <v>-1.4839727437483101E-2</v>
      </c>
      <c r="F36">
        <v>6678</v>
      </c>
      <c r="G36">
        <v>-1.5128553840007501E-2</v>
      </c>
      <c r="H36">
        <v>3936</v>
      </c>
      <c r="I36">
        <v>-1.4910009045071299E-2</v>
      </c>
      <c r="J36">
        <v>6678</v>
      </c>
      <c r="K36">
        <v>-1.5201437295453601E-2</v>
      </c>
      <c r="L36" s="3">
        <f>(Constraint[[#This Row],[disp_t3]]--0.0145666666666666)/-0.0145666666666666</f>
        <v>1.8745590673901771E-2</v>
      </c>
      <c r="M36" s="3">
        <f>(Constraint[[#This Row],[disp_t6]]--0.0145666666666666)/-0.0145666666666666</f>
        <v>3.8573490160702772E-2</v>
      </c>
      <c r="N36" s="3">
        <f>(Constraint[[#This Row],[disp_q4]]--0.0145666666666666)/-0.0145666666666666</f>
        <v>2.3570414993457769E-2</v>
      </c>
      <c r="O36" s="3">
        <f>(Constraint[[#This Row],[disp_q8]]--0.0145666666666666)/-0.0145666666666666</f>
        <v>4.3576931038009449E-2</v>
      </c>
    </row>
    <row r="37" spans="1:15" x14ac:dyDescent="0.3">
      <c r="A37">
        <v>11</v>
      </c>
      <c r="B37">
        <v>34</v>
      </c>
      <c r="C37">
        <f>Constraint[[#This Row],[nxi]]*3</f>
        <v>102</v>
      </c>
      <c r="D37">
        <v>3360</v>
      </c>
      <c r="E37">
        <v>-1.4829107777142801E-2</v>
      </c>
      <c r="F37">
        <v>5694</v>
      </c>
      <c r="G37">
        <v>-1.51134011046067E-2</v>
      </c>
      <c r="H37">
        <v>3360</v>
      </c>
      <c r="I37">
        <v>-1.4902369600672099E-2</v>
      </c>
      <c r="J37">
        <v>5694</v>
      </c>
      <c r="K37">
        <v>-1.51731721988688E-2</v>
      </c>
      <c r="L37" s="3">
        <f>(Constraint[[#This Row],[disp_t3]]--0.0145666666666666)/-0.0145666666666666</f>
        <v>1.8016552206604305E-2</v>
      </c>
      <c r="M37" s="3">
        <f>(Constraint[[#This Row],[disp_t6]]--0.0145666666666666)/-0.0145666666666666</f>
        <v>3.7533256609160424E-2</v>
      </c>
      <c r="N37" s="3">
        <f>(Constraint[[#This Row],[disp_q4]]--0.0145666666666666)/-0.0145666666666666</f>
        <v>2.3045968009530991E-2</v>
      </c>
      <c r="O37" s="3">
        <f>(Constraint[[#This Row],[disp_q8]]--0.0145666666666666)/-0.0145666666666666</f>
        <v>4.1636535391455634E-2</v>
      </c>
    </row>
    <row r="38" spans="1:15" x14ac:dyDescent="0.3">
      <c r="A38">
        <v>11</v>
      </c>
      <c r="B38">
        <v>29</v>
      </c>
      <c r="C38">
        <f>Constraint[[#This Row],[nxi]]*3</f>
        <v>87</v>
      </c>
      <c r="D38">
        <v>2880</v>
      </c>
      <c r="E38">
        <v>-1.48168316658889E-2</v>
      </c>
      <c r="F38">
        <v>4874</v>
      </c>
      <c r="G38">
        <v>-1.5096767863337201E-2</v>
      </c>
      <c r="H38">
        <v>2880</v>
      </c>
      <c r="I38">
        <v>-1.489423602752E-2</v>
      </c>
      <c r="J38">
        <v>4874</v>
      </c>
      <c r="K38">
        <v>-1.51437355130143E-2</v>
      </c>
      <c r="L38" s="3">
        <f>(Constraint[[#This Row],[disp_t3]]--0.0145666666666666)/-0.0145666666666666</f>
        <v>1.7173798573613421E-2</v>
      </c>
      <c r="M38" s="3">
        <f>(Constraint[[#This Row],[disp_t6]]--0.0145666666666666)/-0.0145666666666666</f>
        <v>3.6391386499126127E-2</v>
      </c>
      <c r="N38" s="3">
        <f>(Constraint[[#This Row],[disp_q4]]--0.0145666666666666)/-0.0145666666666666</f>
        <v>2.2487599143254159E-2</v>
      </c>
      <c r="O38" s="3">
        <f>(Constraint[[#This Row],[disp_q8]]--0.0145666666666666)/-0.0145666666666666</f>
        <v>3.9615710275586018E-2</v>
      </c>
    </row>
    <row r="39" spans="1:15" x14ac:dyDescent="0.3">
      <c r="A39">
        <v>11</v>
      </c>
      <c r="B39">
        <v>24</v>
      </c>
      <c r="C39">
        <f>Constraint[[#This Row],[nxi]]*3</f>
        <v>72</v>
      </c>
      <c r="D39">
        <v>2400</v>
      </c>
      <c r="E39">
        <v>-1.4798610838421799E-2</v>
      </c>
      <c r="F39">
        <v>4054</v>
      </c>
      <c r="G39">
        <v>-1.50748303344145E-2</v>
      </c>
      <c r="H39">
        <v>2400</v>
      </c>
      <c r="I39">
        <v>-1.48831654337679E-2</v>
      </c>
      <c r="J39">
        <v>4054</v>
      </c>
      <c r="K39">
        <v>-1.5107480818315901E-2</v>
      </c>
      <c r="L39" s="3">
        <f>(Constraint[[#This Row],[disp_t3]]--0.0145666666666666)/-0.0145666666666666</f>
        <v>1.5922940852759793E-2</v>
      </c>
      <c r="M39" s="3">
        <f>(Constraint[[#This Row],[disp_t6]]--0.0145666666666666)/-0.0145666666666666</f>
        <v>3.488537764859749E-2</v>
      </c>
      <c r="N39" s="3">
        <f>(Constraint[[#This Row],[disp_q4]]--0.0145666666666666)/-0.0145666666666666</f>
        <v>2.1727604148830834E-2</v>
      </c>
      <c r="O39" s="3">
        <f>(Constraint[[#This Row],[disp_q8]]--0.0145666666666666)/-0.0145666666666666</f>
        <v>3.7126829632675322E-2</v>
      </c>
    </row>
    <row r="40" spans="1:15" x14ac:dyDescent="0.3">
      <c r="A40">
        <v>11</v>
      </c>
      <c r="B40">
        <v>21</v>
      </c>
      <c r="C40">
        <f>Constraint[[#This Row],[nxi]]*3</f>
        <v>63</v>
      </c>
      <c r="D40">
        <v>2112</v>
      </c>
      <c r="E40">
        <v>-1.47823117287405E-2</v>
      </c>
      <c r="F40">
        <v>3562</v>
      </c>
      <c r="G40">
        <v>-1.50579728069069E-2</v>
      </c>
      <c r="H40">
        <v>2112</v>
      </c>
      <c r="I40">
        <v>-1.48738765930516E-2</v>
      </c>
      <c r="J40">
        <v>3562</v>
      </c>
      <c r="K40">
        <v>-1.50816244678438E-2</v>
      </c>
      <c r="L40" s="3">
        <f>(Constraint[[#This Row],[disp_t3]]--0.0145666666666666)/-0.0145666666666666</f>
        <v>1.4804008838025257E-2</v>
      </c>
      <c r="M40" s="3">
        <f>(Constraint[[#This Row],[disp_t6]]--0.0145666666666666)/-0.0145666666666666</f>
        <v>3.3728110313979605E-2</v>
      </c>
      <c r="N40" s="3">
        <f>(Constraint[[#This Row],[disp_q4]]--0.0145666666666666)/-0.0145666666666666</f>
        <v>2.1089926296453253E-2</v>
      </c>
      <c r="O40" s="3">
        <f>(Constraint[[#This Row],[disp_q8]]--0.0145666666666666)/-0.0145666666666666</f>
        <v>3.5351794131158118E-2</v>
      </c>
    </row>
    <row r="41" spans="1:15" x14ac:dyDescent="0.3">
      <c r="A41">
        <v>11</v>
      </c>
      <c r="B41">
        <v>18</v>
      </c>
      <c r="C41">
        <f>Constraint[[#This Row],[nxi]]*3</f>
        <v>54</v>
      </c>
      <c r="D41">
        <v>1824</v>
      </c>
      <c r="E41">
        <v>-1.4758513453899899E-2</v>
      </c>
      <c r="F41">
        <v>3070</v>
      </c>
      <c r="G41">
        <v>-1.5037092356519399E-2</v>
      </c>
      <c r="H41">
        <v>1824</v>
      </c>
      <c r="I41">
        <v>-1.4860871593099199E-2</v>
      </c>
      <c r="J41">
        <v>3070</v>
      </c>
      <c r="K41">
        <v>-1.50518764619656E-2</v>
      </c>
      <c r="L41" s="3">
        <f>(Constraint[[#This Row],[disp_t3]]--0.0145666666666666)/-0.0145666666666666</f>
        <v>1.3170259993132791E-2</v>
      </c>
      <c r="M41" s="3">
        <f>(Constraint[[#This Row],[disp_t6]]--0.0145666666666666)/-0.0145666666666666</f>
        <v>3.2294669783945219E-2</v>
      </c>
      <c r="N41" s="3">
        <f>(Constraint[[#This Row],[disp_q4]]--0.0145666666666666)/-0.0145666666666666</f>
        <v>2.0197134537707193E-2</v>
      </c>
      <c r="O41" s="3">
        <f>(Constraint[[#This Row],[disp_q8]]--0.0145666666666666)/-0.0145666666666666</f>
        <v>3.330959693128166E-2</v>
      </c>
    </row>
    <row r="42" spans="1:15" x14ac:dyDescent="0.3">
      <c r="A42">
        <v>11</v>
      </c>
      <c r="B42">
        <v>15</v>
      </c>
      <c r="C42">
        <f>Constraint[[#This Row],[nxi]]*3</f>
        <v>45</v>
      </c>
      <c r="D42">
        <v>1536</v>
      </c>
      <c r="E42">
        <v>-1.4720999799512101E-2</v>
      </c>
      <c r="F42">
        <v>2578</v>
      </c>
      <c r="G42">
        <v>-1.50104526402902E-2</v>
      </c>
      <c r="H42">
        <v>1536</v>
      </c>
      <c r="I42">
        <v>-1.4841072530443301E-2</v>
      </c>
      <c r="J42">
        <v>2578</v>
      </c>
      <c r="K42">
        <v>-1.50170923287629E-2</v>
      </c>
      <c r="L42" s="3">
        <f>(Constraint[[#This Row],[disp_t3]]--0.0145666666666666)/-0.0145666666666666</f>
        <v>1.0594951911590543E-2</v>
      </c>
      <c r="M42" s="3">
        <f>(Constraint[[#This Row],[disp_t6]]--0.0145666666666666)/-0.0145666666666666</f>
        <v>3.0465856312833127E-2</v>
      </c>
      <c r="N42" s="3">
        <f>(Constraint[[#This Row],[disp_q4]]--0.0145666666666666)/-0.0145666666666666</f>
        <v>1.8837931151718716E-2</v>
      </c>
      <c r="O42" s="3">
        <f>(Constraint[[#This Row],[disp_q8]]--0.0145666666666666)/-0.0145666666666666</f>
        <v>3.0921670166794226E-2</v>
      </c>
    </row>
    <row r="43" spans="1:15" x14ac:dyDescent="0.3">
      <c r="A43">
        <v>11</v>
      </c>
      <c r="B43">
        <v>13</v>
      </c>
      <c r="C43">
        <f>Constraint[[#This Row],[nxi]]*3</f>
        <v>39</v>
      </c>
      <c r="D43">
        <v>1344</v>
      </c>
      <c r="E43">
        <v>-1.4682098579100199E-2</v>
      </c>
      <c r="F43">
        <v>2250</v>
      </c>
      <c r="G43">
        <v>-1.4988102642212099E-2</v>
      </c>
      <c r="H43">
        <v>1344</v>
      </c>
      <c r="I43">
        <v>-1.48210222735943E-2</v>
      </c>
      <c r="J43">
        <v>2250</v>
      </c>
      <c r="K43">
        <v>-1.4990097305116201E-2</v>
      </c>
      <c r="L43" s="3">
        <f>(Constraint[[#This Row],[disp_t3]]--0.0145666666666666)/-0.0145666666666666</f>
        <v>7.9243875812540464E-3</v>
      </c>
      <c r="M43" s="3">
        <f>(Constraint[[#This Row],[disp_t6]]--0.0145666666666666)/-0.0145666666666666</f>
        <v>2.8931531501979524E-2</v>
      </c>
      <c r="N43" s="3">
        <f>(Constraint[[#This Row],[disp_q4]]--0.0145666666666666)/-0.0145666666666666</f>
        <v>1.746148331311452E-2</v>
      </c>
      <c r="O43" s="3">
        <f>(Constraint[[#This Row],[disp_q8]]--0.0145666666666666)/-0.0145666666666666</f>
        <v>2.9068464882123782E-2</v>
      </c>
    </row>
    <row r="44" spans="1:15" x14ac:dyDescent="0.3">
      <c r="A44">
        <v>11</v>
      </c>
      <c r="B44">
        <v>11</v>
      </c>
      <c r="C44">
        <f>Constraint[[#This Row],[nxi]]*3</f>
        <v>33</v>
      </c>
      <c r="D44">
        <v>1152</v>
      </c>
      <c r="E44">
        <v>-1.4622843076081801E-2</v>
      </c>
      <c r="F44">
        <v>1922</v>
      </c>
      <c r="G44">
        <v>-1.49604150622511E-2</v>
      </c>
      <c r="H44">
        <v>1152</v>
      </c>
      <c r="I44">
        <v>-1.4790970944872001E-2</v>
      </c>
      <c r="J44">
        <v>1922</v>
      </c>
      <c r="K44">
        <v>-1.49586931516477E-2</v>
      </c>
      <c r="L44" s="3">
        <f>(Constraint[[#This Row],[disp_t3]]--0.0145666666666666)/-0.0145666666666666</f>
        <v>3.8565040788467813E-3</v>
      </c>
      <c r="M44" s="3">
        <f>(Constraint[[#This Row],[disp_t6]]--0.0145666666666666)/-0.0145666666666666</f>
        <v>2.7030782305572224E-2</v>
      </c>
      <c r="N44" s="3">
        <f>(Constraint[[#This Row],[disp_q4]]--0.0145666666666666)/-0.0145666666666666</f>
        <v>1.5398463034695808E-2</v>
      </c>
      <c r="O44" s="3">
        <f>(Constraint[[#This Row],[disp_q8]]--0.0145666666666666)/-0.0145666666666666</f>
        <v>2.6912573339663782E-2</v>
      </c>
    </row>
    <row r="45" spans="1:15" x14ac:dyDescent="0.3">
      <c r="A45">
        <v>11</v>
      </c>
      <c r="B45">
        <v>9</v>
      </c>
      <c r="C45">
        <f>Constraint[[#This Row],[nxi]]*3</f>
        <v>27</v>
      </c>
      <c r="D45">
        <v>960</v>
      </c>
      <c r="E45">
        <v>-1.45258482769841E-2</v>
      </c>
      <c r="F45">
        <v>1594</v>
      </c>
      <c r="G45">
        <v>-1.49247144239025E-2</v>
      </c>
      <c r="H45">
        <v>960</v>
      </c>
      <c r="I45">
        <v>-1.4742304720883399E-2</v>
      </c>
      <c r="J45">
        <v>1594</v>
      </c>
      <c r="K45">
        <v>-1.4920448045609901E-2</v>
      </c>
      <c r="L45" s="3">
        <f>(Constraint[[#This Row],[disp_t3]]--0.0145666666666666)/-0.0145666666666666</f>
        <v>-2.8021777814073059E-3</v>
      </c>
      <c r="M45" s="3">
        <f>(Constraint[[#This Row],[disp_t6]]--0.0145666666666666)/-0.0145666666666666</f>
        <v>2.4579937567682102E-2</v>
      </c>
      <c r="N45" s="3">
        <f>(Constraint[[#This Row],[disp_q4]]--0.0145666666666666)/-0.0145666666666666</f>
        <v>1.2057532326096165E-2</v>
      </c>
      <c r="O45" s="3">
        <f>(Constraint[[#This Row],[disp_q8]]--0.0145666666666666)/-0.0145666666666666</f>
        <v>2.4287051186039101E-2</v>
      </c>
    </row>
    <row r="46" spans="1:15" x14ac:dyDescent="0.3">
      <c r="A46">
        <v>11</v>
      </c>
      <c r="B46">
        <v>8</v>
      </c>
      <c r="C46">
        <f>Constraint[[#This Row],[nxi]]*3</f>
        <v>24</v>
      </c>
      <c r="D46">
        <v>864</v>
      </c>
      <c r="E46">
        <v>-1.4452309607159E-2</v>
      </c>
      <c r="F46">
        <v>1430</v>
      </c>
      <c r="G46">
        <v>-1.4902320898586299E-2</v>
      </c>
      <c r="H46">
        <v>864</v>
      </c>
      <c r="I46">
        <v>-1.47054460913312E-2</v>
      </c>
      <c r="J46">
        <v>1430</v>
      </c>
      <c r="K46">
        <v>-1.48972788802436E-2</v>
      </c>
      <c r="L46" s="3">
        <f>(Constraint[[#This Row],[disp_t3]]--0.0145666666666666)/-0.0145666666666666</f>
        <v>-7.85059905086497E-3</v>
      </c>
      <c r="M46" s="3">
        <f>(Constraint[[#This Row],[disp_t6]]--0.0145666666666666)/-0.0145666666666666</f>
        <v>2.3042624616913143E-2</v>
      </c>
      <c r="N46" s="3">
        <f>(Constraint[[#This Row],[disp_q4]]--0.0145666666666666)/-0.0145666666666666</f>
        <v>9.5271916245721743E-3</v>
      </c>
      <c r="O46" s="3">
        <f>(Constraint[[#This Row],[disp_q8]]--0.0145666666666666)/-0.0145666666666666</f>
        <v>2.2696490634576818E-2</v>
      </c>
    </row>
    <row r="47" spans="1:15" x14ac:dyDescent="0.3">
      <c r="A47">
        <v>11</v>
      </c>
      <c r="B47">
        <v>7</v>
      </c>
      <c r="C47">
        <f>Constraint[[#This Row],[nxi]]*3</f>
        <v>21</v>
      </c>
      <c r="D47">
        <v>768</v>
      </c>
      <c r="E47">
        <v>-1.43508181357504E-2</v>
      </c>
      <c r="F47">
        <v>1266</v>
      </c>
      <c r="G47">
        <v>-1.48753732682058E-2</v>
      </c>
      <c r="H47">
        <v>768</v>
      </c>
      <c r="I47">
        <v>-1.46542465686504E-2</v>
      </c>
      <c r="J47">
        <v>1266</v>
      </c>
      <c r="K47">
        <v>-1.4869926108702001E-2</v>
      </c>
      <c r="L47" s="3">
        <f>(Constraint[[#This Row],[disp_t3]]--0.0145666666666666)/-0.0145666666666666</f>
        <v>-1.4817976950768898E-2</v>
      </c>
      <c r="M47" s="3">
        <f>(Constraint[[#This Row],[disp_t6]]--0.0145666666666666)/-0.0145666666666666</f>
        <v>2.119267287454479E-2</v>
      </c>
      <c r="N47" s="3">
        <f>(Constraint[[#This Row],[disp_q4]]--0.0145666666666666)/-0.0145666666666666</f>
        <v>6.0123502506042132E-3</v>
      </c>
      <c r="O47" s="3">
        <f>(Constraint[[#This Row],[disp_q8]]--0.0145666666666666)/-0.0145666666666666</f>
        <v>2.0818725997853747E-2</v>
      </c>
    </row>
    <row r="48" spans="1:15" x14ac:dyDescent="0.3">
      <c r="A48">
        <v>11</v>
      </c>
      <c r="B48">
        <v>6</v>
      </c>
      <c r="C48">
        <f>Constraint[[#This Row],[nxi]]*3</f>
        <v>18</v>
      </c>
      <c r="D48">
        <v>672</v>
      </c>
      <c r="E48">
        <v>-1.42057018407217E-2</v>
      </c>
      <c r="F48">
        <v>1102</v>
      </c>
      <c r="G48">
        <v>-1.48417643607325E-2</v>
      </c>
      <c r="H48">
        <v>672</v>
      </c>
      <c r="I48">
        <v>-1.45798107141088E-2</v>
      </c>
      <c r="J48">
        <v>1102</v>
      </c>
      <c r="K48">
        <v>-1.48362240539188E-2</v>
      </c>
      <c r="L48" s="3">
        <f>(Constraint[[#This Row],[disp_t3]]--0.0145666666666666)/-0.0145666666666666</f>
        <v>-2.478019400079412E-2</v>
      </c>
      <c r="M48" s="3">
        <f>(Constraint[[#This Row],[disp_t6]]--0.0145666666666666)/-0.0145666666666666</f>
        <v>1.8885425221915449E-2</v>
      </c>
      <c r="N48" s="3">
        <f>(Constraint[[#This Row],[disp_q4]]--0.0145666666666666)/-0.0145666666666666</f>
        <v>9.0233735301150524E-4</v>
      </c>
      <c r="O48" s="3">
        <f>(Constraint[[#This Row],[disp_q8]]--0.0145666666666666)/-0.0145666666666666</f>
        <v>1.8505083793057358E-2</v>
      </c>
    </row>
    <row r="49" spans="1:15" x14ac:dyDescent="0.3">
      <c r="A49">
        <v>11</v>
      </c>
      <c r="B49">
        <v>5</v>
      </c>
      <c r="C49">
        <f>Constraint[[#This Row],[nxi]]*3</f>
        <v>15</v>
      </c>
      <c r="D49">
        <v>576</v>
      </c>
      <c r="E49">
        <v>-1.3989592166282599E-2</v>
      </c>
      <c r="F49">
        <v>938</v>
      </c>
      <c r="G49">
        <v>-1.4797732007567999E-2</v>
      </c>
      <c r="H49">
        <v>576</v>
      </c>
      <c r="I49">
        <v>-1.44651064353911E-2</v>
      </c>
      <c r="J49">
        <v>938</v>
      </c>
      <c r="K49">
        <v>-1.4792653522139499E-2</v>
      </c>
      <c r="L49" s="3">
        <f>(Constraint[[#This Row],[disp_t3]]--0.0145666666666666)/-0.0145666666666666</f>
        <v>-3.9616098424531086E-2</v>
      </c>
      <c r="M49" s="3">
        <f>(Constraint[[#This Row],[disp_t6]]--0.0145666666666666)/-0.0145666666666666</f>
        <v>1.586260921519915E-2</v>
      </c>
      <c r="N49" s="3">
        <f>(Constraint[[#This Row],[disp_q4]]--0.0145666666666666)/-0.0145666666666666</f>
        <v>-6.9720982568992973E-3</v>
      </c>
      <c r="O49" s="3">
        <f>(Constraint[[#This Row],[disp_q8]]--0.0145666666666666)/-0.0145666666666666</f>
        <v>1.5513971771595041E-2</v>
      </c>
    </row>
    <row r="50" spans="1:15" x14ac:dyDescent="0.3">
      <c r="A50">
        <v>11</v>
      </c>
      <c r="B50">
        <v>4</v>
      </c>
      <c r="C50">
        <f>Constraint[[#This Row],[nxi]]*3</f>
        <v>12</v>
      </c>
      <c r="D50">
        <v>480</v>
      </c>
      <c r="E50">
        <v>-1.36534230372182E-2</v>
      </c>
      <c r="F50">
        <v>774</v>
      </c>
      <c r="G50">
        <v>-1.47361314870098E-2</v>
      </c>
      <c r="H50">
        <v>480</v>
      </c>
      <c r="I50">
        <v>-1.4274596741034999E-2</v>
      </c>
      <c r="J50">
        <v>774</v>
      </c>
      <c r="K50">
        <v>-1.4731387679435E-2</v>
      </c>
      <c r="L50" s="3">
        <f>(Constraint[[#This Row],[disp_t3]]--0.0145666666666666)/-0.0145666666666666</f>
        <v>-6.2694070671515098E-2</v>
      </c>
      <c r="M50" s="3">
        <f>(Constraint[[#This Row],[disp_t6]]--0.0145666666666666)/-0.0145666666666666</f>
        <v>1.1633740526993239E-2</v>
      </c>
      <c r="N50" s="3">
        <f>(Constraint[[#This Row],[disp_q4]]--0.0145666666666666)/-0.0145666666666666</f>
        <v>-2.0050566976997794E-2</v>
      </c>
      <c r="O50" s="3">
        <f>(Constraint[[#This Row],[disp_q8]]--0.0145666666666666)/-0.0145666666666666</f>
        <v>1.1308078679752949E-2</v>
      </c>
    </row>
    <row r="51" spans="1:15" x14ac:dyDescent="0.3">
      <c r="A51">
        <v>11</v>
      </c>
      <c r="B51">
        <v>3</v>
      </c>
      <c r="C51">
        <f>Constraint[[#This Row],[nxi]]*3</f>
        <v>9</v>
      </c>
      <c r="D51">
        <v>384</v>
      </c>
      <c r="E51">
        <v>-1.3111844104795401E-2</v>
      </c>
      <c r="F51">
        <v>610</v>
      </c>
      <c r="G51">
        <v>-1.4643305227511999E-2</v>
      </c>
      <c r="H51">
        <v>384</v>
      </c>
      <c r="I51">
        <v>-1.3927194590772801E-2</v>
      </c>
      <c r="J51">
        <v>610</v>
      </c>
      <c r="K51">
        <v>-1.4641201932954101E-2</v>
      </c>
      <c r="L51" s="3">
        <f>(Constraint[[#This Row],[disp_t3]]--0.0145666666666666)/-0.0145666666666666</f>
        <v>-9.9873402416787549E-2</v>
      </c>
      <c r="M51" s="3">
        <f>(Constraint[[#This Row],[disp_t6]]--0.0145666666666666)/-0.0145666666666666</f>
        <v>5.2612284333226813E-3</v>
      </c>
      <c r="N51" s="3">
        <f>(Constraint[[#This Row],[disp_q4]]--0.0145666666666666)/-0.0145666666666666</f>
        <v>-4.3899684843968063E-2</v>
      </c>
      <c r="O51" s="3">
        <f>(Constraint[[#This Row],[disp_q8]]--0.0145666666666666)/-0.0145666666666666</f>
        <v>5.1168375025744837E-3</v>
      </c>
    </row>
    <row r="52" spans="1:15" x14ac:dyDescent="0.3">
      <c r="A52">
        <v>11</v>
      </c>
      <c r="B52">
        <v>2</v>
      </c>
      <c r="C52">
        <f>Constraint[[#This Row],[nxi]]*3</f>
        <v>6</v>
      </c>
      <c r="D52">
        <v>288</v>
      </c>
      <c r="E52">
        <v>-1.22639535560417E-2</v>
      </c>
      <c r="F52">
        <v>446</v>
      </c>
      <c r="G52">
        <v>-1.45099414091307E-2</v>
      </c>
      <c r="H52">
        <v>288</v>
      </c>
      <c r="I52">
        <v>-1.32397510969326E-2</v>
      </c>
      <c r="J52">
        <v>446</v>
      </c>
      <c r="K52">
        <v>-1.4508661805516999E-2</v>
      </c>
      <c r="L52" s="3">
        <f>(Constraint[[#This Row],[disp_t3]]--0.0145666666666666)/-0.0145666666666666</f>
        <v>-0.1580809915760808</v>
      </c>
      <c r="M52" s="3">
        <f>(Constraint[[#This Row],[disp_t6]]--0.0145666666666666)/-0.0145666666666666</f>
        <v>-3.8941824395354444E-3</v>
      </c>
      <c r="N52" s="3">
        <f>(Constraint[[#This Row],[disp_q4]]--0.0145666666666666)/-0.0145666666666666</f>
        <v>-9.1092602041236065E-2</v>
      </c>
      <c r="O52" s="3">
        <f>(Constraint[[#This Row],[disp_q8]]--0.0145666666666666)/-0.0145666666666666</f>
        <v>-3.9820270812082519E-3</v>
      </c>
    </row>
    <row r="53" spans="1:15" x14ac:dyDescent="0.3">
      <c r="A53">
        <v>9</v>
      </c>
      <c r="B53">
        <v>40</v>
      </c>
      <c r="C53">
        <f>Constraint[[#This Row],[nxi]]*3</f>
        <v>120</v>
      </c>
      <c r="D53">
        <v>3280</v>
      </c>
      <c r="E53">
        <v>-1.4823992079302401E-2</v>
      </c>
      <c r="F53">
        <v>5538</v>
      </c>
      <c r="G53">
        <v>-1.5205636123151E-2</v>
      </c>
      <c r="H53">
        <v>3280</v>
      </c>
      <c r="I53">
        <v>-1.49237977050766E-2</v>
      </c>
      <c r="J53">
        <v>5538</v>
      </c>
      <c r="K53">
        <v>-1.53166051180332E-2</v>
      </c>
      <c r="L53" s="3">
        <f>(Constraint[[#This Row],[disp_t3]]--0.0145666666666666)/-0.0145666666666666</f>
        <v>1.7665360135180962E-2</v>
      </c>
      <c r="M53" s="3">
        <f>(Constraint[[#This Row],[disp_t6]]--0.0145666666666666)/-0.0145666666666666</f>
        <v>4.3865180079020814E-2</v>
      </c>
      <c r="N53" s="3">
        <f>(Constraint[[#This Row],[disp_q4]]--0.0145666666666666)/-0.0145666666666666</f>
        <v>2.4517004925171806E-2</v>
      </c>
      <c r="O53" s="3">
        <f>(Constraint[[#This Row],[disp_q8]]--0.0145666666666666)/-0.0145666666666666</f>
        <v>5.1483188881002576E-2</v>
      </c>
    </row>
    <row r="54" spans="1:15" x14ac:dyDescent="0.3">
      <c r="A54">
        <v>9</v>
      </c>
      <c r="B54">
        <v>34</v>
      </c>
      <c r="C54">
        <f>Constraint[[#This Row],[nxi]]*3</f>
        <v>102</v>
      </c>
      <c r="D54">
        <v>2800</v>
      </c>
      <c r="E54">
        <v>-1.4811023523896599E-2</v>
      </c>
      <c r="F54">
        <v>4722</v>
      </c>
      <c r="G54">
        <v>-1.51884456234472E-2</v>
      </c>
      <c r="H54">
        <v>2800</v>
      </c>
      <c r="I54">
        <v>-1.4913662493164601E-2</v>
      </c>
      <c r="J54">
        <v>4722</v>
      </c>
      <c r="K54">
        <v>-1.52842955664795E-2</v>
      </c>
      <c r="L54" s="3">
        <f>(Constraint[[#This Row],[disp_t3]]--0.0145666666666666)/-0.0145666666666666</f>
        <v>1.6775070290389087E-2</v>
      </c>
      <c r="M54" s="3">
        <f>(Constraint[[#This Row],[disp_t6]]--0.0145666666666666)/-0.0145666666666666</f>
        <v>4.2685054241231375E-2</v>
      </c>
      <c r="N54" s="3">
        <f>(Constraint[[#This Row],[disp_q4]]--0.0145666666666666)/-0.0145666666666666</f>
        <v>2.3821223787048248E-2</v>
      </c>
      <c r="O54" s="3">
        <f>(Constraint[[#This Row],[disp_q8]]--0.0145666666666666)/-0.0145666666666666</f>
        <v>4.9265141863586104E-2</v>
      </c>
    </row>
    <row r="55" spans="1:15" x14ac:dyDescent="0.3">
      <c r="A55">
        <v>9</v>
      </c>
      <c r="B55">
        <v>29</v>
      </c>
      <c r="C55">
        <f>Constraint[[#This Row],[nxi]]*3</f>
        <v>87</v>
      </c>
      <c r="D55">
        <v>2400</v>
      </c>
      <c r="E55">
        <v>-1.4796366015970799E-2</v>
      </c>
      <c r="F55">
        <v>4042</v>
      </c>
      <c r="G55">
        <v>-1.51688664286627E-2</v>
      </c>
      <c r="H55">
        <v>2400</v>
      </c>
      <c r="I55">
        <v>-1.4902898964752401E-2</v>
      </c>
      <c r="J55">
        <v>4042</v>
      </c>
      <c r="K55">
        <v>-1.52490272356814E-2</v>
      </c>
      <c r="L55" s="3">
        <f>(Constraint[[#This Row],[disp_t3]]--0.0145666666666666)/-0.0145666666666666</f>
        <v>1.5768834048343325E-2</v>
      </c>
      <c r="M55" s="3">
        <f>(Constraint[[#This Row],[disp_t6]]--0.0145666666666666)/-0.0145666666666666</f>
        <v>4.1340944759457932E-2</v>
      </c>
      <c r="N55" s="3">
        <f>(Constraint[[#This Row],[disp_q4]]--0.0145666666666666)/-0.0145666666666666</f>
        <v>2.3082308793075716E-2</v>
      </c>
      <c r="O55" s="3">
        <f>(Constraint[[#This Row],[disp_q8]]--0.0145666666666666)/-0.0145666666666666</f>
        <v>4.684397498957462E-2</v>
      </c>
    </row>
    <row r="56" spans="1:15" x14ac:dyDescent="0.3">
      <c r="A56">
        <v>9</v>
      </c>
      <c r="B56">
        <v>24</v>
      </c>
      <c r="C56">
        <f>Constraint[[#This Row],[nxi]]*3</f>
        <v>72</v>
      </c>
      <c r="D56">
        <v>2000</v>
      </c>
      <c r="E56">
        <v>-1.47757192797259E-2</v>
      </c>
      <c r="F56">
        <v>3362</v>
      </c>
      <c r="G56">
        <v>-1.5142704588344699E-2</v>
      </c>
      <c r="H56">
        <v>2000</v>
      </c>
      <c r="I56">
        <v>-1.4889004919812101E-2</v>
      </c>
      <c r="J56">
        <v>3362</v>
      </c>
      <c r="K56">
        <v>-1.5203989359576099E-2</v>
      </c>
      <c r="L56" s="3">
        <f>(Constraint[[#This Row],[disp_t3]]--0.0145666666666666)/-0.0145666666666666</f>
        <v>1.4351437967457784E-2</v>
      </c>
      <c r="M56" s="3">
        <f>(Constraint[[#This Row],[disp_t6]]--0.0145666666666666)/-0.0145666666666666</f>
        <v>3.9544937414972718E-2</v>
      </c>
      <c r="N56" s="3">
        <f>(Constraint[[#This Row],[disp_q4]]--0.0145666666666666)/-0.0145666666666666</f>
        <v>2.2128484197631765E-2</v>
      </c>
      <c r="O56" s="3">
        <f>(Constraint[[#This Row],[disp_q8]]--0.0145666666666666)/-0.0145666666666666</f>
        <v>4.3752129948020781E-2</v>
      </c>
    </row>
    <row r="57" spans="1:15" x14ac:dyDescent="0.3">
      <c r="A57">
        <v>9</v>
      </c>
      <c r="B57">
        <v>21</v>
      </c>
      <c r="C57">
        <f>Constraint[[#This Row],[nxi]]*3</f>
        <v>63</v>
      </c>
      <c r="D57">
        <v>1760</v>
      </c>
      <c r="E57">
        <v>-1.47581923575593E-2</v>
      </c>
      <c r="F57">
        <v>2954</v>
      </c>
      <c r="G57">
        <v>-1.5122646341631201E-2</v>
      </c>
      <c r="H57">
        <v>1760</v>
      </c>
      <c r="I57">
        <v>-1.48781550325244E-2</v>
      </c>
      <c r="J57">
        <v>2954</v>
      </c>
      <c r="K57">
        <v>-1.5171120075113001E-2</v>
      </c>
      <c r="L57" s="3">
        <f>(Constraint[[#This Row],[disp_t3]]--0.0145666666666666)/-0.0145666666666666</f>
        <v>1.3148216766089332E-2</v>
      </c>
      <c r="M57" s="3">
        <f>(Constraint[[#This Row],[disp_t6]]--0.0145666666666666)/-0.0145666666666666</f>
        <v>3.8167941073084945E-2</v>
      </c>
      <c r="N57" s="3">
        <f>(Constraint[[#This Row],[disp_q4]]--0.0145666666666666)/-0.0145666666666666</f>
        <v>2.1383640676737013E-2</v>
      </c>
      <c r="O57" s="3">
        <f>(Constraint[[#This Row],[disp_q8]]--0.0145666666666666)/-0.0145666666666666</f>
        <v>4.1495657330416755E-2</v>
      </c>
    </row>
    <row r="58" spans="1:15" x14ac:dyDescent="0.3">
      <c r="A58">
        <v>9</v>
      </c>
      <c r="B58">
        <v>18</v>
      </c>
      <c r="C58">
        <f>Constraint[[#This Row],[nxi]]*3</f>
        <v>54</v>
      </c>
      <c r="D58">
        <v>1520</v>
      </c>
      <c r="E58">
        <v>-1.47335599275747E-2</v>
      </c>
      <c r="F58">
        <v>2546</v>
      </c>
      <c r="G58">
        <v>-1.5097975388538E-2</v>
      </c>
      <c r="H58">
        <v>1520</v>
      </c>
      <c r="I58">
        <v>-1.4863876921414901E-2</v>
      </c>
      <c r="J58">
        <v>2546</v>
      </c>
      <c r="K58">
        <v>-1.51328397511455E-2</v>
      </c>
      <c r="L58" s="3">
        <f>(Constraint[[#This Row],[disp_t3]]--0.0145666666666666)/-0.0145666666666666</f>
        <v>1.1457203266002358E-2</v>
      </c>
      <c r="M58" s="3">
        <f>(Constraint[[#This Row],[disp_t6]]--0.0145666666666666)/-0.0145666666666666</f>
        <v>3.6474282966000214E-2</v>
      </c>
      <c r="N58" s="3">
        <f>(Constraint[[#This Row],[disp_q4]]--0.0145666666666666)/-0.0145666666666666</f>
        <v>2.040344998272102E-2</v>
      </c>
      <c r="O58" s="3">
        <f>(Constraint[[#This Row],[disp_q8]]--0.0145666666666666)/-0.0145666666666666</f>
        <v>3.8867717469947619E-2</v>
      </c>
    </row>
    <row r="59" spans="1:15" x14ac:dyDescent="0.3">
      <c r="A59">
        <v>9</v>
      </c>
      <c r="B59">
        <v>15</v>
      </c>
      <c r="C59">
        <f>Constraint[[#This Row],[nxi]]*3</f>
        <v>45</v>
      </c>
      <c r="D59">
        <v>1280</v>
      </c>
      <c r="E59">
        <v>-1.4695813736279401E-2</v>
      </c>
      <c r="F59">
        <v>2138</v>
      </c>
      <c r="G59">
        <v>-1.50667340664562E-2</v>
      </c>
      <c r="H59">
        <v>1280</v>
      </c>
      <c r="I59">
        <v>-1.48432300653203E-2</v>
      </c>
      <c r="J59">
        <v>2138</v>
      </c>
      <c r="K59">
        <v>-1.50878685591859E-2</v>
      </c>
      <c r="L59" s="3">
        <f>(Constraint[[#This Row],[disp_t3]]--0.0145666666666666)/-0.0145666666666666</f>
        <v>8.8659315523662574E-3</v>
      </c>
      <c r="M59" s="3">
        <f>(Constraint[[#This Row],[disp_t6]]--0.0145666666666666)/-0.0145666666666666</f>
        <v>3.4329569779606606E-2</v>
      </c>
      <c r="N59" s="3">
        <f>(Constraint[[#This Row],[disp_q4]]--0.0145666666666666)/-0.0145666666666666</f>
        <v>1.8986045674167194E-2</v>
      </c>
      <c r="O59" s="3">
        <f>(Constraint[[#This Row],[disp_q8]]--0.0145666666666666)/-0.0145666666666666</f>
        <v>3.578045028736633E-2</v>
      </c>
    </row>
    <row r="60" spans="1:15" x14ac:dyDescent="0.3">
      <c r="A60">
        <v>9</v>
      </c>
      <c r="B60">
        <v>13</v>
      </c>
      <c r="C60">
        <f>Constraint[[#This Row],[nxi]]*3</f>
        <v>39</v>
      </c>
      <c r="D60">
        <v>1120</v>
      </c>
      <c r="E60">
        <v>-1.46571957906543E-2</v>
      </c>
      <c r="F60">
        <v>1866</v>
      </c>
      <c r="G60">
        <v>-1.50406396995956E-2</v>
      </c>
      <c r="H60">
        <v>1120</v>
      </c>
      <c r="I60">
        <v>-1.4822878909772101E-2</v>
      </c>
      <c r="J60">
        <v>1866</v>
      </c>
      <c r="K60">
        <v>-1.5053135469951E-2</v>
      </c>
      <c r="L60" s="3">
        <f>(Constraint[[#This Row],[disp_t3]]--0.0145666666666666)/-0.0145666666666666</f>
        <v>6.2148140037323607E-3</v>
      </c>
      <c r="M60" s="3">
        <f>(Constraint[[#This Row],[disp_t6]]--0.0145666666666666)/-0.0145666666666666</f>
        <v>3.2538194480251907E-2</v>
      </c>
      <c r="N60" s="3">
        <f>(Constraint[[#This Row],[disp_q4]]--0.0145666666666666)/-0.0145666666666666</f>
        <v>1.7588941174290801E-2</v>
      </c>
      <c r="O60" s="3">
        <f>(Constraint[[#This Row],[disp_q8]]--0.0145666666666666)/-0.0145666666666666</f>
        <v>3.3396027685428147E-2</v>
      </c>
    </row>
    <row r="61" spans="1:15" x14ac:dyDescent="0.3">
      <c r="A61">
        <v>9</v>
      </c>
      <c r="B61">
        <v>11</v>
      </c>
      <c r="C61">
        <f>Constraint[[#This Row],[nxi]]*3</f>
        <v>33</v>
      </c>
      <c r="D61">
        <v>960</v>
      </c>
      <c r="E61">
        <v>-1.45986618453261E-2</v>
      </c>
      <c r="F61">
        <v>1594</v>
      </c>
      <c r="G61">
        <v>-1.50084080800873E-2</v>
      </c>
      <c r="H61">
        <v>960</v>
      </c>
      <c r="I61">
        <v>-1.4792711879921301E-2</v>
      </c>
      <c r="J61">
        <v>1594</v>
      </c>
      <c r="K61">
        <v>-1.5013258270358199E-2</v>
      </c>
      <c r="L61" s="3">
        <f>(Constraint[[#This Row],[disp_t3]]--0.0145666666666666)/-0.0145666666666666</f>
        <v>2.1964653541991174E-3</v>
      </c>
      <c r="M61" s="3">
        <f>(Constraint[[#This Row],[disp_t6]]--0.0145666666666666)/-0.0145666666666666</f>
        <v>3.0325497488835458E-2</v>
      </c>
      <c r="N61" s="3">
        <f>(Constraint[[#This Row],[disp_q4]]--0.0145666666666666)/-0.0145666666666666</f>
        <v>1.5517978026638617E-2</v>
      </c>
      <c r="O61" s="3">
        <f>(Constraint[[#This Row],[disp_q8]]--0.0145666666666666)/-0.0145666666666666</f>
        <v>3.0658462495990978E-2</v>
      </c>
    </row>
    <row r="62" spans="1:15" x14ac:dyDescent="0.3">
      <c r="A62">
        <v>9</v>
      </c>
      <c r="B62">
        <v>9</v>
      </c>
      <c r="C62">
        <f>Constraint[[#This Row],[nxi]]*3</f>
        <v>27</v>
      </c>
      <c r="D62">
        <v>800</v>
      </c>
      <c r="E62">
        <v>-1.4502971050799E-2</v>
      </c>
      <c r="F62">
        <v>1322</v>
      </c>
      <c r="G62">
        <v>-1.49670781287751E-2</v>
      </c>
      <c r="H62">
        <v>800</v>
      </c>
      <c r="I62">
        <v>-1.47440499650336E-2</v>
      </c>
      <c r="J62">
        <v>1322</v>
      </c>
      <c r="K62">
        <v>-1.4965869372512699E-2</v>
      </c>
      <c r="L62" s="3">
        <f>(Constraint[[#This Row],[disp_t3]]--0.0145666666666666)/-0.0145666666666666</f>
        <v>-4.3726967414827889E-3</v>
      </c>
      <c r="M62" s="3">
        <f>(Constraint[[#This Row],[disp_t6]]--0.0145666666666666)/-0.0145666666666666</f>
        <v>2.7488201060080261E-2</v>
      </c>
      <c r="N62" s="3">
        <f>(Constraint[[#This Row],[disp_q4]]--0.0145666666666666)/-0.0145666666666666</f>
        <v>1.2177343137322777E-2</v>
      </c>
      <c r="O62" s="3">
        <f>(Constraint[[#This Row],[disp_q8]]--0.0145666666666666)/-0.0145666666666666</f>
        <v>2.740522008096808E-2</v>
      </c>
    </row>
    <row r="63" spans="1:15" x14ac:dyDescent="0.3">
      <c r="A63">
        <v>9</v>
      </c>
      <c r="B63">
        <v>8</v>
      </c>
      <c r="C63">
        <f>Constraint[[#This Row],[nxi]]*3</f>
        <v>24</v>
      </c>
      <c r="D63">
        <v>720</v>
      </c>
      <c r="E63">
        <v>-1.4430397881624301E-2</v>
      </c>
      <c r="F63">
        <v>1186</v>
      </c>
      <c r="G63">
        <v>-1.4941371911812501E-2</v>
      </c>
      <c r="H63">
        <v>720</v>
      </c>
      <c r="I63">
        <v>-1.47072082441423E-2</v>
      </c>
      <c r="J63">
        <v>1186</v>
      </c>
      <c r="K63">
        <v>-1.4937908783567801E-2</v>
      </c>
      <c r="L63" s="3">
        <f>(Constraint[[#This Row],[disp_t3]]--0.0145666666666666)/-0.0145666666666666</f>
        <v>-9.354836501759679E-3</v>
      </c>
      <c r="M63" s="3">
        <f>(Constraint[[#This Row],[disp_t6]]--0.0145666666666666)/-0.0145666666666666</f>
        <v>2.5723472206812568E-2</v>
      </c>
      <c r="N63" s="3">
        <f>(Constraint[[#This Row],[disp_q4]]--0.0145666666666666)/-0.0145666666666666</f>
        <v>9.6481632134348388E-3</v>
      </c>
      <c r="O63" s="3">
        <f>(Constraint[[#This Row],[disp_q8]]--0.0145666666666666)/-0.0145666666666666</f>
        <v>2.5485728849052841E-2</v>
      </c>
    </row>
    <row r="64" spans="1:15" x14ac:dyDescent="0.3">
      <c r="A64">
        <v>9</v>
      </c>
      <c r="B64">
        <v>7</v>
      </c>
      <c r="C64">
        <f>Constraint[[#This Row],[nxi]]*3</f>
        <v>21</v>
      </c>
      <c r="D64">
        <v>640</v>
      </c>
      <c r="E64">
        <v>-1.4330181004012101E-2</v>
      </c>
      <c r="F64">
        <v>1050</v>
      </c>
      <c r="G64">
        <v>-1.49107387559824E-2</v>
      </c>
      <c r="H64">
        <v>640</v>
      </c>
      <c r="I64">
        <v>-1.46560143685644E-2</v>
      </c>
      <c r="J64">
        <v>1050</v>
      </c>
      <c r="K64">
        <v>-1.4905646638389501E-2</v>
      </c>
      <c r="L64" s="3">
        <f>(Constraint[[#This Row],[disp_t3]]--0.0145666666666666)/-0.0145666666666666</f>
        <v>-1.6234713683375278E-2</v>
      </c>
      <c r="M64" s="3">
        <f>(Constraint[[#This Row],[disp_t6]]--0.0145666666666666)/-0.0145666666666666</f>
        <v>2.3620509564013865E-2</v>
      </c>
      <c r="N64" s="3">
        <f>(Constraint[[#This Row],[disp_q4]]--0.0145666666666666)/-0.0145666666666666</f>
        <v>6.1337095124348344E-3</v>
      </c>
      <c r="O64" s="3">
        <f>(Constraint[[#This Row],[disp_q8]]--0.0145666666666666)/-0.0145666666666666</f>
        <v>2.3270936273883502E-2</v>
      </c>
    </row>
    <row r="65" spans="1:15" x14ac:dyDescent="0.3">
      <c r="A65">
        <v>9</v>
      </c>
      <c r="B65">
        <v>6</v>
      </c>
      <c r="C65">
        <f>Constraint[[#This Row],[nxi]]*3</f>
        <v>18</v>
      </c>
      <c r="D65">
        <v>560</v>
      </c>
      <c r="E65">
        <v>-1.4186780371861E-2</v>
      </c>
      <c r="F65">
        <v>914</v>
      </c>
      <c r="G65">
        <v>-1.48730505798118E-2</v>
      </c>
      <c r="H65">
        <v>560</v>
      </c>
      <c r="I65">
        <v>-1.45815519135817E-2</v>
      </c>
      <c r="J65">
        <v>914</v>
      </c>
      <c r="K65">
        <v>-1.48669093573204E-2</v>
      </c>
      <c r="L65" s="3">
        <f>(Constraint[[#This Row],[disp_t3]]--0.0145666666666666)/-0.0145666666666666</f>
        <v>-2.6079150673153403E-2</v>
      </c>
      <c r="M65" s="3">
        <f>(Constraint[[#This Row],[disp_t6]]--0.0145666666666666)/-0.0145666666666666</f>
        <v>2.1033220582050469E-2</v>
      </c>
      <c r="N65" s="3">
        <f>(Constraint[[#This Row],[disp_q4]]--0.0145666666666666)/-0.0145666666666666</f>
        <v>1.0218704976041524E-3</v>
      </c>
      <c r="O65" s="3">
        <f>(Constraint[[#This Row],[disp_q8]]--0.0145666666666666)/-0.0145666666666666</f>
        <v>2.0611626360672913E-2</v>
      </c>
    </row>
    <row r="66" spans="1:15" x14ac:dyDescent="0.3">
      <c r="A66">
        <v>9</v>
      </c>
      <c r="B66">
        <v>5</v>
      </c>
      <c r="C66">
        <f>Constraint[[#This Row],[nxi]]*3</f>
        <v>15</v>
      </c>
      <c r="D66">
        <v>480</v>
      </c>
      <c r="E66">
        <v>-1.3973028776172401E-2</v>
      </c>
      <c r="F66">
        <v>778</v>
      </c>
      <c r="G66">
        <v>-1.4824533820337001E-2</v>
      </c>
      <c r="H66">
        <v>480</v>
      </c>
      <c r="I66">
        <v>-1.44667596496713E-2</v>
      </c>
      <c r="J66">
        <v>778</v>
      </c>
      <c r="K66">
        <v>-1.48182942569468E-2</v>
      </c>
      <c r="L66" s="3">
        <f>(Constraint[[#This Row],[disp_t3]]--0.0145666666666666)/-0.0145666666666666</f>
        <v>-4.0753173260471481E-2</v>
      </c>
      <c r="M66" s="3">
        <f>(Constraint[[#This Row],[disp_t6]]--0.0145666666666666)/-0.0145666666666666</f>
        <v>1.7702550595222133E-2</v>
      </c>
      <c r="N66" s="3">
        <f>(Constraint[[#This Row],[disp_q4]]--0.0145666666666666)/-0.0145666666666666</f>
        <v>-6.8586052857185012E-3</v>
      </c>
      <c r="O66" s="3">
        <f>(Constraint[[#This Row],[disp_q8]]--0.0145666666666666)/-0.0145666666666666</f>
        <v>1.7274205282393706E-2</v>
      </c>
    </row>
    <row r="67" spans="1:15" x14ac:dyDescent="0.3">
      <c r="A67">
        <v>9</v>
      </c>
      <c r="B67">
        <v>4</v>
      </c>
      <c r="C67">
        <f>Constraint[[#This Row],[nxi]]*3</f>
        <v>12</v>
      </c>
      <c r="D67">
        <v>400</v>
      </c>
      <c r="E67">
        <v>-1.36401260693994E-2</v>
      </c>
      <c r="F67">
        <v>642</v>
      </c>
      <c r="G67">
        <v>-1.47580395029559E-2</v>
      </c>
      <c r="H67">
        <v>400</v>
      </c>
      <c r="I67">
        <v>-1.42760556542541E-2</v>
      </c>
      <c r="J67">
        <v>642</v>
      </c>
      <c r="K67">
        <v>-1.47516426945771E-2</v>
      </c>
      <c r="L67" s="3">
        <f>(Constraint[[#This Row],[disp_t3]]--0.0145666666666666)/-0.0145666666666666</f>
        <v>-6.3606905990883533E-2</v>
      </c>
      <c r="M67" s="3">
        <f>(Constraint[[#This Row],[disp_t6]]--0.0145666666666666)/-0.0145666666666666</f>
        <v>1.3137723315055007E-2</v>
      </c>
      <c r="N67" s="3">
        <f>(Constraint[[#This Row],[disp_q4]]--0.0145666666666666)/-0.0145666666666666</f>
        <v>-1.9950412751430262E-2</v>
      </c>
      <c r="O67" s="3">
        <f>(Constraint[[#This Row],[disp_q8]]--0.0145666666666666)/-0.0145666666666666</f>
        <v>1.2698583151750644E-2</v>
      </c>
    </row>
    <row r="68" spans="1:15" x14ac:dyDescent="0.3">
      <c r="A68">
        <v>9</v>
      </c>
      <c r="B68">
        <v>3</v>
      </c>
      <c r="C68">
        <f>Constraint[[#This Row],[nxi]]*3</f>
        <v>9</v>
      </c>
      <c r="D68">
        <v>320</v>
      </c>
      <c r="E68">
        <v>-1.3102888418613399E-2</v>
      </c>
      <c r="F68">
        <v>506</v>
      </c>
      <c r="G68">
        <v>-1.4659896607175701E-2</v>
      </c>
      <c r="H68">
        <v>320</v>
      </c>
      <c r="I68">
        <v>-1.3928273108218E-2</v>
      </c>
      <c r="J68">
        <v>506</v>
      </c>
      <c r="K68">
        <v>-1.4656776203285199E-2</v>
      </c>
      <c r="L68" s="3">
        <f>(Constraint[[#This Row],[disp_t3]]--0.0145666666666666)/-0.0145666666666666</f>
        <v>-0.10048820924850391</v>
      </c>
      <c r="M68" s="3">
        <f>(Constraint[[#This Row],[disp_t6]]--0.0145666666666666)/-0.0145666666666666</f>
        <v>6.4002247489085918E-3</v>
      </c>
      <c r="N68" s="3">
        <f>(Constraint[[#This Row],[disp_q4]]--0.0145666666666666)/-0.0145666666666666</f>
        <v>-4.3825644744755289E-2</v>
      </c>
      <c r="O68" s="3">
        <f>(Constraint[[#This Row],[disp_q8]]--0.0145666666666666)/-0.0145666666666666</f>
        <v>6.1860093788512821E-3</v>
      </c>
    </row>
    <row r="69" spans="1:15" x14ac:dyDescent="0.3">
      <c r="A69">
        <v>9</v>
      </c>
      <c r="B69">
        <v>2</v>
      </c>
      <c r="C69">
        <f>Constraint[[#This Row],[nxi]]*3</f>
        <v>6</v>
      </c>
      <c r="D69">
        <v>240</v>
      </c>
      <c r="E69">
        <v>-1.22597314481315E-2</v>
      </c>
      <c r="F69">
        <v>370</v>
      </c>
      <c r="G69">
        <v>-1.4520700931546299E-2</v>
      </c>
      <c r="H69">
        <v>240</v>
      </c>
      <c r="I69">
        <v>-1.32400701878759E-2</v>
      </c>
      <c r="J69">
        <v>370</v>
      </c>
      <c r="K69">
        <v>-1.45173336097484E-2</v>
      </c>
      <c r="L69" s="3">
        <f>(Constraint[[#This Row],[disp_t3]]--0.0145666666666666)/-0.0145666666666666</f>
        <v>-0.15837083880103731</v>
      </c>
      <c r="M69" s="3">
        <f>(Constraint[[#This Row],[disp_t6]]--0.0145666666666666)/-0.0145666666666666</f>
        <v>-3.1555424567711776E-3</v>
      </c>
      <c r="N69" s="3">
        <f>(Constraint[[#This Row],[disp_q4]]--0.0145666666666666)/-0.0145666666666666</f>
        <v>-9.1070696484487776E-2</v>
      </c>
      <c r="O69" s="3">
        <f>(Constraint[[#This Row],[disp_q8]]--0.0145666666666666)/-0.0145666666666666</f>
        <v>-3.3867087129199024E-3</v>
      </c>
    </row>
    <row r="70" spans="1:15" x14ac:dyDescent="0.3">
      <c r="A70">
        <v>7</v>
      </c>
      <c r="B70">
        <v>40</v>
      </c>
      <c r="C70">
        <f>Constraint[[#This Row],[nxi]]*3</f>
        <v>120</v>
      </c>
      <c r="D70">
        <v>2624</v>
      </c>
      <c r="E70">
        <v>-1.4803766033996101E-2</v>
      </c>
      <c r="F70">
        <v>4398</v>
      </c>
      <c r="G70">
        <v>-1.53419681707039E-2</v>
      </c>
      <c r="H70">
        <v>2624</v>
      </c>
      <c r="I70">
        <v>-1.4959878359477E-2</v>
      </c>
      <c r="J70">
        <v>4398</v>
      </c>
      <c r="K70">
        <v>-1.55157540269829E-2</v>
      </c>
      <c r="L70" s="3">
        <f>(Constraint[[#This Row],[disp_t3]]--0.0145666666666666)/-0.0145666666666666</f>
        <v>1.6276844439096265E-2</v>
      </c>
      <c r="M70" s="3">
        <f>(Constraint[[#This Row],[disp_t6]]--0.0145666666666666)/-0.0145666666666666</f>
        <v>5.3224359544895024E-2</v>
      </c>
      <c r="N70" s="3">
        <f>(Constraint[[#This Row],[disp_q4]]--0.0145666666666666)/-0.0145666666666666</f>
        <v>2.6993937721537901E-2</v>
      </c>
      <c r="O70" s="3">
        <f>(Constraint[[#This Row],[disp_q8]]--0.0145666666666666)/-0.0145666666666666</f>
        <v>6.5154738694483183E-2</v>
      </c>
    </row>
    <row r="71" spans="1:15" x14ac:dyDescent="0.3">
      <c r="A71">
        <v>7</v>
      </c>
      <c r="B71">
        <v>34</v>
      </c>
      <c r="C71">
        <f>Constraint[[#This Row],[nxi]]*3</f>
        <v>102</v>
      </c>
      <c r="D71">
        <v>2240</v>
      </c>
      <c r="E71">
        <v>-1.47879544436385E-2</v>
      </c>
      <c r="F71">
        <v>3750</v>
      </c>
      <c r="G71">
        <v>-1.53243621235309E-2</v>
      </c>
      <c r="H71">
        <v>2240</v>
      </c>
      <c r="I71">
        <v>-1.49469551989689E-2</v>
      </c>
      <c r="J71">
        <v>3750</v>
      </c>
      <c r="K71">
        <v>-1.5482098806256801E-2</v>
      </c>
      <c r="L71" s="3">
        <f>(Constraint[[#This Row],[disp_t3]]--0.0145666666666666)/-0.0145666666666666</f>
        <v>1.5191380570153429E-2</v>
      </c>
      <c r="M71" s="3">
        <f>(Constraint[[#This Row],[disp_t6]]--0.0145666666666666)/-0.0145666666666666</f>
        <v>5.2015706420890456E-2</v>
      </c>
      <c r="N71" s="3">
        <f>(Constraint[[#This Row],[disp_q4]]--0.0145666666666666)/-0.0145666666666666</f>
        <v>2.610676423127934E-2</v>
      </c>
      <c r="O71" s="3">
        <f>(Constraint[[#This Row],[disp_q8]]--0.0145666666666666)/-0.0145666666666666</f>
        <v>6.2844311642348202E-2</v>
      </c>
    </row>
    <row r="72" spans="1:15" x14ac:dyDescent="0.3">
      <c r="A72">
        <v>7</v>
      </c>
      <c r="B72">
        <v>29</v>
      </c>
      <c r="C72">
        <f>Constraint[[#This Row],[nxi]]*3</f>
        <v>87</v>
      </c>
      <c r="D72">
        <v>1920</v>
      </c>
      <c r="E72">
        <v>-1.47692536600056E-2</v>
      </c>
      <c r="F72">
        <v>3210</v>
      </c>
      <c r="G72">
        <v>-1.5301645231207099E-2</v>
      </c>
      <c r="H72">
        <v>1920</v>
      </c>
      <c r="I72">
        <v>-1.49319466669718E-2</v>
      </c>
      <c r="J72">
        <v>3210</v>
      </c>
      <c r="K72">
        <v>-1.54413989450347E-2</v>
      </c>
      <c r="L72" s="3">
        <f>(Constraint[[#This Row],[disp_t3]]--0.0145666666666666)/-0.0145666666666666</f>
        <v>1.3907573913432609E-2</v>
      </c>
      <c r="M72" s="3">
        <f>(Constraint[[#This Row],[disp_t6]]--0.0145666666666666)/-0.0145666666666666</f>
        <v>5.0456194362048297E-2</v>
      </c>
      <c r="N72" s="3">
        <f>(Constraint[[#This Row],[disp_q4]]--0.0145666666666666)/-0.0145666666666666</f>
        <v>2.5076430226901796E-2</v>
      </c>
      <c r="O72" s="3">
        <f>(Constraint[[#This Row],[disp_q8]]--0.0145666666666666)/-0.0145666666666666</f>
        <v>6.0050270826185685E-2</v>
      </c>
    </row>
    <row r="73" spans="1:15" x14ac:dyDescent="0.3">
      <c r="A73">
        <v>7</v>
      </c>
      <c r="B73">
        <v>24</v>
      </c>
      <c r="C73">
        <f>Constraint[[#This Row],[nxi]]*3</f>
        <v>72</v>
      </c>
      <c r="D73">
        <v>1600</v>
      </c>
      <c r="E73">
        <v>-1.4743124335401399E-2</v>
      </c>
      <c r="F73">
        <v>2670</v>
      </c>
      <c r="G73">
        <v>-1.52689509326149E-2</v>
      </c>
      <c r="H73">
        <v>1600</v>
      </c>
      <c r="I73">
        <v>-1.4912010475810301E-2</v>
      </c>
      <c r="J73">
        <v>2670</v>
      </c>
      <c r="K73">
        <v>-1.5385246232165899E-2</v>
      </c>
      <c r="L73" s="3">
        <f>(Constraint[[#This Row],[disp_t3]]--0.0145666666666666)/-0.0145666666666666</f>
        <v>1.211379876897945E-2</v>
      </c>
      <c r="M73" s="3">
        <f>(Constraint[[#This Row],[disp_t6]]--0.0145666666666666)/-0.0145666666666666</f>
        <v>4.821173450446023E-2</v>
      </c>
      <c r="N73" s="3">
        <f>(Constraint[[#This Row],[disp_q4]]--0.0145666666666666)/-0.0145666666666666</f>
        <v>2.3707812984693568E-2</v>
      </c>
      <c r="O73" s="3">
        <f>(Constraint[[#This Row],[disp_q8]]--0.0145666666666666)/-0.0145666666666666</f>
        <v>5.6195393512538015E-2</v>
      </c>
    </row>
    <row r="74" spans="1:15" x14ac:dyDescent="0.3">
      <c r="A74">
        <v>7</v>
      </c>
      <c r="B74">
        <v>21</v>
      </c>
      <c r="C74">
        <f>Constraint[[#This Row],[nxi]]*3</f>
        <v>63</v>
      </c>
      <c r="D74">
        <v>1408</v>
      </c>
      <c r="E74">
        <v>-1.4721908844604E-2</v>
      </c>
      <c r="F74">
        <v>2346</v>
      </c>
      <c r="G74">
        <v>-1.5243080340631701E-2</v>
      </c>
      <c r="H74">
        <v>1408</v>
      </c>
      <c r="I74">
        <v>-1.48968963429436E-2</v>
      </c>
      <c r="J74">
        <v>2346</v>
      </c>
      <c r="K74">
        <v>-1.53421227332178E-2</v>
      </c>
      <c r="L74" s="3">
        <f>(Constraint[[#This Row],[disp_t3]]--0.0145666666666666)/-0.0145666666666666</f>
        <v>1.0657357753139692E-2</v>
      </c>
      <c r="M74" s="3">
        <f>(Constraint[[#This Row],[disp_t6]]--0.0145666666666666)/-0.0145666666666666</f>
        <v>4.6435721324835554E-2</v>
      </c>
      <c r="N74" s="3">
        <f>(Constraint[[#This Row],[disp_q4]]--0.0145666666666666)/-0.0145666666666666</f>
        <v>2.2670229492700401E-2</v>
      </c>
      <c r="O74" s="3">
        <f>(Constraint[[#This Row],[disp_q8]]--0.0145666666666666)/-0.0145666666666666</f>
        <v>5.3234970243789793E-2</v>
      </c>
    </row>
    <row r="75" spans="1:15" x14ac:dyDescent="0.3">
      <c r="A75">
        <v>7</v>
      </c>
      <c r="B75">
        <v>18</v>
      </c>
      <c r="C75">
        <f>Constraint[[#This Row],[nxi]]*3</f>
        <v>54</v>
      </c>
      <c r="D75">
        <v>1216</v>
      </c>
      <c r="E75">
        <v>-1.4693714154146199E-2</v>
      </c>
      <c r="F75">
        <v>2022</v>
      </c>
      <c r="G75">
        <v>-1.52110752608657E-2</v>
      </c>
      <c r="H75">
        <v>1216</v>
      </c>
      <c r="I75">
        <v>-1.4878230384327701E-2</v>
      </c>
      <c r="J75">
        <v>2022</v>
      </c>
      <c r="K75">
        <v>-1.52902451729778E-2</v>
      </c>
      <c r="L75" s="3">
        <f>(Constraint[[#This Row],[disp_t3]]--0.0145666666666666)/-0.0145666666666666</f>
        <v>8.7217954791487824E-3</v>
      </c>
      <c r="M75" s="3">
        <f>(Constraint[[#This Row],[disp_t6]]--0.0145666666666666)/-0.0145666666666666</f>
        <v>4.4238576260808016E-2</v>
      </c>
      <c r="N75" s="3">
        <f>(Constraint[[#This Row],[disp_q4]]--0.0145666666666666)/-0.0145666666666666</f>
        <v>2.13888135694121E-2</v>
      </c>
      <c r="O75" s="3">
        <f>(Constraint[[#This Row],[disp_q8]]--0.0145666666666666)/-0.0145666666666666</f>
        <v>4.9673581668961353E-2</v>
      </c>
    </row>
    <row r="76" spans="1:15" x14ac:dyDescent="0.3">
      <c r="A76">
        <v>7</v>
      </c>
      <c r="B76">
        <v>15</v>
      </c>
      <c r="C76">
        <f>Constraint[[#This Row],[nxi]]*3</f>
        <v>45</v>
      </c>
      <c r="D76">
        <v>1024</v>
      </c>
      <c r="E76">
        <v>-1.4653114450575501E-2</v>
      </c>
      <c r="F76">
        <v>1698</v>
      </c>
      <c r="G76">
        <v>-1.5170869263965599E-2</v>
      </c>
      <c r="H76">
        <v>1024</v>
      </c>
      <c r="I76">
        <v>-1.4853530813558599E-2</v>
      </c>
      <c r="J76">
        <v>1698</v>
      </c>
      <c r="K76">
        <v>-1.52277494226714E-2</v>
      </c>
      <c r="L76" s="3">
        <f>(Constraint[[#This Row],[disp_t3]]--0.0145666666666666)/-0.0145666666666666</f>
        <v>5.9346304742953077E-3</v>
      </c>
      <c r="M76" s="3">
        <f>(Constraint[[#This Row],[disp_t6]]--0.0145666666666666)/-0.0145666666666666</f>
        <v>4.147843917384459E-2</v>
      </c>
      <c r="N76" s="3">
        <f>(Constraint[[#This Row],[disp_q4]]--0.0145666666666666)/-0.0145666666666666</f>
        <v>1.969319086215111E-2</v>
      </c>
      <c r="O76" s="3">
        <f>(Constraint[[#This Row],[disp_q8]]--0.0145666666666666)/-0.0145666666666666</f>
        <v>4.5383255560970517E-2</v>
      </c>
    </row>
    <row r="77" spans="1:15" x14ac:dyDescent="0.3">
      <c r="A77">
        <v>7</v>
      </c>
      <c r="B77">
        <v>13</v>
      </c>
      <c r="C77">
        <f>Constraint[[#This Row],[nxi]]*3</f>
        <v>39</v>
      </c>
      <c r="D77">
        <v>896</v>
      </c>
      <c r="E77">
        <v>-1.46133766796864E-2</v>
      </c>
      <c r="F77">
        <v>1482</v>
      </c>
      <c r="G77">
        <v>-1.5137726212266099E-2</v>
      </c>
      <c r="H77">
        <v>896</v>
      </c>
      <c r="I77">
        <v>-1.48309181934523E-2</v>
      </c>
      <c r="J77">
        <v>1482</v>
      </c>
      <c r="K77">
        <v>-1.51789047131193E-2</v>
      </c>
      <c r="L77" s="3">
        <f>(Constraint[[#This Row],[disp_t3]]--0.0145666666666666)/-0.0145666666666666</f>
        <v>3.2066370494142483E-3</v>
      </c>
      <c r="M77" s="3">
        <f>(Constraint[[#This Row],[disp_t6]]--0.0145666666666666)/-0.0145666666666666</f>
        <v>3.9203172466785084E-2</v>
      </c>
      <c r="N77" s="3">
        <f>(Constraint[[#This Row],[disp_q4]]--0.0145666666666666)/-0.0145666666666666</f>
        <v>1.8140837079109937E-2</v>
      </c>
      <c r="O77" s="3">
        <f>(Constraint[[#This Row],[disp_q8]]--0.0145666666666666)/-0.0145666666666666</f>
        <v>4.2030071838858346E-2</v>
      </c>
    </row>
    <row r="78" spans="1:15" x14ac:dyDescent="0.3">
      <c r="A78">
        <v>7</v>
      </c>
      <c r="B78">
        <v>11</v>
      </c>
      <c r="C78">
        <f>Constraint[[#This Row],[nxi]]*3</f>
        <v>33</v>
      </c>
      <c r="D78">
        <v>768</v>
      </c>
      <c r="E78">
        <v>-1.45546954859434E-2</v>
      </c>
      <c r="F78">
        <v>1266</v>
      </c>
      <c r="G78">
        <v>-1.5097283507821699E-2</v>
      </c>
      <c r="H78">
        <v>768</v>
      </c>
      <c r="I78">
        <v>-1.4798979761592E-2</v>
      </c>
      <c r="J78">
        <v>1266</v>
      </c>
      <c r="K78">
        <v>-1.5122903942508399E-2</v>
      </c>
      <c r="L78" s="3">
        <f>(Constraint[[#This Row],[disp_t3]]--0.0145666666666666)/-0.0145666666666666</f>
        <v>-8.2182018694735876E-4</v>
      </c>
      <c r="M78" s="3">
        <f>(Constraint[[#This Row],[disp_t6]]--0.0145666666666666)/-0.0145666666666666</f>
        <v>3.6426785433988716E-2</v>
      </c>
      <c r="N78" s="3">
        <f>(Constraint[[#This Row],[disp_q4]]--0.0145666666666666)/-0.0145666666666666</f>
        <v>1.5948267386183174E-2</v>
      </c>
      <c r="O78" s="3">
        <f>(Constraint[[#This Row],[disp_q8]]--0.0145666666666666)/-0.0145666666666666</f>
        <v>3.8185625343830853E-2</v>
      </c>
    </row>
    <row r="79" spans="1:15" x14ac:dyDescent="0.3">
      <c r="A79">
        <v>7</v>
      </c>
      <c r="B79">
        <v>9</v>
      </c>
      <c r="C79">
        <f>Constraint[[#This Row],[nxi]]*3</f>
        <v>27</v>
      </c>
      <c r="D79">
        <v>640</v>
      </c>
      <c r="E79">
        <v>-1.4460246077021101E-2</v>
      </c>
      <c r="F79">
        <v>1050</v>
      </c>
      <c r="G79">
        <v>-1.50460710564736E-2</v>
      </c>
      <c r="H79">
        <v>640</v>
      </c>
      <c r="I79">
        <v>-1.4749057875523599E-2</v>
      </c>
      <c r="J79">
        <v>1050</v>
      </c>
      <c r="K79">
        <v>-1.50574790985294E-2</v>
      </c>
      <c r="L79" s="3">
        <f>(Constraint[[#This Row],[disp_t3]]--0.0145666666666666)/-0.0145666666666666</f>
        <v>-7.3057613028946694E-3</v>
      </c>
      <c r="M79" s="3">
        <f>(Constraint[[#This Row],[disp_t6]]--0.0145666666666666)/-0.0145666666666666</f>
        <v>3.2911056508489862E-2</v>
      </c>
      <c r="N79" s="3">
        <f>(Constraint[[#This Row],[disp_q4]]--0.0145666666666666)/-0.0145666666666666</f>
        <v>1.2521135619473735E-2</v>
      </c>
      <c r="O79" s="3">
        <f>(Constraint[[#This Row],[disp_q8]]--0.0145666666666666)/-0.0145666666666666</f>
        <v>3.3694217290352622E-2</v>
      </c>
    </row>
    <row r="80" spans="1:15" x14ac:dyDescent="0.3">
      <c r="A80">
        <v>7</v>
      </c>
      <c r="B80">
        <v>8</v>
      </c>
      <c r="C80">
        <f>Constraint[[#This Row],[nxi]]*3</f>
        <v>24</v>
      </c>
      <c r="D80">
        <v>576</v>
      </c>
      <c r="E80">
        <v>-1.43890234639806E-2</v>
      </c>
      <c r="F80">
        <v>942</v>
      </c>
      <c r="G80">
        <v>-1.5014570888160999E-2</v>
      </c>
      <c r="H80">
        <v>576</v>
      </c>
      <c r="I80">
        <v>-1.4711747241234601E-2</v>
      </c>
      <c r="J80">
        <v>942</v>
      </c>
      <c r="K80">
        <v>-1.5019867454328701E-2</v>
      </c>
      <c r="L80" s="3">
        <f>(Constraint[[#This Row],[disp_t3]]--0.0145666666666666)/-0.0145666666666666</f>
        <v>-1.2195185539084713E-2</v>
      </c>
      <c r="M80" s="3">
        <f>(Constraint[[#This Row],[disp_t6]]--0.0145666666666666)/-0.0145666666666666</f>
        <v>3.07485735579681E-2</v>
      </c>
      <c r="N80" s="3">
        <f>(Constraint[[#This Row],[disp_q4]]--0.0145666666666666)/-0.0145666666666666</f>
        <v>9.9597648444852659E-3</v>
      </c>
      <c r="O80" s="3">
        <f>(Constraint[[#This Row],[disp_q8]]--0.0145666666666666)/-0.0145666666666666</f>
        <v>3.1112182219366364E-2</v>
      </c>
    </row>
    <row r="81" spans="1:15" x14ac:dyDescent="0.3">
      <c r="A81">
        <v>7</v>
      </c>
      <c r="B81">
        <v>7</v>
      </c>
      <c r="C81">
        <f>Constraint[[#This Row],[nxi]]*3</f>
        <v>21</v>
      </c>
      <c r="D81">
        <v>512</v>
      </c>
      <c r="E81">
        <v>-1.4290840370110899E-2</v>
      </c>
      <c r="F81">
        <v>834</v>
      </c>
      <c r="G81">
        <v>-1.49774364095432E-2</v>
      </c>
      <c r="H81">
        <v>512</v>
      </c>
      <c r="I81">
        <v>-1.46601545307414E-2</v>
      </c>
      <c r="J81">
        <v>834</v>
      </c>
      <c r="K81">
        <v>-1.49776080156666E-2</v>
      </c>
      <c r="L81" s="3">
        <f>(Constraint[[#This Row],[disp_t3]]--0.0145666666666666)/-0.0145666666666666</f>
        <v>-1.893544369947606E-2</v>
      </c>
      <c r="M81" s="3">
        <f>(Constraint[[#This Row],[disp_t6]]--0.0145666666666666)/-0.0145666666666666</f>
        <v>2.8199295849652344E-2</v>
      </c>
      <c r="N81" s="3">
        <f>(Constraint[[#This Row],[disp_q4]]--0.0145666666666666)/-0.0145666666666666</f>
        <v>6.417931172183167E-3</v>
      </c>
      <c r="O81" s="3">
        <f>(Constraint[[#This Row],[disp_q8]]--0.0145666666666666)/-0.0145666666666666</f>
        <v>2.821107659038918E-2</v>
      </c>
    </row>
    <row r="82" spans="1:15" x14ac:dyDescent="0.3">
      <c r="A82">
        <v>7</v>
      </c>
      <c r="B82">
        <v>6</v>
      </c>
      <c r="C82">
        <f>Constraint[[#This Row],[nxi]]*3</f>
        <v>18</v>
      </c>
      <c r="D82">
        <v>448</v>
      </c>
      <c r="E82">
        <v>-1.41504099666338E-2</v>
      </c>
      <c r="F82">
        <v>726</v>
      </c>
      <c r="G82">
        <v>-1.4932440734490999E-2</v>
      </c>
      <c r="H82">
        <v>448</v>
      </c>
      <c r="I82">
        <v>-1.4585319630153E-2</v>
      </c>
      <c r="J82">
        <v>726</v>
      </c>
      <c r="K82">
        <v>-1.49285598018711E-2</v>
      </c>
      <c r="L82" s="3">
        <f>(Constraint[[#This Row],[disp_t3]]--0.0145666666666666)/-0.0145666666666666</f>
        <v>-2.8575974830627088E-2</v>
      </c>
      <c r="M82" s="3">
        <f>(Constraint[[#This Row],[disp_t6]]--0.0145666666666666)/-0.0145666666666666</f>
        <v>2.5110347905565326E-2</v>
      </c>
      <c r="N82" s="3">
        <f>(Constraint[[#This Row],[disp_q4]]--0.0145666666666666)/-0.0145666666666666</f>
        <v>1.2805238091350849E-3</v>
      </c>
      <c r="O82" s="3">
        <f>(Constraint[[#This Row],[disp_q8]]--0.0145666666666666)/-0.0145666666666666</f>
        <v>2.4843922325251875E-2</v>
      </c>
    </row>
    <row r="83" spans="1:15" x14ac:dyDescent="0.3">
      <c r="A83">
        <v>7</v>
      </c>
      <c r="B83">
        <v>5</v>
      </c>
      <c r="C83">
        <f>Constraint[[#This Row],[nxi]]*3</f>
        <v>15</v>
      </c>
      <c r="D83">
        <v>384</v>
      </c>
      <c r="E83">
        <v>-1.39409523742966E-2</v>
      </c>
      <c r="F83">
        <v>618</v>
      </c>
      <c r="G83">
        <v>-1.4875731846591999E-2</v>
      </c>
      <c r="H83">
        <v>384</v>
      </c>
      <c r="I83">
        <v>-1.4470119035235001E-2</v>
      </c>
      <c r="J83">
        <v>618</v>
      </c>
      <c r="K83">
        <v>-1.4869557991685101E-2</v>
      </c>
      <c r="L83" s="3">
        <f>(Constraint[[#This Row],[disp_t3]]--0.0145666666666666)/-0.0145666666666666</f>
        <v>-4.2955214579176344E-2</v>
      </c>
      <c r="M83" s="3">
        <f>(Constraint[[#This Row],[disp_t6]]--0.0145666666666666)/-0.0145666666666666</f>
        <v>2.1217289239730073E-2</v>
      </c>
      <c r="N83" s="3">
        <f>(Constraint[[#This Row],[disp_q4]]--0.0145666666666666)/-0.0145666666666666</f>
        <v>-6.6279838511395248E-3</v>
      </c>
      <c r="O83" s="3">
        <f>(Constraint[[#This Row],[disp_q8]]--0.0145666666666666)/-0.0145666666666666</f>
        <v>2.0793454806762198E-2</v>
      </c>
    </row>
    <row r="84" spans="1:15" x14ac:dyDescent="0.3">
      <c r="A84">
        <v>7</v>
      </c>
      <c r="B84">
        <v>4</v>
      </c>
      <c r="C84">
        <f>Constraint[[#This Row],[nxi]]*3</f>
        <v>12</v>
      </c>
      <c r="D84">
        <v>320</v>
      </c>
      <c r="E84">
        <v>-1.3614182998445501E-2</v>
      </c>
      <c r="F84">
        <v>510</v>
      </c>
      <c r="G84">
        <v>-1.4800111239185201E-2</v>
      </c>
      <c r="H84">
        <v>320</v>
      </c>
      <c r="I84">
        <v>-1.4278875509879E-2</v>
      </c>
      <c r="J84">
        <v>510</v>
      </c>
      <c r="K84">
        <v>-1.47918948184251E-2</v>
      </c>
      <c r="L84" s="3">
        <f>(Constraint[[#This Row],[disp_t3]]--0.0145666666666666)/-0.0145666666666666</f>
        <v>-6.5387894843553993E-2</v>
      </c>
      <c r="M84" s="3">
        <f>(Constraint[[#This Row],[disp_t6]]--0.0145666666666666)/-0.0145666666666666</f>
        <v>1.602594319349673E-2</v>
      </c>
      <c r="N84" s="3">
        <f>(Constraint[[#This Row],[disp_q4]]--0.0145666666666666)/-0.0145666666666666</f>
        <v>-1.9756829985418809E-2</v>
      </c>
      <c r="O84" s="3">
        <f>(Constraint[[#This Row],[disp_q8]]--0.0145666666666666)/-0.0145666666666666</f>
        <v>1.5461886848409738E-2</v>
      </c>
    </row>
    <row r="85" spans="1:15" x14ac:dyDescent="0.3">
      <c r="A85">
        <v>7</v>
      </c>
      <c r="B85">
        <v>3</v>
      </c>
      <c r="C85">
        <f>Constraint[[#This Row],[nxi]]*3</f>
        <v>9</v>
      </c>
      <c r="D85">
        <v>256</v>
      </c>
      <c r="E85">
        <v>-1.3085251509652699E-2</v>
      </c>
      <c r="F85">
        <v>402</v>
      </c>
      <c r="G85">
        <v>-1.46918681410296E-2</v>
      </c>
      <c r="H85">
        <v>256</v>
      </c>
      <c r="I85">
        <v>-1.39302549250336E-2</v>
      </c>
      <c r="J85">
        <v>402</v>
      </c>
      <c r="K85">
        <v>-1.46874518665287E-2</v>
      </c>
      <c r="L85" s="3">
        <f>(Constraint[[#This Row],[disp_t3]]--0.0145666666666666)/-0.0145666666666666</f>
        <v>-0.10169898103070299</v>
      </c>
      <c r="M85" s="3">
        <f>(Constraint[[#This Row],[disp_t6]]--0.0145666666666666)/-0.0145666666666666</f>
        <v>8.5950668899085342E-3</v>
      </c>
      <c r="N85" s="3">
        <f>(Constraint[[#This Row],[disp_q4]]--0.0145666666666666)/-0.0145666666666666</f>
        <v>-4.3689593247116888E-2</v>
      </c>
      <c r="O85" s="3">
        <f>(Constraint[[#This Row],[disp_q8]]--0.0145666666666666)/-0.0145666666666666</f>
        <v>8.2918901507163419E-3</v>
      </c>
    </row>
    <row r="86" spans="1:15" x14ac:dyDescent="0.3">
      <c r="A86">
        <v>7</v>
      </c>
      <c r="B86">
        <v>2</v>
      </c>
      <c r="C86">
        <f>Constraint[[#This Row],[nxi]]*3</f>
        <v>6</v>
      </c>
      <c r="D86">
        <v>192</v>
      </c>
      <c r="E86">
        <v>-1.22514551502989E-2</v>
      </c>
      <c r="F86">
        <v>294</v>
      </c>
      <c r="G86">
        <v>-1.45416277044757E-2</v>
      </c>
      <c r="H86">
        <v>192</v>
      </c>
      <c r="I86">
        <v>-1.32407115103863E-2</v>
      </c>
      <c r="J86">
        <v>294</v>
      </c>
      <c r="K86">
        <v>-1.4534412766474099E-2</v>
      </c>
      <c r="L86" s="3">
        <f>(Constraint[[#This Row],[disp_t3]]--0.0145666666666666)/-0.0145666666666666</f>
        <v>-0.15893900570030048</v>
      </c>
      <c r="M86" s="3">
        <f>(Constraint[[#This Row],[disp_t6]]--0.0145666666666666)/-0.0145666666666666</f>
        <v>-1.7189218895354544E-3</v>
      </c>
      <c r="N86" s="3">
        <f>(Constraint[[#This Row],[disp_q4]]--0.0145666666666666)/-0.0145666666666666</f>
        <v>-9.1026669767526713E-2</v>
      </c>
      <c r="O86" s="3">
        <f>(Constraint[[#This Row],[disp_q8]]--0.0145666666666666)/-0.0145666666666666</f>
        <v>-2.2142265578375285E-3</v>
      </c>
    </row>
    <row r="87" spans="1:15" x14ac:dyDescent="0.3">
      <c r="A87">
        <v>5</v>
      </c>
      <c r="B87">
        <v>40</v>
      </c>
      <c r="C87">
        <f>Constraint[[#This Row],[nxi]]*3</f>
        <v>120</v>
      </c>
      <c r="D87">
        <v>1968</v>
      </c>
      <c r="E87">
        <v>-1.47711902920525E-2</v>
      </c>
      <c r="F87">
        <v>3258</v>
      </c>
      <c r="G87">
        <v>-1.56103471380697E-2</v>
      </c>
      <c r="H87">
        <v>1968</v>
      </c>
      <c r="I87">
        <v>-1.5054152347249E-2</v>
      </c>
      <c r="J87">
        <v>3258</v>
      </c>
      <c r="K87">
        <v>-1.5890877524039799E-2</v>
      </c>
      <c r="L87" s="3">
        <f>(Constraint[[#This Row],[disp_t3]]--0.0145666666666666)/-0.0145666666666666</f>
        <v>1.4040523481869693E-2</v>
      </c>
      <c r="M87" s="3">
        <f>(Constraint[[#This Row],[disp_t6]]--0.0145666666666666)/-0.0145666666666666</f>
        <v>7.1648544947581605E-2</v>
      </c>
      <c r="N87" s="3">
        <f>(Constraint[[#This Row],[disp_q4]]--0.0145666666666666)/-0.0145666666666666</f>
        <v>3.3465836195588287E-2</v>
      </c>
      <c r="O87" s="3">
        <f>(Constraint[[#This Row],[disp_q8]]--0.0145666666666666)/-0.0145666666666666</f>
        <v>9.0906923847130824E-2</v>
      </c>
    </row>
    <row r="88" spans="1:15" x14ac:dyDescent="0.3">
      <c r="A88">
        <v>5</v>
      </c>
      <c r="B88">
        <v>34</v>
      </c>
      <c r="C88">
        <f>Constraint[[#This Row],[nxi]]*3</f>
        <v>102</v>
      </c>
      <c r="D88">
        <v>1680</v>
      </c>
      <c r="E88">
        <v>-1.47569612595486E-2</v>
      </c>
      <c r="F88">
        <v>2778</v>
      </c>
      <c r="G88">
        <v>-1.5603732692721899E-2</v>
      </c>
      <c r="H88">
        <v>1680</v>
      </c>
      <c r="I88">
        <v>-1.5043692880994001E-2</v>
      </c>
      <c r="J88">
        <v>2778</v>
      </c>
      <c r="K88">
        <v>-1.58719005929123E-2</v>
      </c>
      <c r="L88" s="3">
        <f>(Constraint[[#This Row],[disp_t3]]--0.0145666666666666)/-0.0145666666666666</f>
        <v>1.3063702028512716E-2</v>
      </c>
      <c r="M88" s="3">
        <f>(Constraint[[#This Row],[disp_t6]]--0.0145666666666666)/-0.0145666666666666</f>
        <v>7.1194464031256621E-2</v>
      </c>
      <c r="N88" s="3">
        <f>(Constraint[[#This Row],[disp_q4]]--0.0145666666666666)/-0.0145666666666666</f>
        <v>3.2747795033917872E-2</v>
      </c>
      <c r="O88" s="3">
        <f>(Constraint[[#This Row],[disp_q8]]--0.0145666666666666)/-0.0145666666666666</f>
        <v>8.9604159696501637E-2</v>
      </c>
    </row>
    <row r="89" spans="1:15" x14ac:dyDescent="0.3">
      <c r="A89">
        <v>5</v>
      </c>
      <c r="B89">
        <v>29</v>
      </c>
      <c r="C89">
        <f>Constraint[[#This Row],[nxi]]*3</f>
        <v>87</v>
      </c>
      <c r="D89">
        <v>1440</v>
      </c>
      <c r="E89">
        <v>-1.4735590683925199E-2</v>
      </c>
      <c r="F89">
        <v>2378</v>
      </c>
      <c r="G89">
        <v>-1.55857067416028E-2</v>
      </c>
      <c r="H89">
        <v>1440</v>
      </c>
      <c r="I89">
        <v>-1.5026512950741901E-2</v>
      </c>
      <c r="J89">
        <v>2378</v>
      </c>
      <c r="K89">
        <v>-1.5837412474997901E-2</v>
      </c>
      <c r="L89" s="3">
        <f>(Constraint[[#This Row],[disp_t3]]--0.0145666666666666)/-0.0145666666666666</f>
        <v>1.1596614457112176E-2</v>
      </c>
      <c r="M89" s="3">
        <f>(Constraint[[#This Row],[disp_t6]]--0.0145666666666666)/-0.0145666666666666</f>
        <v>6.9956984549396223E-2</v>
      </c>
      <c r="N89" s="3">
        <f>(Constraint[[#This Row],[disp_q4]]--0.0145666666666666)/-0.0145666666666666</f>
        <v>3.1568394787778273E-2</v>
      </c>
      <c r="O89" s="3">
        <f>(Constraint[[#This Row],[disp_q8]]--0.0145666666666666)/-0.0145666666666666</f>
        <v>8.7236554347686998E-2</v>
      </c>
    </row>
    <row r="90" spans="1:15" x14ac:dyDescent="0.3">
      <c r="A90">
        <v>5</v>
      </c>
      <c r="B90">
        <v>24</v>
      </c>
      <c r="C90">
        <f>Constraint[[#This Row],[nxi]]*3</f>
        <v>72</v>
      </c>
      <c r="D90">
        <v>1200</v>
      </c>
      <c r="E90">
        <v>-1.4701339803724E-2</v>
      </c>
      <c r="F90">
        <v>1978</v>
      </c>
      <c r="G90">
        <v>-1.5549676989223301E-2</v>
      </c>
      <c r="H90">
        <v>1200</v>
      </c>
      <c r="I90">
        <v>-1.49982953836465E-2</v>
      </c>
      <c r="J90">
        <v>1978</v>
      </c>
      <c r="K90">
        <v>-1.5776584698027299E-2</v>
      </c>
      <c r="L90" s="3">
        <f>(Constraint[[#This Row],[disp_t3]]--0.0145666666666666)/-0.0145666666666666</f>
        <v>9.2452954501648192E-3</v>
      </c>
      <c r="M90" s="3">
        <f>(Constraint[[#This Row],[disp_t6]]--0.0145666666666666)/-0.0145666666666666</f>
        <v>6.7483546170940906E-2</v>
      </c>
      <c r="N90" s="3">
        <f>(Constraint[[#This Row],[disp_q4]]--0.0145666666666666)/-0.0145666666666666</f>
        <v>2.9631262035233592E-2</v>
      </c>
      <c r="O90" s="3">
        <f>(Constraint[[#This Row],[disp_q8]]--0.0145666666666666)/-0.0145666666666666</f>
        <v>8.3060734418355042E-2</v>
      </c>
    </row>
    <row r="91" spans="1:15" x14ac:dyDescent="0.3">
      <c r="A91">
        <v>5</v>
      </c>
      <c r="B91">
        <v>21</v>
      </c>
      <c r="C91">
        <f>Constraint[[#This Row],[nxi]]*3</f>
        <v>63</v>
      </c>
      <c r="D91">
        <v>1056</v>
      </c>
      <c r="E91">
        <v>-1.46721264033317E-2</v>
      </c>
      <c r="F91">
        <v>1738</v>
      </c>
      <c r="G91">
        <v>-1.5515984092955799E-2</v>
      </c>
      <c r="H91">
        <v>1056</v>
      </c>
      <c r="I91">
        <v>-1.4974480926380899E-2</v>
      </c>
      <c r="J91">
        <v>1738</v>
      </c>
      <c r="K91">
        <v>-1.57225568222829E-2</v>
      </c>
      <c r="L91" s="3">
        <f>(Constraint[[#This Row],[disp_t3]]--0.0145666666666666)/-0.0145666666666666</f>
        <v>7.2397988557277842E-3</v>
      </c>
      <c r="M91" s="3">
        <f>(Constraint[[#This Row],[disp_t6]]--0.0145666666666666)/-0.0145666666666666</f>
        <v>6.5170532697199385E-2</v>
      </c>
      <c r="N91" s="3">
        <f>(Constraint[[#This Row],[disp_q4]]--0.0145666666666666)/-0.0145666666666666</f>
        <v>2.7996402268716365E-2</v>
      </c>
      <c r="O91" s="3">
        <f>(Constraint[[#This Row],[disp_q8]]--0.0145666666666666)/-0.0145666666666666</f>
        <v>7.9351726930181193E-2</v>
      </c>
    </row>
    <row r="92" spans="1:15" x14ac:dyDescent="0.3">
      <c r="A92">
        <v>5</v>
      </c>
      <c r="B92">
        <v>18</v>
      </c>
      <c r="C92">
        <f>Constraint[[#This Row],[nxi]]*3</f>
        <v>54</v>
      </c>
      <c r="D92">
        <v>912</v>
      </c>
      <c r="E92">
        <v>-1.4633752207748299E-2</v>
      </c>
      <c r="F92">
        <v>1498</v>
      </c>
      <c r="G92">
        <v>-1.54705505067241E-2</v>
      </c>
      <c r="H92">
        <v>912</v>
      </c>
      <c r="I92">
        <v>-1.49442019271306E-2</v>
      </c>
      <c r="J92">
        <v>1498</v>
      </c>
      <c r="K92">
        <v>-1.5651473040208998E-2</v>
      </c>
      <c r="L92" s="3">
        <f>(Constraint[[#This Row],[disp_t3]]--0.0145666666666666)/-0.0145666666666666</f>
        <v>4.6054147195675266E-3</v>
      </c>
      <c r="M92" s="3">
        <f>(Constraint[[#This Row],[disp_t6]]--0.0145666666666666)/-0.0145666666666666</f>
        <v>6.2051522200744023E-2</v>
      </c>
      <c r="N92" s="3">
        <f>(Constraint[[#This Row],[disp_q4]]--0.0145666666666666)/-0.0145666666666666</f>
        <v>2.5917752434599737E-2</v>
      </c>
      <c r="O92" s="3">
        <f>(Constraint[[#This Row],[disp_q8]]--0.0145666666666666)/-0.0145666666666666</f>
        <v>7.4471833423963671E-2</v>
      </c>
    </row>
    <row r="93" spans="1:15" x14ac:dyDescent="0.3">
      <c r="A93">
        <v>5</v>
      </c>
      <c r="B93">
        <v>15</v>
      </c>
      <c r="C93">
        <f>Constraint[[#This Row],[nxi]]*3</f>
        <v>45</v>
      </c>
      <c r="D93">
        <v>768</v>
      </c>
      <c r="E93">
        <v>-1.45817318587856E-2</v>
      </c>
      <c r="F93">
        <v>1258</v>
      </c>
      <c r="G93">
        <v>-1.5410613825658601E-2</v>
      </c>
      <c r="H93">
        <v>768</v>
      </c>
      <c r="I93">
        <v>-1.4905565644009701E-2</v>
      </c>
      <c r="J93">
        <v>1258</v>
      </c>
      <c r="K93">
        <v>-1.555929963893E-2</v>
      </c>
      <c r="L93" s="3">
        <f>(Constraint[[#This Row],[disp_t3]]--0.0145666666666666)/-0.0145666666666666</f>
        <v>1.0342237152632405E-3</v>
      </c>
      <c r="M93" s="3">
        <f>(Constraint[[#This Row],[disp_t6]]--0.0145666666666666)/-0.0145666666666666</f>
        <v>5.7936875903341317E-2</v>
      </c>
      <c r="N93" s="3">
        <f>(Constraint[[#This Row],[disp_q4]]--0.0145666666666666)/-0.0145666666666666</f>
        <v>2.3265376018977307E-2</v>
      </c>
      <c r="O93" s="3">
        <f>(Constraint[[#This Row],[disp_q8]]--0.0145666666666666)/-0.0145666666666666</f>
        <v>6.8144139972316123E-2</v>
      </c>
    </row>
    <row r="94" spans="1:15" x14ac:dyDescent="0.3">
      <c r="A94">
        <v>5</v>
      </c>
      <c r="B94">
        <v>13</v>
      </c>
      <c r="C94">
        <f>Constraint[[#This Row],[nxi]]*3</f>
        <v>39</v>
      </c>
      <c r="D94">
        <v>672</v>
      </c>
      <c r="E94">
        <v>-1.4534701720177901E-2</v>
      </c>
      <c r="F94">
        <v>1098</v>
      </c>
      <c r="G94">
        <v>-1.53606889240044E-2</v>
      </c>
      <c r="H94">
        <v>672</v>
      </c>
      <c r="I94">
        <v>-1.4873080277669599E-2</v>
      </c>
      <c r="J94">
        <v>1098</v>
      </c>
      <c r="K94">
        <v>-1.54835978959418E-2</v>
      </c>
      <c r="L94" s="3">
        <f>(Constraint[[#This Row],[disp_t3]]--0.0145666666666666)/-0.0145666666666666</f>
        <v>-2.1943899191326525E-3</v>
      </c>
      <c r="M94" s="3">
        <f>(Constraint[[#This Row],[disp_t6]]--0.0145666666666666)/-0.0145666666666666</f>
        <v>5.450953711701173E-2</v>
      </c>
      <c r="N94" s="3">
        <f>(Constraint[[#This Row],[disp_q4]]--0.0145666666666666)/-0.0145666666666666</f>
        <v>2.1035259336590492E-2</v>
      </c>
      <c r="O94" s="3">
        <f>(Constraint[[#This Row],[disp_q8]]--0.0145666666666666)/-0.0145666666666666</f>
        <v>6.2947223977702846E-2</v>
      </c>
    </row>
    <row r="95" spans="1:15" x14ac:dyDescent="0.3">
      <c r="A95">
        <v>5</v>
      </c>
      <c r="B95">
        <v>11</v>
      </c>
      <c r="C95">
        <f>Constraint[[#This Row],[nxi]]*3</f>
        <v>33</v>
      </c>
      <c r="D95">
        <v>576</v>
      </c>
      <c r="E95">
        <v>-1.44702008958069E-2</v>
      </c>
      <c r="F95">
        <v>938</v>
      </c>
      <c r="G95">
        <v>-1.53005301724842E-2</v>
      </c>
      <c r="H95">
        <v>576</v>
      </c>
      <c r="I95">
        <v>-1.48315834704474E-2</v>
      </c>
      <c r="J95">
        <v>938</v>
      </c>
      <c r="K95">
        <v>-1.5394139534651199E-2</v>
      </c>
      <c r="L95" s="3">
        <f>(Constraint[[#This Row],[disp_t3]]--0.0145666666666666)/-0.0145666666666666</f>
        <v>-6.6223641322448431E-3</v>
      </c>
      <c r="M95" s="3">
        <f>(Constraint[[#This Row],[disp_t6]]--0.0145666666666666)/-0.0145666666666666</f>
        <v>5.0379645708302355E-2</v>
      </c>
      <c r="N95" s="3">
        <f>(Constraint[[#This Row],[disp_q4]]--0.0145666666666666)/-0.0145666666666666</f>
        <v>1.8186508268704962E-2</v>
      </c>
      <c r="O95" s="3">
        <f>(Constraint[[#This Row],[disp_q8]]--0.0145666666666666)/-0.0145666666666666</f>
        <v>5.6805917710613545E-2</v>
      </c>
    </row>
    <row r="96" spans="1:15" x14ac:dyDescent="0.3">
      <c r="A96">
        <v>5</v>
      </c>
      <c r="B96">
        <v>9</v>
      </c>
      <c r="C96">
        <f>Constraint[[#This Row],[nxi]]*3</f>
        <v>27</v>
      </c>
      <c r="D96">
        <v>480</v>
      </c>
      <c r="E96">
        <v>-1.43730149575673E-2</v>
      </c>
      <c r="F96">
        <v>778</v>
      </c>
      <c r="G96">
        <v>-1.5226376910898801E-2</v>
      </c>
      <c r="H96">
        <v>480</v>
      </c>
      <c r="I96">
        <v>-1.47731798586919E-2</v>
      </c>
      <c r="J96">
        <v>778</v>
      </c>
      <c r="K96">
        <v>-1.52880710375895E-2</v>
      </c>
      <c r="L96" s="3">
        <f>(Constraint[[#This Row],[disp_t3]]--0.0145666666666666)/-0.0145666666666666</f>
        <v>-1.3294167672720862E-2</v>
      </c>
      <c r="M96" s="3">
        <f>(Constraint[[#This Row],[disp_t6]]--0.0145666666666666)/-0.0145666666666666</f>
        <v>4.5289032784819522E-2</v>
      </c>
      <c r="N96" s="3">
        <f>(Constraint[[#This Row],[disp_q4]]--0.0145666666666666)/-0.0145666666666666</f>
        <v>1.4177107004025262E-2</v>
      </c>
      <c r="O96" s="3">
        <f>(Constraint[[#This Row],[disp_q8]]--0.0145666666666666)/-0.0145666666666666</f>
        <v>4.9524327523311457E-2</v>
      </c>
    </row>
    <row r="97" spans="1:15" x14ac:dyDescent="0.3">
      <c r="A97">
        <v>5</v>
      </c>
      <c r="B97">
        <v>8</v>
      </c>
      <c r="C97">
        <f>Constraint[[#This Row],[nxi]]*3</f>
        <v>24</v>
      </c>
      <c r="D97">
        <v>432</v>
      </c>
      <c r="E97">
        <v>-1.4302307730029501E-2</v>
      </c>
      <c r="F97">
        <v>698</v>
      </c>
      <c r="G97">
        <v>-1.5181909312503E-2</v>
      </c>
      <c r="H97">
        <v>432</v>
      </c>
      <c r="I97">
        <v>-1.4732224397313899E-2</v>
      </c>
      <c r="J97">
        <v>698</v>
      </c>
      <c r="K97">
        <v>-1.5227452771507499E-2</v>
      </c>
      <c r="L97" s="3">
        <f>(Constraint[[#This Row],[disp_t3]]--0.0145666666666666)/-0.0145666666666666</f>
        <v>-1.8148210753118989E-2</v>
      </c>
      <c r="M97" s="3">
        <f>(Constraint[[#This Row],[disp_t6]]--0.0145666666666666)/-0.0145666666666666</f>
        <v>4.2236337242773668E-2</v>
      </c>
      <c r="N97" s="3">
        <f>(Constraint[[#This Row],[disp_q4]]--0.0145666666666666)/-0.0145666666666666</f>
        <v>1.1365519266405074E-2</v>
      </c>
      <c r="O97" s="3">
        <f>(Constraint[[#This Row],[disp_q8]]--0.0145666666666666)/-0.0145666666666666</f>
        <v>4.5362890492510501E-2</v>
      </c>
    </row>
    <row r="98" spans="1:15" x14ac:dyDescent="0.3">
      <c r="A98">
        <v>5</v>
      </c>
      <c r="B98">
        <v>7</v>
      </c>
      <c r="C98">
        <f>Constraint[[#This Row],[nxi]]*3</f>
        <v>21</v>
      </c>
      <c r="D98">
        <v>384</v>
      </c>
      <c r="E98">
        <v>-1.4206472736979401E-2</v>
      </c>
      <c r="F98">
        <v>618</v>
      </c>
      <c r="G98">
        <v>-1.5130507682316E-2</v>
      </c>
      <c r="H98">
        <v>384</v>
      </c>
      <c r="I98">
        <v>-1.46774254660334E-2</v>
      </c>
      <c r="J98">
        <v>618</v>
      </c>
      <c r="K98">
        <v>-1.51605439563715E-2</v>
      </c>
      <c r="L98" s="3">
        <f>(Constraint[[#This Row],[disp_t3]]--0.0145666666666666)/-0.0145666666666666</f>
        <v>-2.4727272060906205E-2</v>
      </c>
      <c r="M98" s="3">
        <f>(Constraint[[#This Row],[disp_t6]]--0.0145666666666666)/-0.0145666666666666</f>
        <v>3.8707621211629531E-2</v>
      </c>
      <c r="N98" s="3">
        <f>(Constraint[[#This Row],[disp_q4]]--0.0145666666666666)/-0.0145666666666666</f>
        <v>7.6035789038994116E-3</v>
      </c>
      <c r="O98" s="3">
        <f>(Constraint[[#This Row],[disp_q8]]--0.0145666666666666)/-0.0145666666666666</f>
        <v>4.0769607988894944E-2</v>
      </c>
    </row>
    <row r="99" spans="1:15" x14ac:dyDescent="0.3">
      <c r="A99">
        <v>5</v>
      </c>
      <c r="B99">
        <v>6</v>
      </c>
      <c r="C99">
        <f>Constraint[[#This Row],[nxi]]*3</f>
        <v>18</v>
      </c>
      <c r="D99">
        <v>336</v>
      </c>
      <c r="E99">
        <v>-1.4070879542478799E-2</v>
      </c>
      <c r="F99">
        <v>538</v>
      </c>
      <c r="G99">
        <v>-1.50696168424512E-2</v>
      </c>
      <c r="H99">
        <v>336</v>
      </c>
      <c r="I99">
        <v>-1.4599788905489099E-2</v>
      </c>
      <c r="J99">
        <v>538</v>
      </c>
      <c r="K99">
        <v>-1.50854467877145E-2</v>
      </c>
      <c r="L99" s="3">
        <f>(Constraint[[#This Row],[disp_t3]]--0.0145666666666666)/-0.0145666666666666</f>
        <v>-3.4035729349277039E-2</v>
      </c>
      <c r="M99" s="3">
        <f>(Constraint[[#This Row],[disp_t6]]--0.0145666666666666)/-0.0145666666666666</f>
        <v>3.4527472021826294E-2</v>
      </c>
      <c r="N99" s="3">
        <f>(Constraint[[#This Row],[disp_q4]]--0.0145666666666666)/-0.0145666666666666</f>
        <v>2.2738379054347922E-3</v>
      </c>
      <c r="O99" s="3">
        <f>(Constraint[[#This Row],[disp_q8]]--0.0145666666666666)/-0.0145666666666666</f>
        <v>3.56141959529453E-2</v>
      </c>
    </row>
    <row r="100" spans="1:15" x14ac:dyDescent="0.3">
      <c r="A100">
        <v>5</v>
      </c>
      <c r="B100">
        <v>5</v>
      </c>
      <c r="C100">
        <f>Constraint[[#This Row],[nxi]]*3</f>
        <v>15</v>
      </c>
      <c r="D100">
        <v>288</v>
      </c>
      <c r="E100">
        <v>-1.38696937960572E-2</v>
      </c>
      <c r="F100">
        <v>458</v>
      </c>
      <c r="G100">
        <v>-1.4995006042873999E-2</v>
      </c>
      <c r="H100">
        <v>288</v>
      </c>
      <c r="I100">
        <v>-1.44820791530851E-2</v>
      </c>
      <c r="J100">
        <v>458</v>
      </c>
      <c r="K100">
        <v>-1.49995483386073E-2</v>
      </c>
      <c r="L100" s="3">
        <f>(Constraint[[#This Row],[disp_t3]]--0.0145666666666666)/-0.0145666666666666</f>
        <v>-4.7847107822155788E-2</v>
      </c>
      <c r="M100" s="3">
        <f>(Constraint[[#This Row],[disp_t6]]--0.0145666666666666)/-0.0145666666666666</f>
        <v>2.9405449167556209E-2</v>
      </c>
      <c r="N100" s="3">
        <f>(Constraint[[#This Row],[disp_q4]]--0.0145666666666666)/-0.0145666666666666</f>
        <v>-5.8069231291647217E-3</v>
      </c>
      <c r="O100" s="3">
        <f>(Constraint[[#This Row],[disp_q8]]--0.0145666666666666)/-0.0145666666666666</f>
        <v>2.9717277249933814E-2</v>
      </c>
    </row>
    <row r="101" spans="1:15" x14ac:dyDescent="0.3">
      <c r="A101">
        <v>5</v>
      </c>
      <c r="B101">
        <v>4</v>
      </c>
      <c r="C101">
        <f>Constraint[[#This Row],[nxi]]*3</f>
        <v>12</v>
      </c>
      <c r="D101">
        <v>240</v>
      </c>
      <c r="E101">
        <v>-1.35558555212913E-2</v>
      </c>
      <c r="F101">
        <v>378</v>
      </c>
      <c r="G101">
        <v>-1.4899099243021E-2</v>
      </c>
      <c r="H101">
        <v>240</v>
      </c>
      <c r="I101">
        <v>-1.4288382680261599E-2</v>
      </c>
      <c r="J101">
        <v>378</v>
      </c>
      <c r="K101">
        <v>-1.48934567768135E-2</v>
      </c>
      <c r="L101" s="3">
        <f>(Constraint[[#This Row],[disp_t3]]--0.0145666666666666)/-0.0145666666666666</f>
        <v>-6.9392069476565468E-2</v>
      </c>
      <c r="M101" s="3">
        <f>(Constraint[[#This Row],[disp_t6]]--0.0145666666666666)/-0.0145666666666666</f>
        <v>2.2821458330965817E-2</v>
      </c>
      <c r="N101" s="3">
        <f>(Constraint[[#This Row],[disp_q4]]--0.0145666666666666)/-0.0145666666666666</f>
        <v>-1.9104163826430296E-2</v>
      </c>
      <c r="O101" s="3">
        <f>(Constraint[[#This Row],[disp_q8]]--0.0145666666666666)/-0.0145666666666666</f>
        <v>2.2434103671412051E-2</v>
      </c>
    </row>
    <row r="102" spans="1:15" x14ac:dyDescent="0.3">
      <c r="A102">
        <v>5</v>
      </c>
      <c r="B102">
        <v>3</v>
      </c>
      <c r="C102">
        <f>Constraint[[#This Row],[nxi]]*3</f>
        <v>9</v>
      </c>
      <c r="D102">
        <v>192</v>
      </c>
      <c r="E102">
        <v>-1.30453039217542E-2</v>
      </c>
      <c r="F102">
        <v>298</v>
      </c>
      <c r="G102">
        <v>-1.47678200512616E-2</v>
      </c>
      <c r="H102">
        <v>192</v>
      </c>
      <c r="I102">
        <v>-1.39368749862328E-2</v>
      </c>
      <c r="J102">
        <v>298</v>
      </c>
      <c r="K102">
        <v>-1.4763842376535601E-2</v>
      </c>
      <c r="L102" s="3">
        <f>(Constraint[[#This Row],[disp_t3]]--0.0145666666666666)/-0.0145666666666666</f>
        <v>-0.10444137836927274</v>
      </c>
      <c r="M102" s="3">
        <f>(Constraint[[#This Row],[disp_t6]]--0.0145666666666666)/-0.0145666666666666</f>
        <v>1.3809156837185468E-2</v>
      </c>
      <c r="N102" s="3">
        <f>(Constraint[[#This Row],[disp_q4]]--0.0145666666666666)/-0.0145666666666666</f>
        <v>-4.3235126803235824E-2</v>
      </c>
      <c r="O102" s="3">
        <f>(Constraint[[#This Row],[disp_q8]]--0.0145666666666666)/-0.0145666666666666</f>
        <v>1.3536089922357124E-2</v>
      </c>
    </row>
    <row r="103" spans="1:15" x14ac:dyDescent="0.3">
      <c r="A103">
        <v>5</v>
      </c>
      <c r="B103">
        <v>2</v>
      </c>
      <c r="C103">
        <f>Constraint[[#This Row],[nxi]]*3</f>
        <v>6</v>
      </c>
      <c r="D103">
        <v>144</v>
      </c>
      <c r="E103">
        <v>-1.2232623298253E-2</v>
      </c>
      <c r="F103">
        <v>218</v>
      </c>
      <c r="G103">
        <v>-1.4591576756050099E-2</v>
      </c>
      <c r="H103">
        <v>144</v>
      </c>
      <c r="I103">
        <v>-1.3243252350002999E-2</v>
      </c>
      <c r="J103">
        <v>218</v>
      </c>
      <c r="K103">
        <v>-1.45764975493678E-2</v>
      </c>
      <c r="L103" s="3">
        <f>(Constraint[[#This Row],[disp_t3]]--0.0145666666666666)/-0.0145666666666666</f>
        <v>-0.16023181018857735</v>
      </c>
      <c r="M103" s="3">
        <f>(Constraint[[#This Row],[disp_t6]]--0.0145666666666666)/-0.0145666666666666</f>
        <v>1.7100747860526475E-3</v>
      </c>
      <c r="N103" s="3">
        <f>(Constraint[[#This Row],[disp_q4]]--0.0145666666666666)/-0.0145666666666666</f>
        <v>-9.0852241418554205E-2</v>
      </c>
      <c r="O103" s="3">
        <f>(Constraint[[#This Row],[disp_q8]]--0.0145666666666666)/-0.0145666666666666</f>
        <v>6.7488897262249254E-4</v>
      </c>
    </row>
    <row r="104" spans="1:15" x14ac:dyDescent="0.3">
      <c r="A104">
        <v>4</v>
      </c>
      <c r="B104">
        <v>40</v>
      </c>
      <c r="C104">
        <f>Constraint[[#This Row],[nxi]]*3</f>
        <v>120</v>
      </c>
      <c r="D104">
        <v>1640</v>
      </c>
      <c r="E104">
        <v>-1.47328839685691E-2</v>
      </c>
      <c r="F104">
        <v>2688</v>
      </c>
      <c r="G104">
        <v>-1.5841044800080299E-2</v>
      </c>
      <c r="H104">
        <v>1640</v>
      </c>
      <c r="I104">
        <v>-1.51483401851156E-2</v>
      </c>
      <c r="J104">
        <v>2688</v>
      </c>
      <c r="K104">
        <v>-1.6194507675927901E-2</v>
      </c>
      <c r="L104" s="3">
        <f>(Constraint[[#This Row],[disp_t3]]--0.0145666666666666)/-0.0145666666666666</f>
        <v>1.1410798757608817E-2</v>
      </c>
      <c r="M104" s="3">
        <f>(Constraint[[#This Row],[disp_t6]]--0.0145666666666666)/-0.0145666666666666</f>
        <v>8.748591304899582E-2</v>
      </c>
      <c r="N104" s="3">
        <f>(Constraint[[#This Row],[disp_q4]]--0.0145666666666666)/-0.0145666666666666</f>
        <v>3.9931820488489908E-2</v>
      </c>
      <c r="O104" s="3">
        <f>(Constraint[[#This Row],[disp_q8]]--0.0145666666666666)/-0.0145666666666666</f>
        <v>0.11175109903395714</v>
      </c>
    </row>
    <row r="105" spans="1:15" x14ac:dyDescent="0.3">
      <c r="A105">
        <v>4</v>
      </c>
      <c r="B105">
        <v>34</v>
      </c>
      <c r="C105">
        <f>Constraint[[#This Row],[nxi]]*3</f>
        <v>102</v>
      </c>
      <c r="D105">
        <v>1400</v>
      </c>
      <c r="E105">
        <v>-1.4727365923776801E-2</v>
      </c>
      <c r="F105">
        <v>2292</v>
      </c>
      <c r="G105">
        <v>-1.5854201165860098E-2</v>
      </c>
      <c r="H105">
        <v>1400</v>
      </c>
      <c r="I105">
        <v>-1.51476495021192E-2</v>
      </c>
      <c r="J105">
        <v>2292</v>
      </c>
      <c r="K105">
        <v>-1.6202615213672899E-2</v>
      </c>
      <c r="L105" s="3">
        <f>(Constraint[[#This Row],[disp_t3]]--0.0145666666666666)/-0.0145666666666666</f>
        <v>1.103198561397269E-2</v>
      </c>
      <c r="M105" s="3">
        <f>(Constraint[[#This Row],[disp_t6]]--0.0145666666666666)/-0.0145666666666666</f>
        <v>8.8389096054474023E-2</v>
      </c>
      <c r="N105" s="3">
        <f>(Constraint[[#This Row],[disp_q4]]--0.0145666666666666)/-0.0145666666666666</f>
        <v>3.9884405179812552E-2</v>
      </c>
      <c r="O105" s="3">
        <f>(Constraint[[#This Row],[disp_q8]]--0.0145666666666666)/-0.0145666666666666</f>
        <v>0.11230768057251536</v>
      </c>
    </row>
    <row r="106" spans="1:15" x14ac:dyDescent="0.3">
      <c r="A106">
        <v>4</v>
      </c>
      <c r="B106">
        <v>29</v>
      </c>
      <c r="C106">
        <f>Constraint[[#This Row],[nxi]]*3</f>
        <v>87</v>
      </c>
      <c r="D106">
        <v>1200</v>
      </c>
      <c r="E106">
        <v>-1.4711184518588801E-2</v>
      </c>
      <c r="F106">
        <v>1962</v>
      </c>
      <c r="G106">
        <v>-1.58524528570348E-2</v>
      </c>
      <c r="H106">
        <v>1200</v>
      </c>
      <c r="I106">
        <v>-1.51367292067999E-2</v>
      </c>
      <c r="J106">
        <v>1962</v>
      </c>
      <c r="K106">
        <v>-1.6190880554295101E-2</v>
      </c>
      <c r="L106" s="3">
        <f>(Constraint[[#This Row],[disp_t3]]--0.0145666666666666)/-0.0145666666666666</f>
        <v>9.921133999235842E-3</v>
      </c>
      <c r="M106" s="3">
        <f>(Constraint[[#This Row],[disp_t6]]--0.0145666666666666)/-0.0145666666666666</f>
        <v>8.8269074853652651E-2</v>
      </c>
      <c r="N106" s="3">
        <f>(Constraint[[#This Row],[disp_q4]]--0.0145666666666666)/-0.0145666666666666</f>
        <v>3.9134728155604342E-2</v>
      </c>
      <c r="O106" s="3">
        <f>(Constraint[[#This Row],[disp_q8]]--0.0145666666666666)/-0.0145666666666666</f>
        <v>0.11150209754886788</v>
      </c>
    </row>
    <row r="107" spans="1:15" x14ac:dyDescent="0.3">
      <c r="A107">
        <v>4</v>
      </c>
      <c r="B107">
        <v>24</v>
      </c>
      <c r="C107">
        <f>Constraint[[#This Row],[nxi]]*3</f>
        <v>72</v>
      </c>
      <c r="D107">
        <v>1000</v>
      </c>
      <c r="E107">
        <v>-1.4677310022717801E-2</v>
      </c>
      <c r="F107">
        <v>1632</v>
      </c>
      <c r="G107">
        <v>-1.5828170223086899E-2</v>
      </c>
      <c r="H107">
        <v>1000</v>
      </c>
      <c r="I107">
        <v>-1.5109764218534501E-2</v>
      </c>
      <c r="J107">
        <v>1632</v>
      </c>
      <c r="K107">
        <v>-1.6147449087367201E-2</v>
      </c>
      <c r="L107" s="3">
        <f>(Constraint[[#This Row],[disp_t3]]--0.0145666666666666)/-0.0145666666666666</f>
        <v>7.5956537334921099E-3</v>
      </c>
      <c r="M107" s="3">
        <f>(Constraint[[#This Row],[disp_t6]]--0.0145666666666666)/-0.0145666666666666</f>
        <v>8.6602074811462593E-2</v>
      </c>
      <c r="N107" s="3">
        <f>(Constraint[[#This Row],[disp_q4]]--0.0145666666666666)/-0.0145666666666666</f>
        <v>3.7283584796423609E-2</v>
      </c>
      <c r="O107" s="3">
        <f>(Constraint[[#This Row],[disp_q8]]--0.0145666666666666)/-0.0145666666666666</f>
        <v>0.10852053231354299</v>
      </c>
    </row>
    <row r="108" spans="1:15" x14ac:dyDescent="0.3">
      <c r="A108">
        <v>4</v>
      </c>
      <c r="B108">
        <v>21</v>
      </c>
      <c r="C108">
        <f>Constraint[[#This Row],[nxi]]*3</f>
        <v>63</v>
      </c>
      <c r="D108">
        <v>880</v>
      </c>
      <c r="E108">
        <v>-1.46443540477356E-2</v>
      </c>
      <c r="F108">
        <v>1434</v>
      </c>
      <c r="G108">
        <v>-1.5796195918471201E-2</v>
      </c>
      <c r="H108">
        <v>880</v>
      </c>
      <c r="I108">
        <v>-1.5082283426842201E-2</v>
      </c>
      <c r="J108">
        <v>1434</v>
      </c>
      <c r="K108">
        <v>-1.6097270603245301E-2</v>
      </c>
      <c r="L108" s="3">
        <f>(Constraint[[#This Row],[disp_t3]]--0.0145666666666666)/-0.0145666666666666</f>
        <v>5.3332298216705668E-3</v>
      </c>
      <c r="M108" s="3">
        <f>(Constraint[[#This Row],[disp_t6]]--0.0145666666666666)/-0.0145666666666666</f>
        <v>8.4407042457982182E-2</v>
      </c>
      <c r="N108" s="3">
        <f>(Constraint[[#This Row],[disp_q4]]--0.0145666666666666)/-0.0145666666666666</f>
        <v>3.5397031591002541E-2</v>
      </c>
      <c r="O108" s="3">
        <f>(Constraint[[#This Row],[disp_q8]]--0.0145666666666666)/-0.0145666666666666</f>
        <v>0.10507578511981984</v>
      </c>
    </row>
    <row r="109" spans="1:15" x14ac:dyDescent="0.3">
      <c r="A109">
        <v>4</v>
      </c>
      <c r="B109">
        <v>18</v>
      </c>
      <c r="C109">
        <f>Constraint[[#This Row],[nxi]]*3</f>
        <v>54</v>
      </c>
      <c r="D109">
        <v>760</v>
      </c>
      <c r="E109">
        <v>-1.45981763020697E-2</v>
      </c>
      <c r="F109">
        <v>1236</v>
      </c>
      <c r="G109">
        <v>-1.5745601346014101E-2</v>
      </c>
      <c r="H109">
        <v>760</v>
      </c>
      <c r="I109">
        <v>-1.50435238649694E-2</v>
      </c>
      <c r="J109">
        <v>1236</v>
      </c>
      <c r="K109">
        <v>-1.60213649429841E-2</v>
      </c>
      <c r="L109" s="3">
        <f>(Constraint[[#This Row],[disp_t3]]--0.0145666666666666)/-0.0145666666666666</f>
        <v>2.1631328652014291E-3</v>
      </c>
      <c r="M109" s="3">
        <f>(Constraint[[#This Row],[disp_t6]]--0.0145666666666666)/-0.0145666666666666</f>
        <v>8.0933730847654928E-2</v>
      </c>
      <c r="N109" s="3">
        <f>(Constraint[[#This Row],[disp_q4]]--0.0145666666666666)/-0.0145666666666666</f>
        <v>3.2736192103167215E-2</v>
      </c>
      <c r="O109" s="3">
        <f>(Constraint[[#This Row],[disp_q8]]--0.0145666666666666)/-0.0145666666666666</f>
        <v>9.9864870227746524E-2</v>
      </c>
    </row>
    <row r="110" spans="1:15" x14ac:dyDescent="0.3">
      <c r="A110">
        <v>4</v>
      </c>
      <c r="B110">
        <v>15</v>
      </c>
      <c r="C110">
        <f>Constraint[[#This Row],[nxi]]*3</f>
        <v>45</v>
      </c>
      <c r="D110">
        <v>640</v>
      </c>
      <c r="E110">
        <v>-1.45339548128409E-2</v>
      </c>
      <c r="F110">
        <v>1038</v>
      </c>
      <c r="G110">
        <v>-1.5670998847800401E-2</v>
      </c>
      <c r="H110">
        <v>640</v>
      </c>
      <c r="I110">
        <v>-1.4990718755577699E-2</v>
      </c>
      <c r="J110">
        <v>1038</v>
      </c>
      <c r="K110">
        <v>-1.5911977343649499E-2</v>
      </c>
      <c r="L110" s="3">
        <f>(Constraint[[#This Row],[disp_t3]]--0.0145666666666666)/-0.0145666666666666</f>
        <v>-2.2456650223592013E-3</v>
      </c>
      <c r="M110" s="3">
        <f>(Constraint[[#This Row],[disp_t6]]--0.0145666666666666)/-0.0145666666666666</f>
        <v>7.5812277881039392E-2</v>
      </c>
      <c r="N110" s="3">
        <f>(Constraint[[#This Row],[disp_q4]]--0.0145666666666666)/-0.0145666666666666</f>
        <v>2.9111127385201517E-2</v>
      </c>
      <c r="O110" s="3">
        <f>(Constraint[[#This Row],[disp_q8]]--0.0145666666666666)/-0.0145666666666666</f>
        <v>9.2355424049169701E-2</v>
      </c>
    </row>
    <row r="111" spans="1:15" x14ac:dyDescent="0.3">
      <c r="A111">
        <v>4</v>
      </c>
      <c r="B111">
        <v>13</v>
      </c>
      <c r="C111">
        <f>Constraint[[#This Row],[nxi]]*3</f>
        <v>39</v>
      </c>
      <c r="D111">
        <v>560</v>
      </c>
      <c r="E111">
        <v>-1.44768228090827E-2</v>
      </c>
      <c r="F111">
        <v>906</v>
      </c>
      <c r="G111">
        <v>-1.56049852087837E-2</v>
      </c>
      <c r="H111">
        <v>560</v>
      </c>
      <c r="I111">
        <v>-1.49457090685115E-2</v>
      </c>
      <c r="J111">
        <v>906</v>
      </c>
      <c r="K111">
        <v>-1.5815946003604999E-2</v>
      </c>
      <c r="L111" s="3">
        <f>(Constraint[[#This Row],[disp_t3]]--0.0145666666666666)/-0.0145666666666666</f>
        <v>-6.1677705435171154E-3</v>
      </c>
      <c r="M111" s="3">
        <f>(Constraint[[#This Row],[disp_t6]]--0.0145666666666666)/-0.0145666666666666</f>
        <v>7.1280449115590797E-2</v>
      </c>
      <c r="N111" s="3">
        <f>(Constraint[[#This Row],[disp_q4]]--0.0145666666666666)/-0.0145666666666666</f>
        <v>2.6021217517956687E-2</v>
      </c>
      <c r="O111" s="3">
        <f>(Constraint[[#This Row],[disp_q8]]--0.0145666666666666)/-0.0145666666666666</f>
        <v>8.57628835426823E-2</v>
      </c>
    </row>
    <row r="112" spans="1:15" x14ac:dyDescent="0.3">
      <c r="A112">
        <v>4</v>
      </c>
      <c r="B112">
        <v>11</v>
      </c>
      <c r="C112">
        <f>Constraint[[#This Row],[nxi]]*3</f>
        <v>33</v>
      </c>
      <c r="D112">
        <v>480</v>
      </c>
      <c r="E112">
        <v>-1.44017830330724E-2</v>
      </c>
      <c r="F112">
        <v>774</v>
      </c>
      <c r="G112">
        <v>-1.5523429653196599E-2</v>
      </c>
      <c r="H112">
        <v>480</v>
      </c>
      <c r="I112">
        <v>-1.48898888392238E-2</v>
      </c>
      <c r="J112">
        <v>774</v>
      </c>
      <c r="K112">
        <v>-1.5697610576505101E-2</v>
      </c>
      <c r="L112" s="3">
        <f>(Constraint[[#This Row],[disp_t3]]--0.0145666666666666)/-0.0145666666666666</f>
        <v>-1.1319242580837514E-2</v>
      </c>
      <c r="M112" s="3">
        <f>(Constraint[[#This Row],[disp_t6]]--0.0145666666666666)/-0.0145666666666666</f>
        <v>6.5681669555835542E-2</v>
      </c>
      <c r="N112" s="3">
        <f>(Constraint[[#This Row],[disp_q4]]--0.0145666666666666)/-0.0145666666666666</f>
        <v>2.2189165164110004E-2</v>
      </c>
      <c r="O112" s="3">
        <f>(Constraint[[#This Row],[disp_q8]]--0.0145666666666666)/-0.0145666666666666</f>
        <v>7.7639170011796835E-2</v>
      </c>
    </row>
    <row r="113" spans="1:15" x14ac:dyDescent="0.3">
      <c r="A113">
        <v>4</v>
      </c>
      <c r="B113">
        <v>9</v>
      </c>
      <c r="C113">
        <f>Constraint[[#This Row],[nxi]]*3</f>
        <v>27</v>
      </c>
      <c r="D113">
        <v>400</v>
      </c>
      <c r="E113">
        <v>-1.42956662851419E-2</v>
      </c>
      <c r="F113">
        <v>642</v>
      </c>
      <c r="G113">
        <v>-1.54228047858826E-2</v>
      </c>
      <c r="H113">
        <v>400</v>
      </c>
      <c r="I113">
        <v>-1.48165496579472E-2</v>
      </c>
      <c r="J113">
        <v>642</v>
      </c>
      <c r="K113">
        <v>-1.5552712716944099E-2</v>
      </c>
      <c r="L113" s="3">
        <f>(Constraint[[#This Row],[disp_t3]]--0.0145666666666666)/-0.0145666666666666</f>
        <v>-1.8604145184762059E-2</v>
      </c>
      <c r="M113" s="3">
        <f>(Constraint[[#This Row],[disp_t6]]--0.0145666666666666)/-0.0145666666666666</f>
        <v>5.8773783927872192E-2</v>
      </c>
      <c r="N113" s="3">
        <f>(Constraint[[#This Row],[disp_q4]]--0.0145666666666666)/-0.0145666666666666</f>
        <v>1.7154438760682063E-2</v>
      </c>
      <c r="O113" s="3">
        <f>(Constraint[[#This Row],[disp_q8]]--0.0145666666666666)/-0.0145666666666666</f>
        <v>6.7691948531636473E-2</v>
      </c>
    </row>
    <row r="114" spans="1:15" x14ac:dyDescent="0.3">
      <c r="A114">
        <v>4</v>
      </c>
      <c r="B114">
        <v>8</v>
      </c>
      <c r="C114">
        <f>Constraint[[#This Row],[nxi]]*3</f>
        <v>24</v>
      </c>
      <c r="D114">
        <v>360</v>
      </c>
      <c r="E114">
        <v>-1.4222146840769501E-2</v>
      </c>
      <c r="F114">
        <v>576</v>
      </c>
      <c r="G114">
        <v>-1.53633063560683E-2</v>
      </c>
      <c r="H114">
        <v>360</v>
      </c>
      <c r="I114">
        <v>-1.47684007435545E-2</v>
      </c>
      <c r="J114">
        <v>576</v>
      </c>
      <c r="K114">
        <v>-1.54685101235938E-2</v>
      </c>
      <c r="L114" s="3">
        <f>(Constraint[[#This Row],[disp_t3]]--0.0145666666666666)/-0.0145666666666666</f>
        <v>-2.3651246629091554E-2</v>
      </c>
      <c r="M114" s="3">
        <f>(Constraint[[#This Row],[disp_t6]]--0.0145666666666666)/-0.0145666666666666</f>
        <v>5.4689223528721125E-2</v>
      </c>
      <c r="N114" s="3">
        <f>(Constraint[[#This Row],[disp_q4]]--0.0145666666666666)/-0.0145666666666666</f>
        <v>1.3849021296652296E-2</v>
      </c>
      <c r="O114" s="3">
        <f>(Constraint[[#This Row],[disp_q8]]--0.0145666666666666)/-0.0145666666666666</f>
        <v>6.191145013230237E-2</v>
      </c>
    </row>
    <row r="115" spans="1:15" x14ac:dyDescent="0.3">
      <c r="A115">
        <v>4</v>
      </c>
      <c r="B115">
        <v>7</v>
      </c>
      <c r="C115">
        <f>Constraint[[#This Row],[nxi]]*3</f>
        <v>21</v>
      </c>
      <c r="D115">
        <v>320</v>
      </c>
      <c r="E115">
        <v>-1.41254504672209E-2</v>
      </c>
      <c r="F115">
        <v>510</v>
      </c>
      <c r="G115">
        <v>-1.5295660416353701E-2</v>
      </c>
      <c r="H115">
        <v>320</v>
      </c>
      <c r="I115">
        <v>-1.47068810032423E-2</v>
      </c>
      <c r="J115">
        <v>510</v>
      </c>
      <c r="K115">
        <v>-1.53750820081108E-2</v>
      </c>
      <c r="L115" s="3">
        <f>(Constraint[[#This Row],[disp_t3]]--0.0145666666666666)/-0.0145666666666666</f>
        <v>-3.0289441609544696E-2</v>
      </c>
      <c r="M115" s="3">
        <f>(Constraint[[#This Row],[disp_t6]]--0.0145666666666666)/-0.0145666666666666</f>
        <v>5.0045337507123887E-2</v>
      </c>
      <c r="N115" s="3">
        <f>(Constraint[[#This Row],[disp_q4]]--0.0145666666666666)/-0.0145666666666666</f>
        <v>9.6256981630916429E-3</v>
      </c>
      <c r="O115" s="3">
        <f>(Constraint[[#This Row],[disp_q8]]--0.0145666666666666)/-0.0145666666666666</f>
        <v>5.5497620694110156E-2</v>
      </c>
    </row>
    <row r="116" spans="1:15" x14ac:dyDescent="0.3">
      <c r="A116">
        <v>4</v>
      </c>
      <c r="B116">
        <v>6</v>
      </c>
      <c r="C116">
        <f>Constraint[[#This Row],[nxi]]*3</f>
        <v>18</v>
      </c>
      <c r="D116">
        <v>280</v>
      </c>
      <c r="E116">
        <v>-1.3991863295646801E-2</v>
      </c>
      <c r="F116">
        <v>444</v>
      </c>
      <c r="G116">
        <v>-1.52171696588486E-2</v>
      </c>
      <c r="H116">
        <v>280</v>
      </c>
      <c r="I116">
        <v>-1.46231793067028E-2</v>
      </c>
      <c r="J116">
        <v>444</v>
      </c>
      <c r="K116">
        <v>-1.52706890642201E-2</v>
      </c>
      <c r="L116" s="3">
        <f>(Constraint[[#This Row],[disp_t3]]--0.0145666666666666)/-0.0145666666666666</f>
        <v>-3.9460185653533271E-2</v>
      </c>
      <c r="M116" s="3">
        <f>(Constraint[[#This Row],[disp_t6]]--0.0145666666666666)/-0.0145666666666666</f>
        <v>4.4656955985034566E-2</v>
      </c>
      <c r="N116" s="3">
        <f>(Constraint[[#This Row],[disp_q4]]--0.0145666666666666)/-0.0145666666666666</f>
        <v>3.8795862725080959E-3</v>
      </c>
      <c r="O116" s="3">
        <f>(Constraint[[#This Row],[disp_q8]]--0.0145666666666666)/-0.0145666666666666</f>
        <v>4.8331057040286327E-2</v>
      </c>
    </row>
    <row r="117" spans="1:15" x14ac:dyDescent="0.3">
      <c r="A117">
        <v>4</v>
      </c>
      <c r="B117">
        <v>5</v>
      </c>
      <c r="C117">
        <f>Constraint[[#This Row],[nxi]]*3</f>
        <v>15</v>
      </c>
      <c r="D117">
        <v>240</v>
      </c>
      <c r="E117">
        <v>-1.37967861909171E-2</v>
      </c>
      <c r="F117">
        <v>378</v>
      </c>
      <c r="G117">
        <v>-1.5123296544596E-2</v>
      </c>
      <c r="H117">
        <v>240</v>
      </c>
      <c r="I117">
        <v>-1.45001513709258E-2</v>
      </c>
      <c r="J117">
        <v>378</v>
      </c>
      <c r="K117">
        <v>-1.51530678174954E-2</v>
      </c>
      <c r="L117" s="3">
        <f>(Constraint[[#This Row],[disp_t3]]--0.0145666666666666)/-0.0145666666666666</f>
        <v>-5.2852206573192423E-2</v>
      </c>
      <c r="M117" s="3">
        <f>(Constraint[[#This Row],[disp_t6]]--0.0145666666666666)/-0.0145666666666666</f>
        <v>3.8212577432224469E-2</v>
      </c>
      <c r="N117" s="3">
        <f>(Constraint[[#This Row],[disp_q4]]--0.0145666666666666)/-0.0145666666666666</f>
        <v>-4.5662674421601719E-3</v>
      </c>
      <c r="O117" s="3">
        <f>(Constraint[[#This Row],[disp_q8]]--0.0145666666666666)/-0.0145666666666666</f>
        <v>4.0256371910444198E-2</v>
      </c>
    </row>
    <row r="118" spans="1:15" x14ac:dyDescent="0.3">
      <c r="A118">
        <v>4</v>
      </c>
      <c r="B118">
        <v>4</v>
      </c>
      <c r="C118">
        <f>Constraint[[#This Row],[nxi]]*3</f>
        <v>12</v>
      </c>
      <c r="D118">
        <v>200</v>
      </c>
      <c r="E118">
        <v>-1.3494683250056001E-2</v>
      </c>
      <c r="F118">
        <v>312</v>
      </c>
      <c r="G118">
        <v>-1.50059645499166E-2</v>
      </c>
      <c r="H118">
        <v>200</v>
      </c>
      <c r="I118">
        <v>-1.43017888976685E-2</v>
      </c>
      <c r="J118">
        <v>312</v>
      </c>
      <c r="K118">
        <v>-1.50130510121512E-2</v>
      </c>
      <c r="L118" s="3">
        <f>(Constraint[[#This Row],[disp_t3]]--0.0145666666666666)/-0.0145666666666666</f>
        <v>-7.359153889775312E-2</v>
      </c>
      <c r="M118" s="3">
        <f>(Constraint[[#This Row],[disp_t6]]--0.0145666666666666)/-0.0145666666666666</f>
        <v>3.0157749422196994E-2</v>
      </c>
      <c r="N118" s="3">
        <f>(Constraint[[#This Row],[disp_q4]]--0.0145666666666666)/-0.0145666666666666</f>
        <v>-1.8183828535338738E-2</v>
      </c>
      <c r="O118" s="3">
        <f>(Constraint[[#This Row],[disp_q8]]--0.0145666666666666)/-0.0145666666666666</f>
        <v>3.0644234243794213E-2</v>
      </c>
    </row>
    <row r="119" spans="1:15" x14ac:dyDescent="0.3">
      <c r="A119">
        <v>4</v>
      </c>
      <c r="B119">
        <v>3</v>
      </c>
      <c r="C119">
        <f>Constraint[[#This Row],[nxi]]*3</f>
        <v>9</v>
      </c>
      <c r="D119">
        <v>160</v>
      </c>
      <c r="E119">
        <v>-1.3002538693424E-2</v>
      </c>
      <c r="F119">
        <v>246</v>
      </c>
      <c r="G119">
        <v>-1.4850389925617999E-2</v>
      </c>
      <c r="H119">
        <v>160</v>
      </c>
      <c r="I119">
        <v>-1.3945769582324401E-2</v>
      </c>
      <c r="J119">
        <v>246</v>
      </c>
      <c r="K119">
        <v>-1.4852246182640499E-2</v>
      </c>
      <c r="L119" s="3">
        <f>(Constraint[[#This Row],[disp_t3]]--0.0145666666666666)/-0.0145666666666666</f>
        <v>-0.10737720640109429</v>
      </c>
      <c r="M119" s="3">
        <f>(Constraint[[#This Row],[disp_t6]]--0.0145666666666666)/-0.0145666666666666</f>
        <v>1.947756926439825E-2</v>
      </c>
      <c r="N119" s="3">
        <f>(Constraint[[#This Row],[disp_q4]]--0.0145666666666666)/-0.0145666666666666</f>
        <v>-4.2624513799235798E-2</v>
      </c>
      <c r="O119" s="3">
        <f>(Constraint[[#This Row],[disp_q8]]--0.0145666666666666)/-0.0145666666666666</f>
        <v>1.9605001096606504E-2</v>
      </c>
    </row>
    <row r="120" spans="1:15" x14ac:dyDescent="0.3">
      <c r="A120">
        <v>4</v>
      </c>
      <c r="B120">
        <v>2</v>
      </c>
      <c r="C120">
        <f>Constraint[[#This Row],[nxi]]*3</f>
        <v>6</v>
      </c>
      <c r="D120">
        <v>120</v>
      </c>
      <c r="E120">
        <v>-1.2212253456707799E-2</v>
      </c>
      <c r="F120">
        <v>180</v>
      </c>
      <c r="G120">
        <v>-1.46464064015762E-2</v>
      </c>
      <c r="H120">
        <v>120</v>
      </c>
      <c r="I120">
        <v>-1.3246921471101699E-2</v>
      </c>
      <c r="J120">
        <v>180</v>
      </c>
      <c r="K120">
        <v>-1.46247548130018E-2</v>
      </c>
      <c r="L120" s="3">
        <f>(Constraint[[#This Row],[disp_t3]]--0.0145666666666666)/-0.0145666666666666</f>
        <v>-0.1616301974800099</v>
      </c>
      <c r="M120" s="3">
        <f>(Constraint[[#This Row],[disp_t6]]--0.0145666666666666)/-0.0145666666666666</f>
        <v>5.4741236780046524E-3</v>
      </c>
      <c r="N120" s="3">
        <f>(Constraint[[#This Row],[disp_q4]]--0.0145666666666666)/-0.0145666666666666</f>
        <v>-9.060035667493635E-2</v>
      </c>
      <c r="O120" s="3">
        <f>(Constraint[[#This Row],[disp_q8]]--0.0145666666666666)/-0.0145666666666666</f>
        <v>3.987744599670529E-3</v>
      </c>
    </row>
    <row r="121" spans="1:15" x14ac:dyDescent="0.3">
      <c r="A121">
        <v>3</v>
      </c>
      <c r="B121">
        <v>40</v>
      </c>
      <c r="C121">
        <f>Constraint[[#This Row],[nxi]]*3</f>
        <v>120</v>
      </c>
      <c r="D121">
        <v>1312</v>
      </c>
      <c r="E121">
        <v>-1.46264246922165E-2</v>
      </c>
      <c r="F121">
        <v>2118</v>
      </c>
      <c r="G121">
        <v>-1.61689607668082E-2</v>
      </c>
      <c r="H121">
        <v>1312</v>
      </c>
      <c r="I121">
        <v>-1.52995405785655E-2</v>
      </c>
      <c r="J121">
        <v>2118</v>
      </c>
      <c r="K121">
        <v>-1.65744077744596E-2</v>
      </c>
      <c r="L121" s="3">
        <f>(Constraint[[#This Row],[disp_t3]]--0.0145666666666666)/-0.0145666666666666</f>
        <v>4.1023816166980125E-3</v>
      </c>
      <c r="M121" s="3">
        <f>(Constraint[[#This Row],[disp_t6]]--0.0145666666666666)/-0.0145666666666666</f>
        <v>0.10999730664587698</v>
      </c>
      <c r="N121" s="3">
        <f>(Constraint[[#This Row],[disp_q4]]--0.0145666666666666)/-0.0145666666666666</f>
        <v>5.0311710199009409E-2</v>
      </c>
      <c r="O121" s="3">
        <f>(Constraint[[#This Row],[disp_q8]]--0.0145666666666666)/-0.0145666666666666</f>
        <v>0.1378311973313279</v>
      </c>
    </row>
    <row r="122" spans="1:15" x14ac:dyDescent="0.3">
      <c r="A122">
        <v>3</v>
      </c>
      <c r="B122">
        <v>34</v>
      </c>
      <c r="C122">
        <f>Constraint[[#This Row],[nxi]]*3</f>
        <v>102</v>
      </c>
      <c r="D122">
        <v>1120</v>
      </c>
      <c r="E122">
        <v>-1.46436986123973E-2</v>
      </c>
      <c r="F122">
        <v>1806</v>
      </c>
      <c r="G122">
        <v>-1.62233356198891E-2</v>
      </c>
      <c r="H122">
        <v>1120</v>
      </c>
      <c r="I122">
        <v>-1.53219174582845E-2</v>
      </c>
      <c r="J122">
        <v>1806</v>
      </c>
      <c r="K122">
        <v>-1.6636565315943201E-2</v>
      </c>
      <c r="L122" s="3">
        <f>(Constraint[[#This Row],[disp_t3]]--0.0145666666666666)/-0.0145666666666666</f>
        <v>5.2882342606888335E-3</v>
      </c>
      <c r="M122" s="3">
        <f>(Constraint[[#This Row],[disp_t6]]--0.0145666666666666)/-0.0145666666666666</f>
        <v>0.11373013408850173</v>
      </c>
      <c r="N122" s="3">
        <f>(Constraint[[#This Row],[disp_q4]]--0.0145666666666666)/-0.0145666666666666</f>
        <v>5.1847880431435053E-2</v>
      </c>
      <c r="O122" s="3">
        <f>(Constraint[[#This Row],[disp_q8]]--0.0145666666666666)/-0.0145666666666666</f>
        <v>0.14209830544233029</v>
      </c>
    </row>
    <row r="123" spans="1:15" x14ac:dyDescent="0.3">
      <c r="A123">
        <v>3</v>
      </c>
      <c r="B123">
        <v>29</v>
      </c>
      <c r="C123">
        <f>Constraint[[#This Row],[nxi]]*3</f>
        <v>87</v>
      </c>
      <c r="D123">
        <v>960</v>
      </c>
      <c r="E123">
        <v>-1.46482821058388E-2</v>
      </c>
      <c r="F123">
        <v>1546</v>
      </c>
      <c r="G123">
        <v>-1.6263592249639001E-2</v>
      </c>
      <c r="H123">
        <v>960</v>
      </c>
      <c r="I123">
        <v>-1.5332392510190199E-2</v>
      </c>
      <c r="J123">
        <v>1546</v>
      </c>
      <c r="K123">
        <v>-1.6680993724259002E-2</v>
      </c>
      <c r="L123" s="3">
        <f>(Constraint[[#This Row],[disp_t3]]--0.0145666666666666)/-0.0145666666666666</f>
        <v>5.6028905610206554E-3</v>
      </c>
      <c r="M123" s="3">
        <f>(Constraint[[#This Row],[disp_t6]]--0.0145666666666666)/-0.0145666666666666</f>
        <v>0.11649374711481071</v>
      </c>
      <c r="N123" s="3">
        <f>(Constraint[[#This Row],[disp_q4]]--0.0145666666666666)/-0.0145666666666666</f>
        <v>5.2566991546242808E-2</v>
      </c>
      <c r="O123" s="3">
        <f>(Constraint[[#This Row],[disp_q8]]--0.0145666666666666)/-0.0145666666666666</f>
        <v>0.1451483105898681</v>
      </c>
    </row>
    <row r="124" spans="1:15" x14ac:dyDescent="0.3">
      <c r="A124">
        <v>3</v>
      </c>
      <c r="B124">
        <v>24</v>
      </c>
      <c r="C124">
        <f>Constraint[[#This Row],[nxi]]*3</f>
        <v>72</v>
      </c>
      <c r="D124">
        <v>800</v>
      </c>
      <c r="E124">
        <v>-1.46331102761424E-2</v>
      </c>
      <c r="F124">
        <v>1286</v>
      </c>
      <c r="G124">
        <v>-1.6285044201461801E-2</v>
      </c>
      <c r="H124">
        <v>800</v>
      </c>
      <c r="I124">
        <v>-1.5325172563874299E-2</v>
      </c>
      <c r="J124">
        <v>1286</v>
      </c>
      <c r="K124">
        <v>-1.67002577409643E-2</v>
      </c>
      <c r="L124" s="3">
        <f>(Constraint[[#This Row],[disp_t3]]--0.0145666666666666)/-0.0145666666666666</f>
        <v>4.5613461882700983E-3</v>
      </c>
      <c r="M124" s="3">
        <f>(Constraint[[#This Row],[disp_t6]]--0.0145666666666666)/-0.0145666666666666</f>
        <v>0.11796642115298919</v>
      </c>
      <c r="N124" s="3">
        <f>(Constraint[[#This Row],[disp_q4]]--0.0145666666666666)/-0.0145666666666666</f>
        <v>5.2071343057737092E-2</v>
      </c>
      <c r="O124" s="3">
        <f>(Constraint[[#This Row],[disp_q8]]--0.0145666666666666)/-0.0145666666666666</f>
        <v>0.14647078313256592</v>
      </c>
    </row>
    <row r="125" spans="1:15" x14ac:dyDescent="0.3">
      <c r="A125">
        <v>3</v>
      </c>
      <c r="B125">
        <v>21</v>
      </c>
      <c r="C125">
        <f>Constraint[[#This Row],[nxi]]*3</f>
        <v>63</v>
      </c>
      <c r="D125">
        <v>704</v>
      </c>
      <c r="E125">
        <v>-1.4607035010943599E-2</v>
      </c>
      <c r="F125">
        <v>1130</v>
      </c>
      <c r="G125">
        <v>-1.6277770744233401E-2</v>
      </c>
      <c r="H125">
        <v>704</v>
      </c>
      <c r="I125">
        <v>-1.53051933472546E-2</v>
      </c>
      <c r="J125">
        <v>1130</v>
      </c>
      <c r="K125">
        <v>-1.66853630624943E-2</v>
      </c>
      <c r="L125" s="3">
        <f>(Constraint[[#This Row],[disp_t3]]--0.0145666666666666)/-0.0145666666666666</f>
        <v>2.7712822158123675E-3</v>
      </c>
      <c r="M125" s="3">
        <f>(Constraint[[#This Row],[disp_t6]]--0.0145666666666666)/-0.0145666666666666</f>
        <v>0.1174670991464629</v>
      </c>
      <c r="N125" s="3">
        <f>(Constraint[[#This Row],[disp_q4]]--0.0145666666666666)/-0.0145666666666666</f>
        <v>5.0699772122746276E-2</v>
      </c>
      <c r="O125" s="3">
        <f>(Constraint[[#This Row],[disp_q8]]--0.0145666666666666)/-0.0145666666666666</f>
        <v>0.14544826515979703</v>
      </c>
    </row>
    <row r="126" spans="1:15" x14ac:dyDescent="0.3">
      <c r="A126">
        <v>3</v>
      </c>
      <c r="B126">
        <v>18</v>
      </c>
      <c r="C126">
        <f>Constraint[[#This Row],[nxi]]*3</f>
        <v>54</v>
      </c>
      <c r="D126">
        <v>608</v>
      </c>
      <c r="E126">
        <v>-1.45607927987625E-2</v>
      </c>
      <c r="F126">
        <v>974</v>
      </c>
      <c r="G126">
        <v>-1.6243523385777899E-2</v>
      </c>
      <c r="H126">
        <v>608</v>
      </c>
      <c r="I126">
        <v>-1.52664834169814E-2</v>
      </c>
      <c r="J126">
        <v>974</v>
      </c>
      <c r="K126">
        <v>-1.6635445906702101E-2</v>
      </c>
      <c r="L126" s="3">
        <f>(Constraint[[#This Row],[disp_t3]]--0.0145666666666666)/-0.0145666666666666</f>
        <v>-4.03240359549151E-4</v>
      </c>
      <c r="M126" s="3">
        <f>(Constraint[[#This Row],[disp_t6]]--0.0145666666666666)/-0.0145666666666666</f>
        <v>0.1151160219069547</v>
      </c>
      <c r="N126" s="3">
        <f>(Constraint[[#This Row],[disp_q4]]--0.0145666666666666)/-0.0145666666666666</f>
        <v>4.8042339838544883E-2</v>
      </c>
      <c r="O126" s="3">
        <f>(Constraint[[#This Row],[disp_q8]]--0.0145666666666666)/-0.0145666666666666</f>
        <v>0.14202145812600764</v>
      </c>
    </row>
    <row r="127" spans="1:15" x14ac:dyDescent="0.3">
      <c r="A127">
        <v>3</v>
      </c>
      <c r="B127">
        <v>15</v>
      </c>
      <c r="C127">
        <f>Constraint[[#This Row],[nxi]]*3</f>
        <v>45</v>
      </c>
      <c r="D127">
        <v>512</v>
      </c>
      <c r="E127">
        <v>-1.44855722950918E-2</v>
      </c>
      <c r="F127">
        <v>818</v>
      </c>
      <c r="G127">
        <v>-1.6168229416900499E-2</v>
      </c>
      <c r="H127">
        <v>512</v>
      </c>
      <c r="I127">
        <v>-1.52012283610501E-2</v>
      </c>
      <c r="J127">
        <v>818</v>
      </c>
      <c r="K127">
        <v>-1.6532796798710801E-2</v>
      </c>
      <c r="L127" s="3">
        <f>(Constraint[[#This Row],[disp_t3]]--0.0145666666666666)/-0.0145666666666666</f>
        <v>-5.5671193300777608E-3</v>
      </c>
      <c r="M127" s="3">
        <f>(Constraint[[#This Row],[disp_t6]]--0.0145666666666666)/-0.0145666666666666</f>
        <v>0.10994709955839183</v>
      </c>
      <c r="N127" s="3">
        <f>(Constraint[[#This Row],[disp_q4]]--0.0145666666666666)/-0.0145666666666666</f>
        <v>4.3562587715114676E-2</v>
      </c>
      <c r="O127" s="3">
        <f>(Constraint[[#This Row],[disp_q8]]--0.0145666666666666)/-0.0145666666666666</f>
        <v>0.13497460860715407</v>
      </c>
    </row>
    <row r="128" spans="1:15" x14ac:dyDescent="0.3">
      <c r="A128">
        <v>3</v>
      </c>
      <c r="B128">
        <v>13</v>
      </c>
      <c r="C128">
        <f>Constraint[[#This Row],[nxi]]*3</f>
        <v>39</v>
      </c>
      <c r="D128">
        <v>448</v>
      </c>
      <c r="E128">
        <v>-1.4413314257867901E-2</v>
      </c>
      <c r="F128">
        <v>714</v>
      </c>
      <c r="G128">
        <v>-1.6086716836168E-2</v>
      </c>
      <c r="H128">
        <v>448</v>
      </c>
      <c r="I128">
        <v>-1.5138228576281099E-2</v>
      </c>
      <c r="J128">
        <v>714</v>
      </c>
      <c r="K128">
        <v>-1.64244787787424E-2</v>
      </c>
      <c r="L128" s="3">
        <f>(Constraint[[#This Row],[disp_t3]]--0.0145666666666666)/-0.0145666666666666</f>
        <v>-1.0527625317988518E-2</v>
      </c>
      <c r="M128" s="3">
        <f>(Constraint[[#This Row],[disp_t6]]--0.0145666666666666)/-0.0145666666666666</f>
        <v>0.10435127021748797</v>
      </c>
      <c r="N128" s="3">
        <f>(Constraint[[#This Row],[disp_q4]]--0.0145666666666666)/-0.0145666666666666</f>
        <v>3.9237659698936105E-2</v>
      </c>
      <c r="O128" s="3">
        <f>(Constraint[[#This Row],[disp_q8]]--0.0145666666666666)/-0.0145666666666666</f>
        <v>0.12753858892968939</v>
      </c>
    </row>
    <row r="129" spans="1:15" x14ac:dyDescent="0.3">
      <c r="A129">
        <v>3</v>
      </c>
      <c r="B129">
        <v>11</v>
      </c>
      <c r="C129">
        <f>Constraint[[#This Row],[nxi]]*3</f>
        <v>33</v>
      </c>
      <c r="D129">
        <v>384</v>
      </c>
      <c r="E129">
        <v>-1.43169038616078E-2</v>
      </c>
      <c r="F129">
        <v>610</v>
      </c>
      <c r="G129">
        <v>-1.59736102707696E-2</v>
      </c>
      <c r="H129">
        <v>384</v>
      </c>
      <c r="I129">
        <v>-1.5055341548901599E-2</v>
      </c>
      <c r="J129">
        <v>610</v>
      </c>
      <c r="K129">
        <v>-1.6275896738745198E-2</v>
      </c>
      <c r="L129" s="3">
        <f>(Constraint[[#This Row],[disp_t3]]--0.0145666666666666)/-0.0145666666666666</f>
        <v>-1.7146187990306698E-2</v>
      </c>
      <c r="M129" s="3">
        <f>(Constraint[[#This Row],[disp_t6]]--0.0145666666666666)/-0.0145666666666666</f>
        <v>9.65865174441424E-2</v>
      </c>
      <c r="N129" s="3">
        <f>(Constraint[[#This Row],[disp_q4]]--0.0145666666666666)/-0.0145666666666666</f>
        <v>3.3547474752974989E-2</v>
      </c>
      <c r="O129" s="3">
        <f>(Constraint[[#This Row],[disp_q8]]--0.0145666666666666)/-0.0145666666666666</f>
        <v>0.1173384488841149</v>
      </c>
    </row>
    <row r="130" spans="1:15" x14ac:dyDescent="0.3">
      <c r="A130">
        <v>3</v>
      </c>
      <c r="B130">
        <v>9</v>
      </c>
      <c r="C130">
        <f>Constraint[[#This Row],[nxi]]*3</f>
        <v>27</v>
      </c>
      <c r="D130">
        <v>320</v>
      </c>
      <c r="E130">
        <v>-1.4185753083916799E-2</v>
      </c>
      <c r="F130">
        <v>506</v>
      </c>
      <c r="G130">
        <v>-1.58231340491524E-2</v>
      </c>
      <c r="H130">
        <v>320</v>
      </c>
      <c r="I130">
        <v>-1.49463797799608E-2</v>
      </c>
      <c r="J130">
        <v>506</v>
      </c>
      <c r="K130">
        <v>-1.6078575582901999E-2</v>
      </c>
      <c r="L130" s="3">
        <f>(Constraint[[#This Row],[disp_t3]]--0.0145666666666666)/-0.0145666666666666</f>
        <v>-2.6149673872984096E-2</v>
      </c>
      <c r="M130" s="3">
        <f>(Constraint[[#This Row],[disp_t6]]--0.0145666666666666)/-0.0145666666666666</f>
        <v>8.6256342047080534E-2</v>
      </c>
      <c r="N130" s="3">
        <f>(Constraint[[#This Row],[disp_q4]]--0.0145666666666666)/-0.0145666666666666</f>
        <v>2.6067261782210693E-2</v>
      </c>
      <c r="O130" s="3">
        <f>(Constraint[[#This Row],[disp_q8]]--0.0145666666666666)/-0.0145666666666666</f>
        <v>0.10379237411227046</v>
      </c>
    </row>
    <row r="131" spans="1:15" x14ac:dyDescent="0.3">
      <c r="A131">
        <v>3</v>
      </c>
      <c r="B131">
        <v>8</v>
      </c>
      <c r="C131">
        <f>Constraint[[#This Row],[nxi]]*3</f>
        <v>24</v>
      </c>
      <c r="D131">
        <v>288</v>
      </c>
      <c r="E131">
        <v>-1.4100410679965E-2</v>
      </c>
      <c r="F131">
        <v>454</v>
      </c>
      <c r="G131">
        <v>-1.5731876747238499E-2</v>
      </c>
      <c r="H131">
        <v>288</v>
      </c>
      <c r="I131">
        <v>-1.48781545312904E-2</v>
      </c>
      <c r="J131">
        <v>454</v>
      </c>
      <c r="K131">
        <v>-1.59581093720783E-2</v>
      </c>
      <c r="L131" s="3">
        <f>(Constraint[[#This Row],[disp_t3]]--0.0145666666666666)/-0.0145666666666666</f>
        <v>-3.2008420139698048E-2</v>
      </c>
      <c r="M131" s="3">
        <f>(Constraint[[#This Row],[disp_t6]]--0.0145666666666666)/-0.0145666666666666</f>
        <v>7.9991538712030102E-2</v>
      </c>
      <c r="N131" s="3">
        <f>(Constraint[[#This Row],[disp_q4]]--0.0145666666666666)/-0.0145666666666666</f>
        <v>2.1383606267080229E-2</v>
      </c>
      <c r="O131" s="3">
        <f>(Constraint[[#This Row],[disp_q8]]--0.0145666666666666)/-0.0145666666666666</f>
        <v>9.5522382522542845E-2</v>
      </c>
    </row>
    <row r="132" spans="1:15" x14ac:dyDescent="0.3">
      <c r="A132">
        <v>3</v>
      </c>
      <c r="B132">
        <v>7</v>
      </c>
      <c r="C132">
        <f>Constraint[[#This Row],[nxi]]*3</f>
        <v>21</v>
      </c>
      <c r="D132">
        <v>256</v>
      </c>
      <c r="E132">
        <v>-1.3994403854631699E-2</v>
      </c>
      <c r="F132">
        <v>402</v>
      </c>
      <c r="G132">
        <v>-1.5628433386017999E-2</v>
      </c>
      <c r="H132">
        <v>256</v>
      </c>
      <c r="I132">
        <v>-1.47960448241269E-2</v>
      </c>
      <c r="J132">
        <v>402</v>
      </c>
      <c r="K132">
        <v>-1.5820419639777001E-2</v>
      </c>
      <c r="L132" s="3">
        <f>(Constraint[[#This Row],[disp_t3]]--0.0145666666666666)/-0.0145666666666666</f>
        <v>-3.9285776569901773E-2</v>
      </c>
      <c r="M132" s="3">
        <f>(Constraint[[#This Row],[disp_t6]]--0.0145666666666666)/-0.0145666666666666</f>
        <v>7.2890163799867624E-2</v>
      </c>
      <c r="N132" s="3">
        <f>(Constraint[[#This Row],[disp_q4]]--0.0145666666666666)/-0.0145666666666666</f>
        <v>1.5746784265009264E-2</v>
      </c>
      <c r="O132" s="3">
        <f>(Constraint[[#This Row],[disp_q8]]--0.0145666666666666)/-0.0145666666666666</f>
        <v>8.6069998154032545E-2</v>
      </c>
    </row>
    <row r="133" spans="1:15" x14ac:dyDescent="0.3">
      <c r="A133">
        <v>3</v>
      </c>
      <c r="B133">
        <v>6</v>
      </c>
      <c r="C133">
        <f>Constraint[[#This Row],[nxi]]*3</f>
        <v>18</v>
      </c>
      <c r="D133">
        <v>224</v>
      </c>
      <c r="E133">
        <v>-1.3856423226969099E-2</v>
      </c>
      <c r="F133">
        <v>350</v>
      </c>
      <c r="G133">
        <v>-1.55107990106539E-2</v>
      </c>
      <c r="H133">
        <v>224</v>
      </c>
      <c r="I133">
        <v>-1.4692292199471799E-2</v>
      </c>
      <c r="J133">
        <v>350</v>
      </c>
      <c r="K133">
        <v>-1.56628038388489E-2</v>
      </c>
      <c r="L133" s="3">
        <f>(Constraint[[#This Row],[disp_t3]]--0.0145666666666666)/-0.0145666666666666</f>
        <v>-4.875813087168214E-2</v>
      </c>
      <c r="M133" s="3">
        <f>(Constraint[[#This Row],[disp_t6]]--0.0145666666666666)/-0.0145666666666666</f>
        <v>6.4814577390432851E-2</v>
      </c>
      <c r="N133" s="3">
        <f>(Constraint[[#This Row],[disp_q4]]--0.0145666666666666)/-0.0145666666666666</f>
        <v>8.6241784534462646E-3</v>
      </c>
      <c r="O133" s="3">
        <f>(Constraint[[#This Row],[disp_q8]]--0.0145666666666666)/-0.0145666666666666</f>
        <v>7.5249691454162826E-2</v>
      </c>
    </row>
    <row r="134" spans="1:15" x14ac:dyDescent="0.3">
      <c r="A134">
        <v>3</v>
      </c>
      <c r="B134">
        <v>5</v>
      </c>
      <c r="C134">
        <f>Constraint[[#This Row],[nxi]]*3</f>
        <v>15</v>
      </c>
      <c r="D134">
        <v>192</v>
      </c>
      <c r="E134">
        <v>-1.3665151899596099E-2</v>
      </c>
      <c r="F134">
        <v>298</v>
      </c>
      <c r="G134">
        <v>-1.53751609082073E-2</v>
      </c>
      <c r="H134">
        <v>192</v>
      </c>
      <c r="I134">
        <v>-1.4550899688149E-2</v>
      </c>
      <c r="J134">
        <v>298</v>
      </c>
      <c r="K134">
        <v>-1.54821768060393E-2</v>
      </c>
      <c r="L134" s="3">
        <f>(Constraint[[#This Row],[disp_t3]]--0.0145666666666666)/-0.0145666666666666</f>
        <v>-6.1888885611247425E-2</v>
      </c>
      <c r="M134" s="3">
        <f>(Constraint[[#This Row],[disp_t6]]--0.0145666666666666)/-0.0145666666666666</f>
        <v>5.5503037176707383E-2</v>
      </c>
      <c r="N134" s="3">
        <f>(Constraint[[#This Row],[disp_q4]]--0.0145666666666666)/-0.0145666666666666</f>
        <v>-1.0824012712310532E-3</v>
      </c>
      <c r="O134" s="3">
        <f>(Constraint[[#This Row],[disp_q8]]--0.0145666666666666)/-0.0145666666666666</f>
        <v>6.2849666318492314E-2</v>
      </c>
    </row>
    <row r="135" spans="1:15" x14ac:dyDescent="0.3">
      <c r="A135">
        <v>3</v>
      </c>
      <c r="B135">
        <v>4</v>
      </c>
      <c r="C135">
        <f>Constraint[[#This Row],[nxi]]*3</f>
        <v>12</v>
      </c>
      <c r="D135">
        <v>160</v>
      </c>
      <c r="E135">
        <v>-1.3379090631392801E-2</v>
      </c>
      <c r="F135">
        <v>246</v>
      </c>
      <c r="G135">
        <v>-1.52137163663368E-2</v>
      </c>
      <c r="H135">
        <v>160</v>
      </c>
      <c r="I135">
        <v>-1.43367062875389E-2</v>
      </c>
      <c r="J135">
        <v>246</v>
      </c>
      <c r="K135">
        <v>-1.5271234450367099E-2</v>
      </c>
      <c r="L135" s="3">
        <f>(Constraint[[#This Row],[disp_t3]]--0.0145666666666666)/-0.0145666666666666</f>
        <v>-8.1526958943281755E-2</v>
      </c>
      <c r="M135" s="3">
        <f>(Constraint[[#This Row],[disp_t6]]--0.0145666666666666)/-0.0145666666666666</f>
        <v>4.4419887849213052E-2</v>
      </c>
      <c r="N135" s="3">
        <f>(Constraint[[#This Row],[disp_q4]]--0.0145666666666666)/-0.0145666666666666</f>
        <v>-1.5786753715860434E-2</v>
      </c>
      <c r="O135" s="3">
        <f>(Constraint[[#This Row],[disp_q8]]--0.0145666666666666)/-0.0145666666666666</f>
        <v>4.8368497736876653E-2</v>
      </c>
    </row>
    <row r="136" spans="1:15" x14ac:dyDescent="0.3">
      <c r="A136">
        <v>3</v>
      </c>
      <c r="B136">
        <v>3</v>
      </c>
      <c r="C136">
        <f>Constraint[[#This Row],[nxi]]*3</f>
        <v>9</v>
      </c>
      <c r="D136">
        <v>128</v>
      </c>
      <c r="E136">
        <v>-1.29184520119409E-2</v>
      </c>
      <c r="F136">
        <v>194</v>
      </c>
      <c r="G136">
        <v>-1.50107401278546E-2</v>
      </c>
      <c r="H136">
        <v>128</v>
      </c>
      <c r="I136">
        <v>-1.39672416714167E-2</v>
      </c>
      <c r="J136">
        <v>194</v>
      </c>
      <c r="K136">
        <v>-1.50392903573728E-2</v>
      </c>
      <c r="L136" s="3">
        <f>(Constraint[[#This Row],[disp_t3]]--0.0145666666666666)/-0.0145666666666666</f>
        <v>-0.11314974746400734</v>
      </c>
      <c r="M136" s="3">
        <f>(Constraint[[#This Row],[disp_t6]]--0.0145666666666666)/-0.0145666666666666</f>
        <v>3.0485592301235886E-2</v>
      </c>
      <c r="N136" s="3">
        <f>(Constraint[[#This Row],[disp_q4]]--0.0145666666666666)/-0.0145666666666666</f>
        <v>-4.1150457339810209E-2</v>
      </c>
      <c r="O136" s="3">
        <f>(Constraint[[#This Row],[disp_q8]]--0.0145666666666666)/-0.0145666666666666</f>
        <v>3.2445562291043679E-2</v>
      </c>
    </row>
    <row r="137" spans="1:15" x14ac:dyDescent="0.3">
      <c r="A137">
        <v>3</v>
      </c>
      <c r="B137">
        <v>2</v>
      </c>
      <c r="C137">
        <f>Constraint[[#This Row],[nxi]]*3</f>
        <v>6</v>
      </c>
      <c r="D137">
        <v>96</v>
      </c>
      <c r="E137">
        <v>-1.21715764796497E-2</v>
      </c>
      <c r="F137">
        <v>142</v>
      </c>
      <c r="G137">
        <v>-1.4754494712165099E-2</v>
      </c>
      <c r="H137">
        <v>96</v>
      </c>
      <c r="I137">
        <v>-1.32563647850367E-2</v>
      </c>
      <c r="J137">
        <v>142</v>
      </c>
      <c r="K137">
        <v>-1.47266933330492E-2</v>
      </c>
      <c r="L137" s="3">
        <f>(Constraint[[#This Row],[disp_t3]]--0.0145666666666666)/-0.0145666666666666</f>
        <v>-0.16442266730093205</v>
      </c>
      <c r="M137" s="3">
        <f>(Constraint[[#This Row],[disp_t6]]--0.0145666666666666)/-0.0145666666666666</f>
        <v>1.2894373832849033E-2</v>
      </c>
      <c r="N137" s="3">
        <f>(Constraint[[#This Row],[disp_q4]]--0.0145666666666666)/-0.0145666666666666</f>
        <v>-8.9952074253769235E-2</v>
      </c>
      <c r="O137" s="3">
        <f>(Constraint[[#This Row],[disp_q8]]--0.0145666666666666)/-0.0145666666666666</f>
        <v>1.0985812337478364E-2</v>
      </c>
    </row>
    <row r="138" spans="1:15" x14ac:dyDescent="0.3">
      <c r="A138">
        <v>2</v>
      </c>
      <c r="B138">
        <v>40</v>
      </c>
      <c r="C138">
        <f>Constraint[[#This Row],[nxi]]*3</f>
        <v>120</v>
      </c>
      <c r="D138">
        <v>984</v>
      </c>
      <c r="E138">
        <v>-1.4233834057858901E-2</v>
      </c>
      <c r="F138">
        <v>1548</v>
      </c>
      <c r="G138">
        <v>-1.6420338620987698E-2</v>
      </c>
      <c r="H138">
        <v>984</v>
      </c>
      <c r="I138">
        <v>-1.5491566400390899E-2</v>
      </c>
      <c r="J138">
        <v>1548</v>
      </c>
      <c r="K138">
        <v>-1.6722033899344398E-2</v>
      </c>
      <c r="L138" s="3">
        <f>(Constraint[[#This Row],[disp_t3]]--0.0145666666666666)/-0.0145666666666666</f>
        <v>-2.2848920513114428E-2</v>
      </c>
      <c r="M138" s="3">
        <f>(Constraint[[#This Row],[disp_t6]]--0.0145666666666666)/-0.0145666666666666</f>
        <v>0.12725436757353142</v>
      </c>
      <c r="N138" s="3">
        <f>(Constraint[[#This Row],[disp_q4]]--0.0145666666666666)/-0.0145666666666666</f>
        <v>6.3494260896405322E-2</v>
      </c>
      <c r="O138" s="3">
        <f>(Constraint[[#This Row],[disp_q8]]--0.0145666666666666)/-0.0145666666666666</f>
        <v>0.14796571391380839</v>
      </c>
    </row>
    <row r="139" spans="1:15" x14ac:dyDescent="0.3">
      <c r="A139">
        <v>2</v>
      </c>
      <c r="B139">
        <v>34</v>
      </c>
      <c r="C139">
        <f>Constraint[[#This Row],[nxi]]*3</f>
        <v>102</v>
      </c>
      <c r="D139">
        <v>840</v>
      </c>
      <c r="E139">
        <v>-1.43095216412905E-2</v>
      </c>
      <c r="F139">
        <v>1320</v>
      </c>
      <c r="G139">
        <v>-1.6550342167981999E-2</v>
      </c>
      <c r="H139">
        <v>840</v>
      </c>
      <c r="I139">
        <v>-1.5574860519011101E-2</v>
      </c>
      <c r="J139">
        <v>1320</v>
      </c>
      <c r="K139">
        <v>-1.68645345206349E-2</v>
      </c>
      <c r="L139" s="3">
        <f>(Constraint[[#This Row],[disp_t3]]--0.0145666666666666)/-0.0145666666666666</f>
        <v>-1.7652976570441667E-2</v>
      </c>
      <c r="M139" s="3">
        <f>(Constraint[[#This Row],[disp_t6]]--0.0145666666666666)/-0.0145666666666666</f>
        <v>0.13617909620014249</v>
      </c>
      <c r="N139" s="3">
        <f>(Constraint[[#This Row],[disp_q4]]--0.0145666666666666)/-0.0145666666666666</f>
        <v>6.9212392609462672E-2</v>
      </c>
      <c r="O139" s="3">
        <f>(Constraint[[#This Row],[disp_q8]]--0.0145666666666666)/-0.0145666666666666</f>
        <v>0.15774836526098249</v>
      </c>
    </row>
    <row r="140" spans="1:15" x14ac:dyDescent="0.3">
      <c r="A140">
        <v>2</v>
      </c>
      <c r="B140">
        <v>29</v>
      </c>
      <c r="C140">
        <f>Constraint[[#This Row],[nxi]]*3</f>
        <v>87</v>
      </c>
      <c r="D140">
        <v>720</v>
      </c>
      <c r="E140">
        <v>-1.43795583802206E-2</v>
      </c>
      <c r="F140">
        <v>1130</v>
      </c>
      <c r="G140">
        <v>-1.6685988347661301E-2</v>
      </c>
      <c r="H140">
        <v>720</v>
      </c>
      <c r="I140">
        <v>-1.56554708047482E-2</v>
      </c>
      <c r="J140">
        <v>1130</v>
      </c>
      <c r="K140">
        <v>-1.7015500336472401E-2</v>
      </c>
      <c r="L140" s="3">
        <f>(Constraint[[#This Row],[disp_t3]]--0.0145666666666666)/-0.0145666666666666</f>
        <v>-1.2844962456247125E-2</v>
      </c>
      <c r="M140" s="3">
        <f>(Constraint[[#This Row],[disp_t6]]--0.0145666666666666)/-0.0145666666666666</f>
        <v>0.14549119091496876</v>
      </c>
      <c r="N140" s="3">
        <f>(Constraint[[#This Row],[disp_q4]]--0.0145666666666666)/-0.0145666666666666</f>
        <v>7.4746279502169721E-2</v>
      </c>
      <c r="O140" s="3">
        <f>(Constraint[[#This Row],[disp_q8]]--0.0145666666666666)/-0.0145666666666666</f>
        <v>0.16811215124525034</v>
      </c>
    </row>
    <row r="141" spans="1:15" x14ac:dyDescent="0.3">
      <c r="A141">
        <v>2</v>
      </c>
      <c r="B141">
        <v>24</v>
      </c>
      <c r="C141">
        <f>Constraint[[#This Row],[nxi]]*3</f>
        <v>72</v>
      </c>
      <c r="D141">
        <v>600</v>
      </c>
      <c r="E141">
        <v>-1.44475050089865E-2</v>
      </c>
      <c r="F141">
        <v>940</v>
      </c>
      <c r="G141">
        <v>-1.68472602443487E-2</v>
      </c>
      <c r="H141">
        <v>600</v>
      </c>
      <c r="I141">
        <v>-1.57404089624501E-2</v>
      </c>
      <c r="J141">
        <v>940</v>
      </c>
      <c r="K141">
        <v>-1.7199501020118999E-2</v>
      </c>
      <c r="L141" s="3">
        <f>(Constraint[[#This Row],[disp_t3]]--0.0145666666666666)/-0.0145666666666666</f>
        <v>-8.1804341656819043E-3</v>
      </c>
      <c r="M141" s="3">
        <f>(Constraint[[#This Row],[disp_t6]]--0.0145666666666666)/-0.0145666666666666</f>
        <v>0.15656248817039667</v>
      </c>
      <c r="N141" s="3">
        <f>(Constraint[[#This Row],[disp_q4]]--0.0145666666666666)/-0.0145666666666666</f>
        <v>8.0577274310080479E-2</v>
      </c>
      <c r="O141" s="3">
        <f>(Constraint[[#This Row],[disp_q8]]--0.0145666666666666)/-0.0145666666666666</f>
        <v>0.18074377712487955</v>
      </c>
    </row>
    <row r="142" spans="1:15" x14ac:dyDescent="0.3">
      <c r="A142">
        <v>2</v>
      </c>
      <c r="B142">
        <v>21</v>
      </c>
      <c r="C142">
        <f>Constraint[[#This Row],[nxi]]*3</f>
        <v>63</v>
      </c>
      <c r="D142">
        <v>528</v>
      </c>
      <c r="E142">
        <v>-1.44775598997379E-2</v>
      </c>
      <c r="F142">
        <v>826</v>
      </c>
      <c r="G142">
        <v>-1.69501279891449E-2</v>
      </c>
      <c r="H142">
        <v>528</v>
      </c>
      <c r="I142">
        <v>-1.5784886960203501E-2</v>
      </c>
      <c r="J142">
        <v>826</v>
      </c>
      <c r="K142">
        <v>-1.7321391404884898E-2</v>
      </c>
      <c r="L142" s="3">
        <f>(Constraint[[#This Row],[disp_t3]]--0.0145666666666666)/-0.0145666666666666</f>
        <v>-6.1171693543730001E-3</v>
      </c>
      <c r="M142" s="3">
        <f>(Constraint[[#This Row],[disp_t6]]--0.0145666666666666)/-0.0145666666666666</f>
        <v>0.16362434708089099</v>
      </c>
      <c r="N142" s="3">
        <f>(Constraint[[#This Row],[disp_q4]]--0.0145666666666666)/-0.0145666666666666</f>
        <v>8.3630683766835773E-2</v>
      </c>
      <c r="O142" s="3">
        <f>(Constraint[[#This Row],[disp_q8]]--0.0145666666666666)/-0.0145666666666666</f>
        <v>0.18911153809279027</v>
      </c>
    </row>
    <row r="143" spans="1:15" x14ac:dyDescent="0.3">
      <c r="A143">
        <v>2</v>
      </c>
      <c r="B143">
        <v>18</v>
      </c>
      <c r="C143">
        <f>Constraint[[#This Row],[nxi]]*3</f>
        <v>54</v>
      </c>
      <c r="D143">
        <v>456</v>
      </c>
      <c r="E143">
        <v>-1.44854479792202E-2</v>
      </c>
      <c r="F143">
        <v>712</v>
      </c>
      <c r="G143">
        <v>-1.7042689017294301E-2</v>
      </c>
      <c r="H143">
        <v>456</v>
      </c>
      <c r="I143">
        <v>-1.58104549885838E-2</v>
      </c>
      <c r="J143">
        <v>712</v>
      </c>
      <c r="K143">
        <v>-1.7438474624988501E-2</v>
      </c>
      <c r="L143" s="3">
        <f>(Constraint[[#This Row],[disp_t3]]--0.0145666666666666)/-0.0145666666666666</f>
        <v>-5.5756536004393422E-3</v>
      </c>
      <c r="M143" s="3">
        <f>(Constraint[[#This Row],[disp_t6]]--0.0145666666666666)/-0.0145666666666666</f>
        <v>0.16997865107284071</v>
      </c>
      <c r="N143" s="3">
        <f>(Constraint[[#This Row],[disp_q4]]--0.0145666666666666)/-0.0145666666666666</f>
        <v>8.5385925989739556E-2</v>
      </c>
      <c r="O143" s="3">
        <f>(Constraint[[#This Row],[disp_q8]]--0.0145666666666666)/-0.0145666666666666</f>
        <v>0.19714928775665319</v>
      </c>
    </row>
    <row r="144" spans="1:15" x14ac:dyDescent="0.3">
      <c r="A144">
        <v>2</v>
      </c>
      <c r="B144">
        <v>15</v>
      </c>
      <c r="C144">
        <f>Constraint[[#This Row],[nxi]]*3</f>
        <v>45</v>
      </c>
      <c r="D144">
        <v>384</v>
      </c>
      <c r="E144">
        <v>-1.44485351181931E-2</v>
      </c>
      <c r="F144">
        <v>598</v>
      </c>
      <c r="G144">
        <v>-1.7093308091942198E-2</v>
      </c>
      <c r="H144">
        <v>384</v>
      </c>
      <c r="I144">
        <v>-1.5792522658551002E-2</v>
      </c>
      <c r="J144">
        <v>598</v>
      </c>
      <c r="K144">
        <v>-1.7519736628751701E-2</v>
      </c>
      <c r="L144" s="3">
        <f>(Constraint[[#This Row],[disp_t3]]--0.0145666666666666)/-0.0145666666666666</f>
        <v>-8.1097172865103179E-3</v>
      </c>
      <c r="M144" s="3">
        <f>(Constraint[[#This Row],[disp_t6]]--0.0145666666666666)/-0.0145666666666666</f>
        <v>0.17345364475576275</v>
      </c>
      <c r="N144" s="3">
        <f>(Constraint[[#This Row],[disp_q4]]--0.0145666666666666)/-0.0145666666666666</f>
        <v>8.4154873584741968E-2</v>
      </c>
      <c r="O144" s="3">
        <f>(Constraint[[#This Row],[disp_q8]]--0.0145666666666666)/-0.0145666666666666</f>
        <v>0.20272791501728479</v>
      </c>
    </row>
    <row r="145" spans="1:15" x14ac:dyDescent="0.3">
      <c r="A145">
        <v>2</v>
      </c>
      <c r="B145">
        <v>13</v>
      </c>
      <c r="C145">
        <f>Constraint[[#This Row],[nxi]]*3</f>
        <v>39</v>
      </c>
      <c r="D145">
        <v>336</v>
      </c>
      <c r="E145">
        <v>-1.4381302111715399E-2</v>
      </c>
      <c r="F145">
        <v>522</v>
      </c>
      <c r="G145">
        <v>-1.7073745069678199E-2</v>
      </c>
      <c r="H145">
        <v>336</v>
      </c>
      <c r="I145">
        <v>-1.5735862386811801E-2</v>
      </c>
      <c r="J145">
        <v>522</v>
      </c>
      <c r="K145">
        <v>-1.7522907747485598E-2</v>
      </c>
      <c r="L145" s="3">
        <f>(Constraint[[#This Row],[disp_t3]]--0.0145666666666666)/-0.0145666666666666</f>
        <v>-1.2725255488640787E-2</v>
      </c>
      <c r="M145" s="3">
        <f>(Constraint[[#This Row],[disp_t6]]--0.0145666666666666)/-0.0145666666666666</f>
        <v>0.17211064551567121</v>
      </c>
      <c r="N145" s="3">
        <f>(Constraint[[#This Row],[disp_q4]]--0.0145666666666666)/-0.0145666666666666</f>
        <v>8.0265152412714452E-2</v>
      </c>
      <c r="O145" s="3">
        <f>(Constraint[[#This Row],[disp_q8]]--0.0145666666666666)/-0.0145666666666666</f>
        <v>0.20294561195553865</v>
      </c>
    </row>
    <row r="146" spans="1:15" x14ac:dyDescent="0.3">
      <c r="A146">
        <v>2</v>
      </c>
      <c r="B146">
        <v>11</v>
      </c>
      <c r="C146">
        <f>Constraint[[#This Row],[nxi]]*3</f>
        <v>33</v>
      </c>
      <c r="D146">
        <v>288</v>
      </c>
      <c r="E146">
        <v>-1.42629668065716E-2</v>
      </c>
      <c r="F146">
        <v>446</v>
      </c>
      <c r="G146">
        <v>-1.6977975644350499E-2</v>
      </c>
      <c r="H146">
        <v>288</v>
      </c>
      <c r="I146">
        <v>-1.5622848599205401E-2</v>
      </c>
      <c r="J146">
        <v>446</v>
      </c>
      <c r="K146">
        <v>-1.7448019177558401E-2</v>
      </c>
      <c r="L146" s="3">
        <f>(Constraint[[#This Row],[disp_t3]]--0.0145666666666666)/-0.0145666666666666</f>
        <v>-2.084896064725408E-2</v>
      </c>
      <c r="M146" s="3">
        <f>(Constraint[[#This Row],[disp_t6]]--0.0145666666666666)/-0.0145666666666666</f>
        <v>0.1655360854245248</v>
      </c>
      <c r="N146" s="3">
        <f>(Constraint[[#This Row],[disp_q4]]--0.0145666666666666)/-0.0145666666666666</f>
        <v>7.2506768824174325E-2</v>
      </c>
      <c r="O146" s="3">
        <f>(Constraint[[#This Row],[disp_q8]]--0.0145666666666666)/-0.0145666666666666</f>
        <v>0.19780452019852274</v>
      </c>
    </row>
    <row r="147" spans="1:15" x14ac:dyDescent="0.3">
      <c r="A147">
        <v>2</v>
      </c>
      <c r="B147">
        <v>9</v>
      </c>
      <c r="C147">
        <f>Constraint[[#This Row],[nxi]]*3</f>
        <v>27</v>
      </c>
      <c r="D147">
        <v>240</v>
      </c>
      <c r="E147">
        <v>-1.40768542835185E-2</v>
      </c>
      <c r="F147">
        <v>370</v>
      </c>
      <c r="G147">
        <v>-1.6770265831936901E-2</v>
      </c>
      <c r="H147">
        <v>240</v>
      </c>
      <c r="I147">
        <v>-1.5433348348955E-2</v>
      </c>
      <c r="J147">
        <v>370</v>
      </c>
      <c r="K147">
        <v>-1.7249912891517099E-2</v>
      </c>
      <c r="L147" s="3">
        <f>(Constraint[[#This Row],[disp_t3]]--0.0145666666666666)/-0.0145666666666666</f>
        <v>-3.3625564060510399E-2</v>
      </c>
      <c r="M147" s="3">
        <f>(Constraint[[#This Row],[disp_t6]]--0.0145666666666666)/-0.0145666666666666</f>
        <v>0.15127683056775595</v>
      </c>
      <c r="N147" s="3">
        <f>(Constraint[[#This Row],[disp_q4]]--0.0145666666666666)/-0.0145666666666666</f>
        <v>5.9497598326435093E-2</v>
      </c>
      <c r="O147" s="3">
        <f>(Constraint[[#This Row],[disp_q8]]--0.0145666666666666)/-0.0145666666666666</f>
        <v>0.18420454632841043</v>
      </c>
    </row>
    <row r="148" spans="1:15" x14ac:dyDescent="0.3">
      <c r="A148">
        <v>2</v>
      </c>
      <c r="B148">
        <v>8</v>
      </c>
      <c r="C148">
        <f>Constraint[[#This Row],[nxi]]*3</f>
        <v>24</v>
      </c>
      <c r="D148">
        <v>216</v>
      </c>
      <c r="E148">
        <v>-1.3953136924535601E-2</v>
      </c>
      <c r="F148">
        <v>332</v>
      </c>
      <c r="G148">
        <v>-1.6614819678234999E-2</v>
      </c>
      <c r="H148">
        <v>216</v>
      </c>
      <c r="I148">
        <v>-1.5304284895289099E-2</v>
      </c>
      <c r="J148">
        <v>332</v>
      </c>
      <c r="K148">
        <v>-1.70887455521932E-2</v>
      </c>
      <c r="L148" s="3">
        <f>(Constraint[[#This Row],[disp_t3]]--0.0145666666666666)/-0.0145666666666666</f>
        <v>-4.2118746599382265E-2</v>
      </c>
      <c r="M148" s="3">
        <f>(Constraint[[#This Row],[disp_t6]]--0.0145666666666666)/-0.0145666666666666</f>
        <v>0.14060546990172143</v>
      </c>
      <c r="N148" s="3">
        <f>(Constraint[[#This Row],[disp_q4]]--0.0145666666666666)/-0.0145666666666666</f>
        <v>5.0637406999256528E-2</v>
      </c>
      <c r="O148" s="3">
        <f>(Constraint[[#This Row],[disp_q8]]--0.0145666666666666)/-0.0145666666666666</f>
        <v>0.1731404269240237</v>
      </c>
    </row>
    <row r="149" spans="1:15" x14ac:dyDescent="0.3">
      <c r="A149">
        <v>2</v>
      </c>
      <c r="B149">
        <v>7</v>
      </c>
      <c r="C149">
        <f>Constraint[[#This Row],[nxi]]*3</f>
        <v>21</v>
      </c>
      <c r="D149">
        <v>192</v>
      </c>
      <c r="E149">
        <v>-1.38056914594829E-2</v>
      </c>
      <c r="F149">
        <v>294</v>
      </c>
      <c r="G149">
        <v>-1.6423027839850099E-2</v>
      </c>
      <c r="H149">
        <v>192</v>
      </c>
      <c r="I149">
        <v>-1.5149740484136601E-2</v>
      </c>
      <c r="J149">
        <v>294</v>
      </c>
      <c r="K149">
        <v>-1.6878181388007601E-2</v>
      </c>
      <c r="L149" s="3">
        <f>(Constraint[[#This Row],[disp_t3]]--0.0145666666666666)/-0.0145666666666666</f>
        <v>-5.2240860905059708E-2</v>
      </c>
      <c r="M149" s="3">
        <f>(Constraint[[#This Row],[disp_t6]]--0.0145666666666666)/-0.0145666666666666</f>
        <v>0.12743898214074426</v>
      </c>
      <c r="N149" s="3">
        <f>(Constraint[[#This Row],[disp_q4]]--0.0145666666666666)/-0.0145666666666666</f>
        <v>4.0027950856064351E-2</v>
      </c>
      <c r="O149" s="3">
        <f>(Constraint[[#This Row],[disp_q8]]--0.0145666666666666)/-0.0145666666666666</f>
        <v>0.15868522114469191</v>
      </c>
    </row>
    <row r="150" spans="1:15" x14ac:dyDescent="0.3">
      <c r="A150">
        <v>2</v>
      </c>
      <c r="B150">
        <v>6</v>
      </c>
      <c r="C150">
        <f>Constraint[[#This Row],[nxi]]*3</f>
        <v>18</v>
      </c>
      <c r="D150">
        <v>168</v>
      </c>
      <c r="E150">
        <v>-1.36298978023131E-2</v>
      </c>
      <c r="F150">
        <v>256</v>
      </c>
      <c r="G150">
        <v>-1.61968331418024E-2</v>
      </c>
      <c r="H150">
        <v>168</v>
      </c>
      <c r="I150">
        <v>-1.4966464976251001E-2</v>
      </c>
      <c r="J150">
        <v>256</v>
      </c>
      <c r="K150">
        <v>-1.6613454711559499E-2</v>
      </c>
      <c r="L150" s="3">
        <f>(Constraint[[#This Row],[disp_t3]]--0.0145666666666666)/-0.0145666666666666</f>
        <v>-6.4309075356075773E-2</v>
      </c>
      <c r="M150" s="3">
        <f>(Constraint[[#This Row],[disp_t6]]--0.0145666666666666)/-0.0145666666666666</f>
        <v>0.11191074200016993</v>
      </c>
      <c r="N150" s="3">
        <f>(Constraint[[#This Row],[disp_q4]]--0.0145666666666666)/-0.0145666666666666</f>
        <v>2.7446108209455596E-2</v>
      </c>
      <c r="O150" s="3">
        <f>(Constraint[[#This Row],[disp_q8]]--0.0145666666666666)/-0.0145666666666666</f>
        <v>0.14051176509562302</v>
      </c>
    </row>
    <row r="151" spans="1:15" x14ac:dyDescent="0.3">
      <c r="A151">
        <v>2</v>
      </c>
      <c r="B151">
        <v>5</v>
      </c>
      <c r="C151">
        <f>Constraint[[#This Row],[nxi]]*3</f>
        <v>15</v>
      </c>
      <c r="D151">
        <v>144</v>
      </c>
      <c r="E151">
        <v>-1.34149463189784E-2</v>
      </c>
      <c r="F151">
        <v>218</v>
      </c>
      <c r="G151">
        <v>-1.59405629838647E-2</v>
      </c>
      <c r="H151">
        <v>144</v>
      </c>
      <c r="I151">
        <v>-1.4745453778718399E-2</v>
      </c>
      <c r="J151">
        <v>218</v>
      </c>
      <c r="K151">
        <v>-1.6291489376253E-2</v>
      </c>
      <c r="L151" s="3">
        <f>(Constraint[[#This Row],[disp_t3]]--0.0145666666666666)/-0.0145666666666666</f>
        <v>-7.9065470093011778E-2</v>
      </c>
      <c r="M151" s="3">
        <f>(Constraint[[#This Row],[disp_t6]]--0.0145666666666666)/-0.0145666666666666</f>
        <v>9.4317824979275072E-2</v>
      </c>
      <c r="N151" s="3">
        <f>(Constraint[[#This Row],[disp_q4]]--0.0145666666666666)/-0.0145666666666666</f>
        <v>1.2273714786164805E-2</v>
      </c>
      <c r="O151" s="3">
        <f>(Constraint[[#This Row],[disp_q8]]--0.0145666666666666)/-0.0145666666666666</f>
        <v>0.11840888166497086</v>
      </c>
    </row>
    <row r="152" spans="1:15" x14ac:dyDescent="0.3">
      <c r="A152">
        <v>2</v>
      </c>
      <c r="B152">
        <v>4</v>
      </c>
      <c r="C152">
        <f>Constraint[[#This Row],[nxi]]*3</f>
        <v>12</v>
      </c>
      <c r="D152">
        <v>120</v>
      </c>
      <c r="E152">
        <v>-1.3133824687837499E-2</v>
      </c>
      <c r="F152">
        <v>180</v>
      </c>
      <c r="G152">
        <v>-1.56574314628917E-2</v>
      </c>
      <c r="H152">
        <v>120</v>
      </c>
      <c r="I152">
        <v>-1.4460003147724301E-2</v>
      </c>
      <c r="J152">
        <v>180</v>
      </c>
      <c r="K152">
        <v>-1.5911611327328899E-2</v>
      </c>
      <c r="L152" s="3">
        <f>(Constraint[[#This Row],[disp_t3]]--0.0145666666666666)/-0.0145666666666666</f>
        <v>-9.8364437905888336E-2</v>
      </c>
      <c r="M152" s="3">
        <f>(Constraint[[#This Row],[disp_t6]]--0.0145666666666666)/-0.0145666666666666</f>
        <v>7.4880878459389413E-2</v>
      </c>
      <c r="N152" s="3">
        <f>(Constraint[[#This Row],[disp_q4]]--0.0145666666666666)/-0.0145666666666666</f>
        <v>-7.3224383713248907E-3</v>
      </c>
      <c r="O152" s="3">
        <f>(Constraint[[#This Row],[disp_q8]]--0.0145666666666666)/-0.0145666666666666</f>
        <v>9.2330297070638861E-2</v>
      </c>
    </row>
    <row r="153" spans="1:15" x14ac:dyDescent="0.3">
      <c r="A153">
        <v>2</v>
      </c>
      <c r="B153">
        <v>3</v>
      </c>
      <c r="C153">
        <f>Constraint[[#This Row],[nxi]]*3</f>
        <v>9</v>
      </c>
      <c r="D153">
        <v>96</v>
      </c>
      <c r="E153">
        <v>-1.27224043838257E-2</v>
      </c>
      <c r="F153">
        <v>142</v>
      </c>
      <c r="G153">
        <v>-1.53410141647997E-2</v>
      </c>
      <c r="H153">
        <v>96</v>
      </c>
      <c r="I153">
        <v>-1.4034351110924E-2</v>
      </c>
      <c r="J153">
        <v>142</v>
      </c>
      <c r="K153">
        <v>-1.54887243731702E-2</v>
      </c>
      <c r="L153" s="3">
        <f>(Constraint[[#This Row],[disp_t3]]--0.0145666666666666)/-0.0145666666666666</f>
        <v>-0.12660839470303714</v>
      </c>
      <c r="M153" s="3">
        <f>(Constraint[[#This Row],[disp_t6]]--0.0145666666666666)/-0.0145666666666666</f>
        <v>5.315886714872569E-2</v>
      </c>
      <c r="N153" s="3">
        <f>(Constraint[[#This Row],[disp_q4]]--0.0145666666666666)/-0.0145666666666666</f>
        <v>-3.6543401996059648E-2</v>
      </c>
      <c r="O153" s="3">
        <f>(Constraint[[#This Row],[disp_q8]]--0.0145666666666666)/-0.0145666666666666</f>
        <v>6.3299156052879071E-2</v>
      </c>
    </row>
    <row r="154" spans="1:15" x14ac:dyDescent="0.3">
      <c r="A154">
        <v>2</v>
      </c>
      <c r="B154">
        <v>2</v>
      </c>
      <c r="C154">
        <f>Constraint[[#This Row],[nxi]]*3</f>
        <v>6</v>
      </c>
      <c r="D154">
        <v>72</v>
      </c>
      <c r="E154">
        <v>-1.20747123385191E-2</v>
      </c>
      <c r="F154">
        <v>104</v>
      </c>
      <c r="G154">
        <v>-1.4983798041125001E-2</v>
      </c>
      <c r="H154">
        <v>72</v>
      </c>
      <c r="I154">
        <v>-1.32895035108154E-2</v>
      </c>
      <c r="J154">
        <v>104</v>
      </c>
      <c r="K154">
        <v>-1.4982850811252099E-2</v>
      </c>
      <c r="L154" s="3">
        <f>(Constraint[[#This Row],[disp_t3]]--0.0145666666666666)/-0.0145666666666666</f>
        <v>-0.17107237950669416</v>
      </c>
      <c r="M154" s="3">
        <f>(Constraint[[#This Row],[disp_t6]]--0.0145666666666666)/-0.0145666666666666</f>
        <v>2.8636021129867489E-2</v>
      </c>
      <c r="N154" s="3">
        <f>(Constraint[[#This Row],[disp_q4]]--0.0145666666666666)/-0.0145666666666666</f>
        <v>-8.7677104520677715E-2</v>
      </c>
      <c r="O154" s="3">
        <f>(Constraint[[#This Row],[disp_q8]]--0.0145666666666666)/-0.0145666666666666</f>
        <v>2.8570993907471514E-2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EC31-E835-4ADD-BD35-31A24FAB81FE}">
  <dimension ref="A1:O154"/>
  <sheetViews>
    <sheetView zoomScaleNormal="100" workbookViewId="0">
      <selection activeCell="U10" sqref="U10"/>
    </sheetView>
  </sheetViews>
  <sheetFormatPr defaultRowHeight="14.4" x14ac:dyDescent="0.3"/>
  <cols>
    <col min="4" max="7" width="9" customWidth="1"/>
    <col min="8" max="11" width="9.5546875" customWidth="1"/>
  </cols>
  <sheetData>
    <row r="1" spans="1:15" x14ac:dyDescent="0.3">
      <c r="A1" t="s">
        <v>0</v>
      </c>
      <c r="B1" t="s">
        <v>24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3" t="s">
        <v>16</v>
      </c>
      <c r="M1" s="3" t="s">
        <v>17</v>
      </c>
      <c r="N1" s="3" t="s">
        <v>18</v>
      </c>
      <c r="O1" s="3" t="s">
        <v>19</v>
      </c>
    </row>
    <row r="2" spans="1:15" x14ac:dyDescent="0.3">
      <c r="A2">
        <v>20</v>
      </c>
      <c r="B2">
        <v>40</v>
      </c>
      <c r="C2">
        <f>Penalty[[#This Row],[nxi]]*3</f>
        <v>120</v>
      </c>
      <c r="D2">
        <v>6888</v>
      </c>
      <c r="E2">
        <v>-1.48843693779575E-2</v>
      </c>
      <c r="F2">
        <v>11808</v>
      </c>
      <c r="G2">
        <v>-1.50089463994252E-2</v>
      </c>
      <c r="H2">
        <v>6888</v>
      </c>
      <c r="I2">
        <v>-1.49120991998201E-2</v>
      </c>
      <c r="J2">
        <v>11808</v>
      </c>
      <c r="K2">
        <v>-1.50213718524808E-2</v>
      </c>
      <c r="L2" s="3">
        <f>(Penalty[[#This Row],[disp_t3]]--0.0145666666666666)/-0.0145666666666666</f>
        <v>2.1810254779695806E-2</v>
      </c>
      <c r="M2" s="3">
        <f>(Penalty[[#This Row],[disp_t6]]--0.0145666666666666)/-0.0145666666666666</f>
        <v>3.0362453049789656E-2</v>
      </c>
      <c r="N2" s="3">
        <f>(Penalty[[#This Row],[disp_q4]]--0.0145666666666666)/-0.0145666666666666</f>
        <v>2.371390387781477E-2</v>
      </c>
      <c r="O2" s="3">
        <f>(Penalty[[#This Row],[disp_q8]]--0.0145666666666666)/-0.0145666666666666</f>
        <v>3.1215458980380043E-2</v>
      </c>
    </row>
    <row r="3" spans="1:15" x14ac:dyDescent="0.3">
      <c r="A3">
        <v>20</v>
      </c>
      <c r="B3">
        <v>34</v>
      </c>
      <c r="C3">
        <f>Penalty[[#This Row],[nxi]]*3</f>
        <v>102</v>
      </c>
      <c r="D3">
        <v>5880</v>
      </c>
      <c r="E3">
        <v>-1.48757472988488E-2</v>
      </c>
      <c r="F3">
        <v>10068</v>
      </c>
      <c r="G3">
        <v>-1.49980608129916E-2</v>
      </c>
      <c r="H3">
        <v>5880</v>
      </c>
      <c r="I3">
        <v>-1.49068617995873E-2</v>
      </c>
      <c r="J3">
        <v>10068</v>
      </c>
      <c r="K3">
        <v>-1.5005433768094699E-2</v>
      </c>
      <c r="L3" s="3">
        <f>(Penalty[[#This Row],[disp_t3]]--0.0145666666666666)/-0.0145666666666666</f>
        <v>2.1218350035391433E-2</v>
      </c>
      <c r="M3" s="3">
        <f>(Penalty[[#This Row],[disp_t6]]--0.0145666666666666)/-0.0145666666666666</f>
        <v>2.9615158786613451E-2</v>
      </c>
      <c r="N3" s="3">
        <f>(Penalty[[#This Row],[disp_q4]]--0.0145666666666666)/-0.0145666666666666</f>
        <v>2.3354356951077928E-2</v>
      </c>
      <c r="O3" s="3">
        <f>(Penalty[[#This Row],[disp_q8]]--0.0145666666666666)/-0.0145666666666666</f>
        <v>3.0121311310853681E-2</v>
      </c>
    </row>
    <row r="4" spans="1:15" x14ac:dyDescent="0.3">
      <c r="A4">
        <v>20</v>
      </c>
      <c r="B4">
        <v>29</v>
      </c>
      <c r="C4">
        <f>Penalty[[#This Row],[nxi]]*3</f>
        <v>87</v>
      </c>
      <c r="D4">
        <v>5040</v>
      </c>
      <c r="E4">
        <v>-1.4864402632016299E-2</v>
      </c>
      <c r="F4">
        <v>8618</v>
      </c>
      <c r="G4">
        <v>-1.49860949815769E-2</v>
      </c>
      <c r="H4">
        <v>5040</v>
      </c>
      <c r="I4">
        <v>-1.4900105980627999E-2</v>
      </c>
      <c r="J4">
        <v>8618</v>
      </c>
      <c r="K4">
        <v>-1.4989572578658499E-2</v>
      </c>
      <c r="L4" s="3">
        <f>(Penalty[[#This Row],[disp_t3]]--0.0145666666666666)/-0.0145666666666666</f>
        <v>2.0439539955357064E-2</v>
      </c>
      <c r="M4" s="3">
        <f>(Penalty[[#This Row],[disp_t6]]--0.0145666666666666)/-0.0145666666666666</f>
        <v>2.8793705829082542E-2</v>
      </c>
      <c r="N4" s="3">
        <f>(Penalty[[#This Row],[disp_q4]]--0.0145666666666666)/-0.0145666666666666</f>
        <v>2.2890570752498954E-2</v>
      </c>
      <c r="O4" s="3">
        <f>(Penalty[[#This Row],[disp_q8]]--0.0145666666666666)/-0.0145666666666666</f>
        <v>2.9032442470839942E-2</v>
      </c>
    </row>
    <row r="5" spans="1:15" x14ac:dyDescent="0.3">
      <c r="A5">
        <v>20</v>
      </c>
      <c r="B5">
        <v>24</v>
      </c>
      <c r="C5">
        <f>Penalty[[#This Row],[nxi]]*3</f>
        <v>72</v>
      </c>
      <c r="D5">
        <v>4200</v>
      </c>
      <c r="E5">
        <v>-1.4845969195144099E-2</v>
      </c>
      <c r="F5">
        <v>7168</v>
      </c>
      <c r="G5">
        <v>-1.4970292411119799E-2</v>
      </c>
      <c r="H5">
        <v>4200</v>
      </c>
      <c r="I5">
        <v>-1.4889406281403301E-2</v>
      </c>
      <c r="J5">
        <v>7168</v>
      </c>
      <c r="K5">
        <v>-1.49704736439971E-2</v>
      </c>
      <c r="L5" s="3">
        <f>(Penalty[[#This Row],[disp_t3]]--0.0145666666666666)/-0.0145666666666666</f>
        <v>1.9174086623169422E-2</v>
      </c>
      <c r="M5" s="3">
        <f>(Penalty[[#This Row],[disp_t6]]--0.0145666666666666)/-0.0145666666666666</f>
        <v>2.7708861175277013E-2</v>
      </c>
      <c r="N5" s="3">
        <f>(Penalty[[#This Row],[disp_q4]]--0.0145666666666666)/-0.0145666666666666</f>
        <v>2.2156037624945283E-2</v>
      </c>
      <c r="O5" s="3">
        <f>(Penalty[[#This Row],[disp_q8]]--0.0145666666666666)/-0.0145666666666666</f>
        <v>2.7721302791567693E-2</v>
      </c>
    </row>
    <row r="6" spans="1:15" x14ac:dyDescent="0.3">
      <c r="A6">
        <v>20</v>
      </c>
      <c r="B6">
        <v>21</v>
      </c>
      <c r="C6">
        <f>Penalty[[#This Row],[nxi]]*3</f>
        <v>63</v>
      </c>
      <c r="D6">
        <v>3696</v>
      </c>
      <c r="E6">
        <v>-1.48288352884294E-2</v>
      </c>
      <c r="F6">
        <v>6298</v>
      </c>
      <c r="G6">
        <v>-1.49582356012198E-2</v>
      </c>
      <c r="H6">
        <v>3696</v>
      </c>
      <c r="I6">
        <v>-1.4879738252263601E-2</v>
      </c>
      <c r="J6">
        <v>6298</v>
      </c>
      <c r="K6">
        <v>-1.4956865948584299E-2</v>
      </c>
      <c r="L6" s="3">
        <f>(Penalty[[#This Row],[disp_t3]]--0.0145666666666666)/-0.0145666666666666</f>
        <v>1.7997845887606567E-2</v>
      </c>
      <c r="M6" s="3">
        <f>(Penalty[[#This Row],[disp_t6]]--0.0145666666666666)/-0.0145666666666666</f>
        <v>2.688116255513975E-2</v>
      </c>
      <c r="N6" s="3">
        <f>(Penalty[[#This Row],[disp_q4]]--0.0145666666666666)/-0.0145666666666666</f>
        <v>2.1492328530686687E-2</v>
      </c>
      <c r="O6" s="3">
        <f>(Penalty[[#This Row],[disp_q8]]--0.0145666666666666)/-0.0145666666666666</f>
        <v>2.6787136058423467E-2</v>
      </c>
    </row>
    <row r="7" spans="1:15" x14ac:dyDescent="0.3">
      <c r="A7">
        <v>20</v>
      </c>
      <c r="B7">
        <v>18</v>
      </c>
      <c r="C7">
        <f>Penalty[[#This Row],[nxi]]*3</f>
        <v>54</v>
      </c>
      <c r="D7">
        <v>3192</v>
      </c>
      <c r="E7">
        <v>-1.48036258839035E-2</v>
      </c>
      <c r="F7">
        <v>5428</v>
      </c>
      <c r="G7">
        <v>-1.4943487530763799E-2</v>
      </c>
      <c r="H7">
        <v>3192</v>
      </c>
      <c r="I7">
        <v>-1.4865917722834099E-2</v>
      </c>
      <c r="J7">
        <v>5428</v>
      </c>
      <c r="K7">
        <v>-1.49409727538406E-2</v>
      </c>
      <c r="L7" s="3">
        <f>(Penalty[[#This Row],[disp_t3]]--0.0145666666666666)/-0.0145666666666666</f>
        <v>1.6267223151274705E-2</v>
      </c>
      <c r="M7" s="3">
        <f>(Penalty[[#This Row],[disp_t6]]--0.0145666666666666)/-0.0145666666666666</f>
        <v>2.5868709205757554E-2</v>
      </c>
      <c r="N7" s="3">
        <f>(Penalty[[#This Row],[disp_q4]]--0.0145666666666666)/-0.0145666666666666</f>
        <v>2.0543550766647684E-2</v>
      </c>
      <c r="O7" s="3">
        <f>(Penalty[[#This Row],[disp_q8]]--0.0145666666666666)/-0.0145666666666666</f>
        <v>2.5696070057711805E-2</v>
      </c>
    </row>
    <row r="8" spans="1:15" x14ac:dyDescent="0.3">
      <c r="A8">
        <v>20</v>
      </c>
      <c r="B8">
        <v>15</v>
      </c>
      <c r="C8">
        <f>Penalty[[#This Row],[nxi]]*3</f>
        <v>45</v>
      </c>
      <c r="D8">
        <v>2688</v>
      </c>
      <c r="E8">
        <v>-1.47641295466963E-2</v>
      </c>
      <c r="F8">
        <v>4558</v>
      </c>
      <c r="G8">
        <v>-1.49249287068411E-2</v>
      </c>
      <c r="H8">
        <v>2688</v>
      </c>
      <c r="I8">
        <v>-1.4844985905432701E-2</v>
      </c>
      <c r="J8">
        <v>4558</v>
      </c>
      <c r="K8">
        <v>-1.49217301390755E-2</v>
      </c>
      <c r="L8" s="3">
        <f>(Penalty[[#This Row],[disp_t3]]--0.0145666666666666)/-0.0145666666666666</f>
        <v>1.3555804121032156E-2</v>
      </c>
      <c r="M8" s="3">
        <f>(Penalty[[#This Row],[disp_t6]]--0.0145666666666666)/-0.0145666666666666</f>
        <v>2.4594648066899476E-2</v>
      </c>
      <c r="N8" s="3">
        <f>(Penalty[[#This Row],[disp_q4]]--0.0145666666666666)/-0.0145666666666666</f>
        <v>1.9106583896986461E-2</v>
      </c>
      <c r="O8" s="3">
        <f>(Penalty[[#This Row],[disp_q8]]--0.0145666666666666)/-0.0145666666666666</f>
        <v>2.4375066755759917E-2</v>
      </c>
    </row>
    <row r="9" spans="1:15" x14ac:dyDescent="0.3">
      <c r="A9">
        <v>20</v>
      </c>
      <c r="B9">
        <v>13</v>
      </c>
      <c r="C9">
        <f>Penalty[[#This Row],[nxi]]*3</f>
        <v>39</v>
      </c>
      <c r="D9">
        <v>2352</v>
      </c>
      <c r="E9">
        <v>-1.47235765337913E-2</v>
      </c>
      <c r="F9">
        <v>3978</v>
      </c>
      <c r="G9">
        <v>-1.4909422832874501E-2</v>
      </c>
      <c r="H9">
        <v>2352</v>
      </c>
      <c r="I9">
        <v>-1.48241081928443E-2</v>
      </c>
      <c r="J9">
        <v>3978</v>
      </c>
      <c r="K9">
        <v>-1.4906041653186999E-2</v>
      </c>
      <c r="L9" s="3">
        <f>(Penalty[[#This Row],[disp_t3]]--0.0145666666666666)/-0.0145666666666666</f>
        <v>1.0771844425036689E-2</v>
      </c>
      <c r="M9" s="3">
        <f>(Penalty[[#This Row],[disp_t6]]--0.0145666666666666)/-0.0145666666666666</f>
        <v>2.3530171593219872E-2</v>
      </c>
      <c r="N9" s="3">
        <f>(Penalty[[#This Row],[disp_q4]]--0.0145666666666666)/-0.0145666666666666</f>
        <v>1.767333131654706E-2</v>
      </c>
      <c r="O9" s="3">
        <f>(Penalty[[#This Row],[disp_q8]]--0.0145666666666666)/-0.0145666666666666</f>
        <v>2.3298053994535578E-2</v>
      </c>
    </row>
    <row r="10" spans="1:15" x14ac:dyDescent="0.3">
      <c r="A10">
        <v>20</v>
      </c>
      <c r="B10">
        <v>11</v>
      </c>
      <c r="C10">
        <f>Penalty[[#This Row],[nxi]]*3</f>
        <v>33</v>
      </c>
      <c r="D10">
        <v>2016</v>
      </c>
      <c r="E10">
        <v>-1.46623282774495E-2</v>
      </c>
      <c r="F10">
        <v>3398</v>
      </c>
      <c r="G10">
        <v>-1.48900120843644E-2</v>
      </c>
      <c r="H10">
        <v>2016</v>
      </c>
      <c r="I10">
        <v>-1.47932634100616E-2</v>
      </c>
      <c r="J10">
        <v>3398</v>
      </c>
      <c r="K10">
        <v>-1.4886669863543801E-2</v>
      </c>
      <c r="L10" s="3">
        <f>(Penalty[[#This Row],[disp_t3]]--0.0145666666666666)/-0.0145666666666666</f>
        <v>6.5671586349817452E-3</v>
      </c>
      <c r="M10" s="3">
        <f>(Penalty[[#This Row],[disp_t6]]--0.0145666666666666)/-0.0145666666666666</f>
        <v>2.2197625928910919E-2</v>
      </c>
      <c r="N10" s="3">
        <f>(Penalty[[#This Row],[disp_q4]]--0.0145666666666666)/-0.0145666666666666</f>
        <v>1.5555840507666034E-2</v>
      </c>
      <c r="O10" s="3">
        <f>(Penalty[[#This Row],[disp_q8]]--0.0145666666666666)/-0.0145666666666666</f>
        <v>2.1968182851981884E-2</v>
      </c>
    </row>
    <row r="11" spans="1:15" x14ac:dyDescent="0.3">
      <c r="A11">
        <v>20</v>
      </c>
      <c r="B11">
        <v>9</v>
      </c>
      <c r="C11">
        <f>Penalty[[#This Row],[nxi]]*3</f>
        <v>27</v>
      </c>
      <c r="D11">
        <v>1680</v>
      </c>
      <c r="E11">
        <v>-1.4562774261338E-2</v>
      </c>
      <c r="F11">
        <v>2818</v>
      </c>
      <c r="G11">
        <v>-1.4864199338882601E-2</v>
      </c>
      <c r="H11">
        <v>1680</v>
      </c>
      <c r="I11">
        <v>-1.47439171614308E-2</v>
      </c>
      <c r="J11">
        <v>2818</v>
      </c>
      <c r="K11">
        <v>-1.4861113159145701E-2</v>
      </c>
      <c r="L11" s="3">
        <f>(Penalty[[#This Row],[disp_t3]]--0.0145666666666666)/-0.0145666666666666</f>
        <v>-2.6721318045301779E-4</v>
      </c>
      <c r="M11" s="3">
        <f>(Penalty[[#This Row],[disp_t6]]--0.0145666666666666)/-0.0145666666666666</f>
        <v>2.0425583904988741E-2</v>
      </c>
      <c r="N11" s="3">
        <f>(Penalty[[#This Row],[disp_q4]]--0.0145666666666666)/-0.0145666666666666</f>
        <v>1.2168226185185439E-2</v>
      </c>
      <c r="O11" s="3">
        <f>(Penalty[[#This Row],[disp_q8]]--0.0145666666666666)/-0.0145666666666666</f>
        <v>2.0213718019160359E-2</v>
      </c>
    </row>
    <row r="12" spans="1:15" x14ac:dyDescent="0.3">
      <c r="A12">
        <v>20</v>
      </c>
      <c r="B12">
        <v>8</v>
      </c>
      <c r="C12">
        <f>Penalty[[#This Row],[nxi]]*3</f>
        <v>24</v>
      </c>
      <c r="D12">
        <v>1512</v>
      </c>
      <c r="E12">
        <v>-1.44875855741877E-2</v>
      </c>
      <c r="F12">
        <v>2528</v>
      </c>
      <c r="G12">
        <v>-1.48473830961223E-2</v>
      </c>
      <c r="H12">
        <v>1512</v>
      </c>
      <c r="I12">
        <v>-1.47067839414203E-2</v>
      </c>
      <c r="J12">
        <v>2528</v>
      </c>
      <c r="K12">
        <v>-1.4844502500589701E-2</v>
      </c>
      <c r="L12" s="3">
        <f>(Penalty[[#This Row],[disp_t3]]--0.0145666666666666)/-0.0145666666666666</f>
        <v>-5.4289079504965566E-3</v>
      </c>
      <c r="M12" s="3">
        <f>(Penalty[[#This Row],[disp_t6]]--0.0145666666666666)/-0.0145666666666666</f>
        <v>1.9271150763549322E-2</v>
      </c>
      <c r="N12" s="3">
        <f>(Penalty[[#This Row],[disp_q4]]--0.0145666666666666)/-0.0145666666666666</f>
        <v>9.6190348801168217E-3</v>
      </c>
      <c r="O12" s="3">
        <f>(Penalty[[#This Row],[disp_q8]]--0.0145666666666666)/-0.0145666666666666</f>
        <v>1.9073398209823976E-2</v>
      </c>
    </row>
    <row r="13" spans="1:15" x14ac:dyDescent="0.3">
      <c r="A13">
        <v>20</v>
      </c>
      <c r="B13">
        <v>7</v>
      </c>
      <c r="C13">
        <f>Penalty[[#This Row],[nxi]]*3</f>
        <v>21</v>
      </c>
      <c r="D13">
        <v>1344</v>
      </c>
      <c r="E13">
        <v>-1.4384035768764999E-2</v>
      </c>
      <c r="F13">
        <v>2238</v>
      </c>
      <c r="G13">
        <v>-1.48264340029874E-2</v>
      </c>
      <c r="H13">
        <v>1344</v>
      </c>
      <c r="I13">
        <v>-1.46553657398566E-2</v>
      </c>
      <c r="J13">
        <v>2238</v>
      </c>
      <c r="K13">
        <v>-1.4823816558079799E-2</v>
      </c>
      <c r="L13" s="3">
        <f>(Penalty[[#This Row],[disp_t3]]--0.0145666666666666)/-0.0145666666666666</f>
        <v>-1.2537590244961148E-2</v>
      </c>
      <c r="M13" s="3">
        <f>(Penalty[[#This Row],[disp_t6]]--0.0145666666666666)/-0.0145666666666666</f>
        <v>1.7832997916759831E-2</v>
      </c>
      <c r="N13" s="3">
        <f>(Penalty[[#This Row],[disp_q4]]--0.0145666666666666)/-0.0145666666666666</f>
        <v>6.0891812258581732E-3</v>
      </c>
      <c r="O13" s="3">
        <f>(Penalty[[#This Row],[disp_q8]]--0.0145666666666666)/-0.0145666666666666</f>
        <v>1.7653310623331898E-2</v>
      </c>
    </row>
    <row r="14" spans="1:15" x14ac:dyDescent="0.3">
      <c r="A14">
        <v>20</v>
      </c>
      <c r="B14">
        <v>6</v>
      </c>
      <c r="C14">
        <f>Penalty[[#This Row],[nxi]]*3</f>
        <v>18</v>
      </c>
      <c r="D14">
        <v>1176</v>
      </c>
      <c r="E14">
        <v>-1.4236246237033401E-2</v>
      </c>
      <c r="F14">
        <v>1948</v>
      </c>
      <c r="G14">
        <v>-1.47992325204402E-2</v>
      </c>
      <c r="H14">
        <v>1176</v>
      </c>
      <c r="I14">
        <v>-1.45807783015238E-2</v>
      </c>
      <c r="J14">
        <v>1948</v>
      </c>
      <c r="K14">
        <v>-1.47969166770692E-2</v>
      </c>
      <c r="L14" s="3">
        <f>(Penalty[[#This Row],[disp_t3]]--0.0145666666666666)/-0.0145666666666666</f>
        <v>-2.2683324688778032E-2</v>
      </c>
      <c r="M14" s="3">
        <f>(Penalty[[#This Row],[disp_t6]]--0.0145666666666666)/-0.0145666666666666</f>
        <v>1.5965619252192361E-2</v>
      </c>
      <c r="N14" s="3">
        <f>(Penalty[[#This Row],[disp_q4]]--0.0145666666666666)/-0.0145666666666666</f>
        <v>9.6876211834328652E-4</v>
      </c>
      <c r="O14" s="3">
        <f>(Penalty[[#This Row],[disp_q8]]--0.0145666666666666)/-0.0145666666666666</f>
        <v>1.5806636869743793E-2</v>
      </c>
    </row>
    <row r="15" spans="1:15" x14ac:dyDescent="0.3">
      <c r="A15">
        <v>20</v>
      </c>
      <c r="B15">
        <v>5</v>
      </c>
      <c r="C15">
        <f>Penalty[[#This Row],[nxi]]*3</f>
        <v>15</v>
      </c>
      <c r="D15">
        <v>1008</v>
      </c>
      <c r="E15">
        <v>-1.4016537164783099E-2</v>
      </c>
      <c r="F15">
        <v>1658</v>
      </c>
      <c r="G15">
        <v>-1.4761993561960601E-2</v>
      </c>
      <c r="H15">
        <v>1008</v>
      </c>
      <c r="I15">
        <v>-1.4466003593134E-2</v>
      </c>
      <c r="J15">
        <v>1658</v>
      </c>
      <c r="K15">
        <v>-1.4760105649778799E-2</v>
      </c>
      <c r="L15" s="3">
        <f>(Penalty[[#This Row],[disp_t3]]--0.0145666666666666)/-0.0145666666666666</f>
        <v>-3.7766327360423513E-2</v>
      </c>
      <c r="M15" s="3">
        <f>(Penalty[[#This Row],[disp_t6]]--0.0145666666666666)/-0.0145666666666666</f>
        <v>1.3409169013318227E-2</v>
      </c>
      <c r="N15" s="3">
        <f>(Penalty[[#This Row],[disp_q4]]--0.0145666666666666)/-0.0145666666666666</f>
        <v>-6.9105084804988361E-3</v>
      </c>
      <c r="O15" s="3">
        <f>(Penalty[[#This Row],[disp_q8]]--0.0145666666666666)/-0.0145666666666666</f>
        <v>1.3279564058045822E-2</v>
      </c>
    </row>
    <row r="16" spans="1:15" x14ac:dyDescent="0.3">
      <c r="A16">
        <v>20</v>
      </c>
      <c r="B16">
        <v>4</v>
      </c>
      <c r="C16">
        <f>Penalty[[#This Row],[nxi]]*3</f>
        <v>12</v>
      </c>
      <c r="D16">
        <v>840</v>
      </c>
      <c r="E16">
        <v>-1.36754306333153E-2</v>
      </c>
      <c r="F16">
        <v>1368</v>
      </c>
      <c r="G16">
        <v>-1.47075375077512E-2</v>
      </c>
      <c r="H16">
        <v>840</v>
      </c>
      <c r="I16">
        <v>-1.4275524156273599E-2</v>
      </c>
      <c r="J16">
        <v>1368</v>
      </c>
      <c r="K16">
        <v>-1.4706037121619501E-2</v>
      </c>
      <c r="L16" s="3">
        <f>(Penalty[[#This Row],[disp_t3]]--0.0145666666666666)/-0.0145666666666666</f>
        <v>-6.1183251717480784E-2</v>
      </c>
      <c r="M16" s="3">
        <f>(Penalty[[#This Row],[disp_t6]]--0.0145666666666666)/-0.0145666666666666</f>
        <v>9.670767122512686E-3</v>
      </c>
      <c r="N16" s="3">
        <f>(Penalty[[#This Row],[disp_q4]]--0.0145666666666666)/-0.0145666666666666</f>
        <v>-1.998690002697949E-2</v>
      </c>
      <c r="O16" s="3">
        <f>(Penalty[[#This Row],[disp_q8]]--0.0145666666666666)/-0.0145666666666666</f>
        <v>9.5677657862404224E-3</v>
      </c>
    </row>
    <row r="17" spans="1:15" x14ac:dyDescent="0.3">
      <c r="A17">
        <v>20</v>
      </c>
      <c r="B17">
        <v>3</v>
      </c>
      <c r="C17">
        <f>Penalty[[#This Row],[nxi]]*3</f>
        <v>9</v>
      </c>
      <c r="D17">
        <v>672</v>
      </c>
      <c r="E17">
        <v>-1.3127311206229E-2</v>
      </c>
      <c r="F17">
        <v>1078</v>
      </c>
      <c r="G17">
        <v>-1.4622178861691299E-2</v>
      </c>
      <c r="H17">
        <v>672</v>
      </c>
      <c r="I17">
        <v>-1.39283033992657E-2</v>
      </c>
      <c r="J17">
        <v>1078</v>
      </c>
      <c r="K17">
        <v>-1.4621951386913599E-2</v>
      </c>
      <c r="L17" s="3">
        <f>(Penalty[[#This Row],[disp_t3]]--0.0145666666666666)/-0.0145666666666666</f>
        <v>-9.8811587673062196E-2</v>
      </c>
      <c r="M17" s="3">
        <f>(Penalty[[#This Row],[disp_t6]]--0.0145666666666666)/-0.0145666666666666</f>
        <v>3.8109058369359535E-3</v>
      </c>
      <c r="N17" s="3">
        <f>(Penalty[[#This Row],[disp_q4]]--0.0145666666666666)/-0.0145666666666666</f>
        <v>-4.3823565267796502E-2</v>
      </c>
      <c r="O17" s="3">
        <f>(Penalty[[#This Row],[disp_q8]]--0.0145666666666666)/-0.0145666666666666</f>
        <v>3.7952897194737101E-3</v>
      </c>
    </row>
    <row r="18" spans="1:15" x14ac:dyDescent="0.3">
      <c r="A18">
        <v>20</v>
      </c>
      <c r="B18">
        <v>2</v>
      </c>
      <c r="C18">
        <f>Penalty[[#This Row],[nxi]]*3</f>
        <v>6</v>
      </c>
      <c r="D18">
        <v>504</v>
      </c>
      <c r="E18">
        <v>-1.2272230342512401E-2</v>
      </c>
      <c r="F18">
        <v>788</v>
      </c>
      <c r="G18">
        <v>-1.44966487374037E-2</v>
      </c>
      <c r="H18">
        <v>504</v>
      </c>
      <c r="I18">
        <v>-1.32413889961556E-2</v>
      </c>
      <c r="J18">
        <v>788</v>
      </c>
      <c r="K18">
        <v>-1.4498483101988899E-2</v>
      </c>
      <c r="L18" s="3">
        <f>(Penalty[[#This Row],[disp_t3]]--0.0145666666666666)/-0.0145666666666666</f>
        <v>-0.15751279113186792</v>
      </c>
      <c r="M18" s="3">
        <f>(Penalty[[#This Row],[disp_t6]]--0.0145666666666666)/-0.0145666666666666</f>
        <v>-4.806722832693359E-3</v>
      </c>
      <c r="N18" s="3">
        <f>(Penalty[[#This Row],[disp_q4]]--0.0145666666666666)/-0.0145666666666666</f>
        <v>-9.0980160446979749E-2</v>
      </c>
      <c r="O18" s="3">
        <f>(Penalty[[#This Row],[disp_q8]]--0.0145666666666666)/-0.0145666666666666</f>
        <v>-4.6807939138009281E-3</v>
      </c>
    </row>
    <row r="19" spans="1:15" x14ac:dyDescent="0.3">
      <c r="A19">
        <v>15</v>
      </c>
      <c r="B19">
        <v>40</v>
      </c>
      <c r="C19">
        <f>Penalty[[#This Row],[nxi]]*3</f>
        <v>120</v>
      </c>
      <c r="D19">
        <v>5248</v>
      </c>
      <c r="E19">
        <v>-1.48655550661832E-2</v>
      </c>
      <c r="F19">
        <v>8958</v>
      </c>
      <c r="G19">
        <v>-1.50525786443996E-2</v>
      </c>
      <c r="H19">
        <v>5248</v>
      </c>
      <c r="I19">
        <v>-1.4907701280626601E-2</v>
      </c>
      <c r="J19">
        <v>8958</v>
      </c>
      <c r="K19">
        <v>-1.50855448799566E-2</v>
      </c>
      <c r="L19" s="3">
        <f>(Penalty[[#This Row],[disp_t3]]--0.0145666666666666)/-0.0145666666666666</f>
        <v>2.051865442905737E-2</v>
      </c>
      <c r="M19" s="3">
        <f>(Penalty[[#This Row],[disp_t6]]--0.0145666666666666)/-0.0145666666666666</f>
        <v>3.3357801675034535E-2</v>
      </c>
      <c r="N19" s="3">
        <f>(Penalty[[#This Row],[disp_q4]]--0.0145666666666666)/-0.0145666666666666</f>
        <v>2.3411987228375487E-2</v>
      </c>
      <c r="O19" s="3">
        <f>(Penalty[[#This Row],[disp_q8]]--0.0145666666666666)/-0.0145666666666666</f>
        <v>3.5620929974142082E-2</v>
      </c>
    </row>
    <row r="20" spans="1:15" x14ac:dyDescent="0.3">
      <c r="A20">
        <v>15</v>
      </c>
      <c r="B20">
        <v>34</v>
      </c>
      <c r="C20">
        <f>Penalty[[#This Row],[nxi]]*3</f>
        <v>102</v>
      </c>
      <c r="D20">
        <v>4480</v>
      </c>
      <c r="E20">
        <v>-1.48569475491222E-2</v>
      </c>
      <c r="F20">
        <v>7638</v>
      </c>
      <c r="G20">
        <v>-1.5040283226595799E-2</v>
      </c>
      <c r="H20">
        <v>4480</v>
      </c>
      <c r="I20">
        <v>-1.49023307209363E-2</v>
      </c>
      <c r="J20">
        <v>7638</v>
      </c>
      <c r="K20">
        <v>-1.5064333935889501E-2</v>
      </c>
      <c r="L20" s="3">
        <f>(Penalty[[#This Row],[disp_t3]]--0.0145666666666666)/-0.0145666666666666</f>
        <v>1.9927749367661441E-2</v>
      </c>
      <c r="M20" s="3">
        <f>(Penalty[[#This Row],[disp_t6]]--0.0145666666666666)/-0.0145666666666666</f>
        <v>3.2513722649601971E-2</v>
      </c>
      <c r="N20" s="3">
        <f>(Penalty[[#This Row],[disp_q4]]--0.0145666666666666)/-0.0145666666666666</f>
        <v>2.3043298920116879E-2</v>
      </c>
      <c r="O20" s="3">
        <f>(Penalty[[#This Row],[disp_q8]]--0.0145666666666666)/-0.0145666666666666</f>
        <v>3.4164801090817175E-2</v>
      </c>
    </row>
    <row r="21" spans="1:15" x14ac:dyDescent="0.3">
      <c r="A21">
        <v>15</v>
      </c>
      <c r="B21">
        <v>29</v>
      </c>
      <c r="C21">
        <f>Penalty[[#This Row],[nxi]]*3</f>
        <v>87</v>
      </c>
      <c r="D21">
        <v>3840</v>
      </c>
      <c r="E21">
        <v>-1.48460905960722E-2</v>
      </c>
      <c r="F21">
        <v>6538</v>
      </c>
      <c r="G21">
        <v>-1.50268158837674E-2</v>
      </c>
      <c r="H21">
        <v>3840</v>
      </c>
      <c r="I21">
        <v>-1.4895914463280801E-2</v>
      </c>
      <c r="J21">
        <v>6538</v>
      </c>
      <c r="K21">
        <v>-1.50430855335127E-2</v>
      </c>
      <c r="L21" s="3">
        <f>(Penalty[[#This Row],[disp_t3]]--0.0145666666666666)/-0.0145666666666666</f>
        <v>1.9182420782993238E-2</v>
      </c>
      <c r="M21" s="3">
        <f>(Penalty[[#This Row],[disp_t6]]--0.0145666666666666)/-0.0145666666666666</f>
        <v>3.1589191105318284E-2</v>
      </c>
      <c r="N21" s="3">
        <f>(Penalty[[#This Row],[disp_q4]]--0.0145666666666666)/-0.0145666666666666</f>
        <v>2.2602823566192407E-2</v>
      </c>
      <c r="O21" s="3">
        <f>(Penalty[[#This Row],[disp_q8]]--0.0145666666666666)/-0.0145666666666666</f>
        <v>3.2706100698817166E-2</v>
      </c>
    </row>
    <row r="22" spans="1:15" x14ac:dyDescent="0.3">
      <c r="A22">
        <v>15</v>
      </c>
      <c r="B22">
        <v>24</v>
      </c>
      <c r="C22">
        <f>Penalty[[#This Row],[nxi]]*3</f>
        <v>72</v>
      </c>
      <c r="D22">
        <v>3200</v>
      </c>
      <c r="E22">
        <v>-1.4828641110265399E-2</v>
      </c>
      <c r="F22">
        <v>5438</v>
      </c>
      <c r="G22">
        <v>-1.50089012948023E-2</v>
      </c>
      <c r="H22">
        <v>3200</v>
      </c>
      <c r="I22">
        <v>-1.4886012399675399E-2</v>
      </c>
      <c r="J22">
        <v>5438</v>
      </c>
      <c r="K22">
        <v>-1.50175647363538E-2</v>
      </c>
      <c r="L22" s="3">
        <f>(Penalty[[#This Row],[disp_t3]]--0.0145666666666666)/-0.0145666666666666</f>
        <v>1.7984515578865067E-2</v>
      </c>
      <c r="M22" s="3">
        <f>(Penalty[[#This Row],[disp_t6]]--0.0145666666666666)/-0.0145666666666666</f>
        <v>3.0359356622588318E-2</v>
      </c>
      <c r="N22" s="3">
        <f>(Penalty[[#This Row],[disp_q4]]--0.0145666666666666)/-0.0145666666666666</f>
        <v>2.1923048032640825E-2</v>
      </c>
      <c r="O22" s="3">
        <f>(Penalty[[#This Row],[disp_q8]]--0.0145666666666666)/-0.0145666666666666</f>
        <v>3.0954100893858291E-2</v>
      </c>
    </row>
    <row r="23" spans="1:15" x14ac:dyDescent="0.3">
      <c r="A23">
        <v>15</v>
      </c>
      <c r="B23">
        <v>21</v>
      </c>
      <c r="C23">
        <f>Penalty[[#This Row],[nxi]]*3</f>
        <v>63</v>
      </c>
      <c r="D23">
        <v>2816</v>
      </c>
      <c r="E23">
        <v>-1.4812313394777401E-2</v>
      </c>
      <c r="F23">
        <v>4778</v>
      </c>
      <c r="G23">
        <v>-1.49950480737419E-2</v>
      </c>
      <c r="H23">
        <v>2816</v>
      </c>
      <c r="I23">
        <v>-1.4877005016906799E-2</v>
      </c>
      <c r="J23">
        <v>4778</v>
      </c>
      <c r="K23">
        <v>-1.49995442038704E-2</v>
      </c>
      <c r="L23" s="3">
        <f>(Penalty[[#This Row],[disp_t3]]--0.0145666666666666)/-0.0145666666666666</f>
        <v>1.6863619778773618E-2</v>
      </c>
      <c r="M23" s="3">
        <f>(Penalty[[#This Row],[disp_t6]]--0.0145666666666666)/-0.0145666666666666</f>
        <v>2.9408334581828566E-2</v>
      </c>
      <c r="N23" s="3">
        <f>(Penalty[[#This Row],[disp_q4]]--0.0145666666666666)/-0.0145666666666666</f>
        <v>2.1304692236169431E-2</v>
      </c>
      <c r="O23" s="3">
        <f>(Penalty[[#This Row],[disp_q8]]--0.0145666666666666)/-0.0145666666666666</f>
        <v>2.9716993400718705E-2</v>
      </c>
    </row>
    <row r="24" spans="1:15" x14ac:dyDescent="0.3">
      <c r="A24">
        <v>15</v>
      </c>
      <c r="B24">
        <v>18</v>
      </c>
      <c r="C24">
        <f>Penalty[[#This Row],[nxi]]*3</f>
        <v>54</v>
      </c>
      <c r="D24">
        <v>2432</v>
      </c>
      <c r="E24">
        <v>-1.47880282183294E-2</v>
      </c>
      <c r="F24">
        <v>4118</v>
      </c>
      <c r="G24">
        <v>-1.4977886033379E-2</v>
      </c>
      <c r="H24">
        <v>2432</v>
      </c>
      <c r="I24">
        <v>-1.4863915671927999E-2</v>
      </c>
      <c r="J24">
        <v>4118</v>
      </c>
      <c r="K24">
        <v>-1.4978774546046699E-2</v>
      </c>
      <c r="L24" s="3">
        <f>(Penalty[[#This Row],[disp_t3]]--0.0145666666666666)/-0.0145666666666666</f>
        <v>1.5196445194242653E-2</v>
      </c>
      <c r="M24" s="3">
        <f>(Penalty[[#This Row],[disp_t6]]--0.0145666666666666)/-0.0145666666666666</f>
        <v>2.823016247453566E-2</v>
      </c>
      <c r="N24" s="3">
        <f>(Penalty[[#This Row],[disp_q4]]--0.0145666666666666)/-0.0145666666666666</f>
        <v>2.0406110201011546E-2</v>
      </c>
      <c r="O24" s="3">
        <f>(Penalty[[#This Row],[disp_q8]]--0.0145666666666666)/-0.0145666666666666</f>
        <v>2.8291158767512724E-2</v>
      </c>
    </row>
    <row r="25" spans="1:15" x14ac:dyDescent="0.3">
      <c r="A25">
        <v>15</v>
      </c>
      <c r="B25">
        <v>15</v>
      </c>
      <c r="C25">
        <f>Penalty[[#This Row],[nxi]]*3</f>
        <v>45</v>
      </c>
      <c r="D25">
        <v>2048</v>
      </c>
      <c r="E25">
        <v>-1.47495345792765E-2</v>
      </c>
      <c r="F25">
        <v>3458</v>
      </c>
      <c r="G25">
        <v>-1.4956084242672901E-2</v>
      </c>
      <c r="H25">
        <v>2048</v>
      </c>
      <c r="I25">
        <v>-1.48437060376936E-2</v>
      </c>
      <c r="J25">
        <v>3458</v>
      </c>
      <c r="K25">
        <v>-1.4954164207021401E-2</v>
      </c>
      <c r="L25" s="3">
        <f>(Penalty[[#This Row],[disp_t3]]--0.0145666666666666)/-0.0145666666666666</f>
        <v>1.2553861277567604E-2</v>
      </c>
      <c r="M25" s="3">
        <f>(Penalty[[#This Row],[disp_t6]]--0.0145666666666666)/-0.0145666666666666</f>
        <v>2.6733472037045975E-2</v>
      </c>
      <c r="N25" s="3">
        <f>(Penalty[[#This Row],[disp_q4]]--0.0145666666666666)/-0.0145666666666666</f>
        <v>1.9018721123135136E-2</v>
      </c>
      <c r="O25" s="3">
        <f>(Penalty[[#This Row],[disp_q8]]--0.0145666666666666)/-0.0145666666666666</f>
        <v>2.6601661809254221E-2</v>
      </c>
    </row>
    <row r="26" spans="1:15" x14ac:dyDescent="0.3">
      <c r="A26">
        <v>15</v>
      </c>
      <c r="B26">
        <v>13</v>
      </c>
      <c r="C26">
        <f>Penalty[[#This Row],[nxi]]*3</f>
        <v>39</v>
      </c>
      <c r="D26">
        <v>1792</v>
      </c>
      <c r="E26">
        <v>-1.47096913294959E-2</v>
      </c>
      <c r="F26">
        <v>3018</v>
      </c>
      <c r="G26">
        <v>-1.49378584984305E-2</v>
      </c>
      <c r="H26">
        <v>1792</v>
      </c>
      <c r="I26">
        <v>-1.48232625198746E-2</v>
      </c>
      <c r="J26">
        <v>3018</v>
      </c>
      <c r="K26">
        <v>-1.4934621640701201E-2</v>
      </c>
      <c r="L26" s="3">
        <f>(Penalty[[#This Row],[disp_t3]]--0.0145666666666666)/-0.0145666666666666</f>
        <v>9.8186267388536193E-3</v>
      </c>
      <c r="M26" s="3">
        <f>(Penalty[[#This Row],[disp_t6]]--0.0145666666666666)/-0.0145666666666666</f>
        <v>2.5482276780130601E-2</v>
      </c>
      <c r="N26" s="3">
        <f>(Penalty[[#This Row],[disp_q4]]--0.0145666666666666)/-0.0145666666666666</f>
        <v>1.7615275963936066E-2</v>
      </c>
      <c r="O26" s="3">
        <f>(Penalty[[#This Row],[disp_q8]]--0.0145666666666666)/-0.0145666666666666</f>
        <v>2.526006686736406E-2</v>
      </c>
    </row>
    <row r="27" spans="1:15" x14ac:dyDescent="0.3">
      <c r="A27">
        <v>15</v>
      </c>
      <c r="B27">
        <v>11</v>
      </c>
      <c r="C27">
        <f>Penalty[[#This Row],[nxi]]*3</f>
        <v>33</v>
      </c>
      <c r="D27">
        <v>1536</v>
      </c>
      <c r="E27">
        <v>-1.4649217201563799E-2</v>
      </c>
      <c r="F27">
        <v>2578</v>
      </c>
      <c r="G27">
        <v>-1.4915233606336301E-2</v>
      </c>
      <c r="H27">
        <v>1536</v>
      </c>
      <c r="I27">
        <v>-1.47927880120402E-2</v>
      </c>
      <c r="J27">
        <v>2578</v>
      </c>
      <c r="K27">
        <v>-1.49111857648859E-2</v>
      </c>
      <c r="L27" s="3">
        <f>(Penalty[[#This Row],[disp_t3]]--0.0145666666666666)/-0.0145666666666666</f>
        <v>5.6670847755515225E-3</v>
      </c>
      <c r="M27" s="3">
        <f>(Penalty[[#This Row],[disp_t6]]--0.0145666666666666)/-0.0145666666666666</f>
        <v>2.3929080526524222E-2</v>
      </c>
      <c r="N27" s="3">
        <f>(Penalty[[#This Row],[disp_q4]]--0.0145666666666666)/-0.0145666666666666</f>
        <v>1.5523204487890267E-2</v>
      </c>
      <c r="O27" s="3">
        <f>(Penalty[[#This Row],[disp_q8]]--0.0145666666666666)/-0.0145666666666666</f>
        <v>2.3651196674093964E-2</v>
      </c>
    </row>
    <row r="28" spans="1:15" x14ac:dyDescent="0.3">
      <c r="A28">
        <v>15</v>
      </c>
      <c r="B28">
        <v>9</v>
      </c>
      <c r="C28">
        <f>Penalty[[#This Row],[nxi]]*3</f>
        <v>27</v>
      </c>
      <c r="D28">
        <v>1280</v>
      </c>
      <c r="E28">
        <v>-1.4550588646022E-2</v>
      </c>
      <c r="F28">
        <v>2138</v>
      </c>
      <c r="G28">
        <v>-1.4885699575799801E-2</v>
      </c>
      <c r="H28">
        <v>1280</v>
      </c>
      <c r="I28">
        <v>-1.47437317199387E-2</v>
      </c>
      <c r="J28">
        <v>2138</v>
      </c>
      <c r="K28">
        <v>-1.48813770249122E-2</v>
      </c>
      <c r="L28" s="3">
        <f>(Penalty[[#This Row],[disp_t3]]--0.0145666666666666)/-0.0145666666666666</f>
        <v>-1.1037542776613216E-3</v>
      </c>
      <c r="M28" s="3">
        <f>(Penalty[[#This Row],[disp_t6]]--0.0145666666666666)/-0.0145666666666666</f>
        <v>2.1901572709373193E-2</v>
      </c>
      <c r="N28" s="3">
        <f>(Penalty[[#This Row],[disp_q4]]--0.0145666666666666)/-0.0145666666666666</f>
        <v>1.2155495647970365E-2</v>
      </c>
      <c r="O28" s="3">
        <f>(Penalty[[#This Row],[disp_q8]]--0.0145666666666666)/-0.0145666666666666</f>
        <v>2.1604830085510458E-2</v>
      </c>
    </row>
    <row r="29" spans="1:15" x14ac:dyDescent="0.3">
      <c r="A29">
        <v>15</v>
      </c>
      <c r="B29">
        <v>8</v>
      </c>
      <c r="C29">
        <f>Penalty[[#This Row],[nxi]]*3</f>
        <v>24</v>
      </c>
      <c r="D29">
        <v>1152</v>
      </c>
      <c r="E29">
        <v>-1.4475977102675701E-2</v>
      </c>
      <c r="F29">
        <v>1918</v>
      </c>
      <c r="G29">
        <v>-1.4866837568721401E-2</v>
      </c>
      <c r="H29">
        <v>1152</v>
      </c>
      <c r="I29">
        <v>-1.4706709791893801E-2</v>
      </c>
      <c r="J29">
        <v>1918</v>
      </c>
      <c r="K29">
        <v>-1.48625792068268E-2</v>
      </c>
      <c r="L29" s="3">
        <f>(Penalty[[#This Row],[disp_t3]]--0.0145666666666666)/-0.0145666666666666</f>
        <v>-6.2258281915949136E-3</v>
      </c>
      <c r="M29" s="3">
        <f>(Penalty[[#This Row],[disp_t6]]--0.0145666666666666)/-0.0145666666666666</f>
        <v>2.06066980815654E-2</v>
      </c>
      <c r="N29" s="3">
        <f>(Penalty[[#This Row],[disp_q4]]--0.0145666666666666)/-0.0145666666666666</f>
        <v>9.6139445236065411E-3</v>
      </c>
      <c r="O29" s="3">
        <f>(Penalty[[#This Row],[disp_q8]]--0.0145666666666666)/-0.0145666666666666</f>
        <v>2.0314362024727795E-2</v>
      </c>
    </row>
    <row r="30" spans="1:15" x14ac:dyDescent="0.3">
      <c r="A30">
        <v>15</v>
      </c>
      <c r="B30">
        <v>7</v>
      </c>
      <c r="C30">
        <f>Penalty[[#This Row],[nxi]]*3</f>
        <v>21</v>
      </c>
      <c r="D30">
        <v>1024</v>
      </c>
      <c r="E30">
        <v>-1.4373137908001999E-2</v>
      </c>
      <c r="F30">
        <v>1698</v>
      </c>
      <c r="G30">
        <v>-1.4843726530425301E-2</v>
      </c>
      <c r="H30">
        <v>1024</v>
      </c>
      <c r="I30">
        <v>-1.46553788119168E-2</v>
      </c>
      <c r="J30">
        <v>1698</v>
      </c>
      <c r="K30">
        <v>-1.48396765913271E-2</v>
      </c>
      <c r="L30" s="3">
        <f>(Penalty[[#This Row],[disp_t3]]--0.0145666666666666)/-0.0145666666666666</f>
        <v>-1.3285727139446285E-2</v>
      </c>
      <c r="M30" s="3">
        <f>(Penalty[[#This Row],[disp_t6]]--0.0145666666666666)/-0.0145666666666666</f>
        <v>1.9020127946821692E-2</v>
      </c>
      <c r="N30" s="3">
        <f>(Penalty[[#This Row],[disp_q4]]--0.0145666666666666)/-0.0145666666666666</f>
        <v>6.090078621295238E-3</v>
      </c>
      <c r="O30" s="3">
        <f>(Penalty[[#This Row],[disp_q8]]--0.0145666666666666)/-0.0145666666666666</f>
        <v>1.8742100091109951E-2</v>
      </c>
    </row>
    <row r="31" spans="1:15" x14ac:dyDescent="0.3">
      <c r="A31">
        <v>15</v>
      </c>
      <c r="B31">
        <v>6</v>
      </c>
      <c r="C31">
        <f>Penalty[[#This Row],[nxi]]*3</f>
        <v>18</v>
      </c>
      <c r="D31">
        <v>896</v>
      </c>
      <c r="E31">
        <v>-1.4226264850282E-2</v>
      </c>
      <c r="F31">
        <v>1478</v>
      </c>
      <c r="G31">
        <v>-1.4814255301536799E-2</v>
      </c>
      <c r="H31">
        <v>896</v>
      </c>
      <c r="I31">
        <v>-1.45808530345701E-2</v>
      </c>
      <c r="J31">
        <v>1478</v>
      </c>
      <c r="K31">
        <v>-1.4810519970071E-2</v>
      </c>
      <c r="L31" s="3">
        <f>(Penalty[[#This Row],[disp_t3]]--0.0145666666666666)/-0.0145666666666666</f>
        <v>-2.3368545747226611E-2</v>
      </c>
      <c r="M31" s="3">
        <f>(Penalty[[#This Row],[disp_t6]]--0.0145666666666666)/-0.0145666666666666</f>
        <v>1.6996931455620201E-2</v>
      </c>
      <c r="N31" s="3">
        <f>(Penalty[[#This Row],[disp_q4]]--0.0145666666666666)/-0.0145666666666666</f>
        <v>9.7389253342108678E-4</v>
      </c>
      <c r="O31" s="3">
        <f>(Penalty[[#This Row],[disp_q8]]--0.0145666666666666)/-0.0145666666666666</f>
        <v>1.6740501377876579E-2</v>
      </c>
    </row>
    <row r="32" spans="1:15" x14ac:dyDescent="0.3">
      <c r="A32">
        <v>15</v>
      </c>
      <c r="B32">
        <v>5</v>
      </c>
      <c r="C32">
        <f>Penalty[[#This Row],[nxi]]*3</f>
        <v>15</v>
      </c>
      <c r="D32">
        <v>768</v>
      </c>
      <c r="E32">
        <v>-1.40077874612499E-2</v>
      </c>
      <c r="F32">
        <v>1258</v>
      </c>
      <c r="G32">
        <v>-1.47746503486257E-2</v>
      </c>
      <c r="H32">
        <v>768</v>
      </c>
      <c r="I32">
        <v>-1.4466112903619099E-2</v>
      </c>
      <c r="J32">
        <v>1258</v>
      </c>
      <c r="K32">
        <v>-1.4771474714233899E-2</v>
      </c>
      <c r="L32" s="3">
        <f>(Penalty[[#This Row],[disp_t3]]--0.0145666666666666)/-0.0145666666666666</f>
        <v>-3.8366993506867404E-2</v>
      </c>
      <c r="M32" s="3">
        <f>(Penalty[[#This Row],[disp_t6]]--0.0145666666666666)/-0.0145666666666666</f>
        <v>1.427805596973236E-2</v>
      </c>
      <c r="N32" s="3">
        <f>(Penalty[[#This Row],[disp_q4]]--0.0145666666666666)/-0.0145666666666666</f>
        <v>-6.903004328203689E-3</v>
      </c>
      <c r="O32" s="3">
        <f>(Penalty[[#This Row],[disp_q8]]--0.0145666666666666)/-0.0145666666666666</f>
        <v>1.4060049032080144E-2</v>
      </c>
    </row>
    <row r="33" spans="1:15" x14ac:dyDescent="0.3">
      <c r="A33">
        <v>15</v>
      </c>
      <c r="B33">
        <v>4</v>
      </c>
      <c r="C33">
        <f>Penalty[[#This Row],[nxi]]*3</f>
        <v>12</v>
      </c>
      <c r="D33">
        <v>640</v>
      </c>
      <c r="E33">
        <v>-1.36683751428303E-2</v>
      </c>
      <c r="F33">
        <v>1038</v>
      </c>
      <c r="G33">
        <v>-1.47177483104893E-2</v>
      </c>
      <c r="H33">
        <v>640</v>
      </c>
      <c r="I33">
        <v>-1.42756396220401E-2</v>
      </c>
      <c r="J33">
        <v>1038</v>
      </c>
      <c r="K33">
        <v>-1.47150329018695E-2</v>
      </c>
      <c r="L33" s="3">
        <f>(Penalty[[#This Row],[disp_t3]]--0.0145666666666666)/-0.0145666666666666</f>
        <v>-6.1667610332011707E-2</v>
      </c>
      <c r="M33" s="3">
        <f>(Penalty[[#This Row],[disp_t6]]--0.0145666666666666)/-0.0145666666666666</f>
        <v>1.0371737562199191E-2</v>
      </c>
      <c r="N33" s="3">
        <f>(Penalty[[#This Row],[disp_q4]]--0.0145666666666666)/-0.0145666666666666</f>
        <v>-1.9978973315320437E-2</v>
      </c>
      <c r="O33" s="3">
        <f>(Penalty[[#This Row],[disp_q8]]--0.0145666666666666)/-0.0145666666666666</f>
        <v>1.0185325071137417E-2</v>
      </c>
    </row>
    <row r="34" spans="1:15" x14ac:dyDescent="0.3">
      <c r="A34">
        <v>15</v>
      </c>
      <c r="B34">
        <v>3</v>
      </c>
      <c r="C34">
        <f>Penalty[[#This Row],[nxi]]*3</f>
        <v>9</v>
      </c>
      <c r="D34">
        <v>512</v>
      </c>
      <c r="E34">
        <v>-1.31225169892613E-2</v>
      </c>
      <c r="F34">
        <v>818</v>
      </c>
      <c r="G34">
        <v>-1.46298770030767E-2</v>
      </c>
      <c r="H34">
        <v>512</v>
      </c>
      <c r="I34">
        <v>-1.39283866037107E-2</v>
      </c>
      <c r="J34">
        <v>818</v>
      </c>
      <c r="K34">
        <v>-1.4628959795114801E-2</v>
      </c>
      <c r="L34" s="3">
        <f>(Penalty[[#This Row],[disp_t3]]--0.0145666666666666)/-0.0145666666666666</f>
        <v>-9.9140710119357364E-2</v>
      </c>
      <c r="M34" s="3">
        <f>(Penalty[[#This Row],[disp_t6]]--0.0145666666666666)/-0.0145666666666666</f>
        <v>4.3393823622494805E-3</v>
      </c>
      <c r="N34" s="3">
        <f>(Penalty[[#This Row],[disp_q4]]--0.0145666666666666)/-0.0145666666666666</f>
        <v>-4.3817853292167176E-2</v>
      </c>
      <c r="O34" s="3">
        <f>(Penalty[[#This Row],[disp_q8]]--0.0145666666666666)/-0.0145666666666666</f>
        <v>4.2764161406088153E-3</v>
      </c>
    </row>
    <row r="35" spans="1:15" x14ac:dyDescent="0.3">
      <c r="A35">
        <v>15</v>
      </c>
      <c r="B35">
        <v>2</v>
      </c>
      <c r="C35">
        <f>Penalty[[#This Row],[nxi]]*3</f>
        <v>6</v>
      </c>
      <c r="D35">
        <v>384</v>
      </c>
      <c r="E35">
        <v>-1.2269920035363299E-2</v>
      </c>
      <c r="F35">
        <v>598</v>
      </c>
      <c r="G35">
        <v>-1.4501701825285899E-2</v>
      </c>
      <c r="H35">
        <v>384</v>
      </c>
      <c r="I35">
        <v>-1.3241300213617401E-2</v>
      </c>
      <c r="J35">
        <v>598</v>
      </c>
      <c r="K35">
        <v>-1.4502465467965501E-2</v>
      </c>
      <c r="L35" s="3">
        <f>(Penalty[[#This Row],[disp_t3]]--0.0145666666666666)/-0.0145666666666666</f>
        <v>-0.15767139345331652</v>
      </c>
      <c r="M35" s="3">
        <f>(Penalty[[#This Row],[disp_t6]]--0.0145666666666666)/-0.0145666666666666</f>
        <v>-4.4598289277368751E-3</v>
      </c>
      <c r="N35" s="3">
        <f>(Penalty[[#This Row],[disp_q4]]--0.0145666666666666)/-0.0145666666666666</f>
        <v>-9.0986255358068965E-2</v>
      </c>
      <c r="O35" s="3">
        <f>(Penalty[[#This Row],[disp_q8]]--0.0145666666666666)/-0.0145666666666666</f>
        <v>-4.407404945155546E-3</v>
      </c>
    </row>
    <row r="36" spans="1:15" x14ac:dyDescent="0.3">
      <c r="A36">
        <v>11</v>
      </c>
      <c r="B36">
        <v>40</v>
      </c>
      <c r="C36">
        <f>Penalty[[#This Row],[nxi]]*3</f>
        <v>120</v>
      </c>
      <c r="D36">
        <v>3936</v>
      </c>
      <c r="E36">
        <v>-1.48417620536499E-2</v>
      </c>
      <c r="F36">
        <v>6678</v>
      </c>
      <c r="G36">
        <v>-1.51306173014489E-2</v>
      </c>
      <c r="H36">
        <v>3936</v>
      </c>
      <c r="I36">
        <v>-1.4912041260471401E-2</v>
      </c>
      <c r="J36">
        <v>6678</v>
      </c>
      <c r="K36">
        <v>-1.52035251004616E-2</v>
      </c>
      <c r="L36" s="3">
        <f>(Penalty[[#This Row],[disp_t3]]--0.0145666666666666)/-0.0145666666666666</f>
        <v>1.8885266840958953E-2</v>
      </c>
      <c r="M36" s="3">
        <f>(Penalty[[#This Row],[disp_t6]]--0.0145666666666666)/-0.0145666666666666</f>
        <v>3.8715146552560836E-2</v>
      </c>
      <c r="N36" s="3">
        <f>(Penalty[[#This Row],[disp_q4]]--0.0145666666666666)/-0.0145666666666666</f>
        <v>2.3709926348155799E-2</v>
      </c>
      <c r="O36" s="3">
        <f>(Penalty[[#This Row],[disp_q8]]--0.0145666666666666)/-0.0145666666666666</f>
        <v>4.3720258612929296E-2</v>
      </c>
    </row>
    <row r="37" spans="1:15" x14ac:dyDescent="0.3">
      <c r="A37">
        <v>11</v>
      </c>
      <c r="B37">
        <v>34</v>
      </c>
      <c r="C37">
        <f>Penalty[[#This Row],[nxi]]*3</f>
        <v>102</v>
      </c>
      <c r="D37">
        <v>3360</v>
      </c>
      <c r="E37">
        <v>-1.48311249365068E-2</v>
      </c>
      <c r="F37">
        <v>5694</v>
      </c>
      <c r="G37">
        <v>-1.5115450363300901E-2</v>
      </c>
      <c r="H37">
        <v>3360</v>
      </c>
      <c r="I37">
        <v>-1.4904387443302299E-2</v>
      </c>
      <c r="J37">
        <v>5694</v>
      </c>
      <c r="K37">
        <v>-1.5175248494507101E-2</v>
      </c>
      <c r="L37" s="3">
        <f>(Penalty[[#This Row],[disp_t3]]--0.0145666666666666)/-0.0145666666666666</f>
        <v>1.81550299661466E-2</v>
      </c>
      <c r="M37" s="3">
        <f>(Penalty[[#This Row],[disp_t6]]--0.0145666666666666)/-0.0145666666666666</f>
        <v>3.7673937984048313E-2</v>
      </c>
      <c r="N37" s="3">
        <f>(Penalty[[#This Row],[disp_q4]]--0.0145666666666666)/-0.0145666666666666</f>
        <v>2.318449267521978E-2</v>
      </c>
      <c r="O37" s="3">
        <f>(Penalty[[#This Row],[disp_q8]]--0.0145666666666666)/-0.0145666666666666</f>
        <v>4.1779072849462535E-2</v>
      </c>
    </row>
    <row r="38" spans="1:15" x14ac:dyDescent="0.3">
      <c r="A38">
        <v>11</v>
      </c>
      <c r="B38">
        <v>29</v>
      </c>
      <c r="C38">
        <f>Penalty[[#This Row],[nxi]]*3</f>
        <v>87</v>
      </c>
      <c r="D38">
        <v>2880</v>
      </c>
      <c r="E38">
        <v>-1.4818831810353299E-2</v>
      </c>
      <c r="F38">
        <v>4874</v>
      </c>
      <c r="G38">
        <v>-1.5098803017745599E-2</v>
      </c>
      <c r="H38">
        <v>2880</v>
      </c>
      <c r="I38">
        <v>-1.4896239889079101E-2</v>
      </c>
      <c r="J38">
        <v>4874</v>
      </c>
      <c r="K38">
        <v>-1.5145799528746401E-2</v>
      </c>
      <c r="L38" s="3">
        <f>(Penalty[[#This Row],[disp_t3]]--0.0145666666666666)/-0.0145666666666666</f>
        <v>1.7311108262244936E-2</v>
      </c>
      <c r="M38" s="3">
        <f>(Penalty[[#This Row],[disp_t6]]--0.0145666666666666)/-0.0145666666666666</f>
        <v>3.6531099616407492E-2</v>
      </c>
      <c r="N38" s="3">
        <f>(Penalty[[#This Row],[disp_q4]]--0.0145666666666666)/-0.0145666666666666</f>
        <v>2.2625164010011634E-2</v>
      </c>
      <c r="O38" s="3">
        <f>(Penalty[[#This Row],[disp_q8]]--0.0145666666666666)/-0.0145666666666666</f>
        <v>3.9757404719437339E-2</v>
      </c>
    </row>
    <row r="39" spans="1:15" x14ac:dyDescent="0.3">
      <c r="A39">
        <v>11</v>
      </c>
      <c r="B39">
        <v>24</v>
      </c>
      <c r="C39">
        <f>Penalty[[#This Row],[nxi]]*3</f>
        <v>72</v>
      </c>
      <c r="D39">
        <v>2400</v>
      </c>
      <c r="E39">
        <v>-1.48005914238737E-2</v>
      </c>
      <c r="F39">
        <v>4054</v>
      </c>
      <c r="G39">
        <v>-1.5076849332106601E-2</v>
      </c>
      <c r="H39">
        <v>2400</v>
      </c>
      <c r="I39">
        <v>-1.48851534573031E-2</v>
      </c>
      <c r="J39">
        <v>4054</v>
      </c>
      <c r="K39">
        <v>-1.510952936797E-2</v>
      </c>
      <c r="L39" s="3">
        <f>(Penalty[[#This Row],[disp_t3]]--0.0145666666666666)/-0.0145666666666666</f>
        <v>1.605890781742118E-2</v>
      </c>
      <c r="M39" s="3">
        <f>(Penalty[[#This Row],[disp_t6]]--0.0145666666666666)/-0.0145666666666666</f>
        <v>3.5023981609153571E-2</v>
      </c>
      <c r="N39" s="3">
        <f>(Penalty[[#This Row],[disp_q4]]--0.0145666666666666)/-0.0145666666666666</f>
        <v>2.1864081737059629E-2</v>
      </c>
      <c r="O39" s="3">
        <f>(Penalty[[#This Row],[disp_q8]]--0.0145666666666666)/-0.0145666666666666</f>
        <v>3.7267462332041403E-2</v>
      </c>
    </row>
    <row r="40" spans="1:15" x14ac:dyDescent="0.3">
      <c r="A40">
        <v>11</v>
      </c>
      <c r="B40">
        <v>21</v>
      </c>
      <c r="C40">
        <f>Penalty[[#This Row],[nxi]]*3</f>
        <v>63</v>
      </c>
      <c r="D40">
        <v>2112</v>
      </c>
      <c r="E40">
        <v>-1.47842790082169E-2</v>
      </c>
      <c r="F40">
        <v>3562</v>
      </c>
      <c r="G40">
        <v>-1.50599810961048E-2</v>
      </c>
      <c r="H40">
        <v>2112</v>
      </c>
      <c r="I40">
        <v>-1.48758541105158E-2</v>
      </c>
      <c r="J40">
        <v>3562</v>
      </c>
      <c r="K40">
        <v>-1.508366172886E-2</v>
      </c>
      <c r="L40" s="3">
        <f>(Penalty[[#This Row],[disp_t3]]--0.0145666666666666)/-0.0145666666666666</f>
        <v>1.4939062348990978E-2</v>
      </c>
      <c r="M40" s="3">
        <f>(Penalty[[#This Row],[disp_t6]]--0.0145666666666666)/-0.0145666666666666</f>
        <v>3.3865979137634034E-2</v>
      </c>
      <c r="N40" s="3">
        <f>(Penalty[[#This Row],[disp_q4]]--0.0145666666666666)/-0.0145666666666666</f>
        <v>2.1225682644110018E-2</v>
      </c>
      <c r="O40" s="3">
        <f>(Penalty[[#This Row],[disp_q8]]--0.0145666666666666)/-0.0145666666666666</f>
        <v>3.5491651866824014E-2</v>
      </c>
    </row>
    <row r="41" spans="1:15" x14ac:dyDescent="0.3">
      <c r="A41">
        <v>11</v>
      </c>
      <c r="B41">
        <v>18</v>
      </c>
      <c r="C41">
        <f>Penalty[[#This Row],[nxi]]*3</f>
        <v>54</v>
      </c>
      <c r="D41">
        <v>1824</v>
      </c>
      <c r="E41">
        <v>-1.47604656768745E-2</v>
      </c>
      <c r="F41">
        <v>3070</v>
      </c>
      <c r="G41">
        <v>-1.50390891001342E-2</v>
      </c>
      <c r="H41">
        <v>1824</v>
      </c>
      <c r="I41">
        <v>-1.4862837611508001E-2</v>
      </c>
      <c r="J41">
        <v>3070</v>
      </c>
      <c r="K41">
        <v>-1.5053900522593901E-2</v>
      </c>
      <c r="L41" s="3">
        <f>(Penalty[[#This Row],[disp_t3]]--0.0145666666666666)/-0.0145666666666666</f>
        <v>1.3304279876972615E-2</v>
      </c>
      <c r="M41" s="3">
        <f>(Penalty[[#This Row],[disp_t6]]--0.0145666666666666)/-0.0145666666666666</f>
        <v>3.2431746004640917E-2</v>
      </c>
      <c r="N41" s="3">
        <f>(Penalty[[#This Row],[disp_q4]]--0.0145666666666666)/-0.0145666666666666</f>
        <v>2.0332101476526507E-2</v>
      </c>
      <c r="O41" s="3">
        <f>(Penalty[[#This Row],[disp_q8]]--0.0145666666666666)/-0.0145666666666666</f>
        <v>3.3448548461828626E-2</v>
      </c>
    </row>
    <row r="42" spans="1:15" x14ac:dyDescent="0.3">
      <c r="A42">
        <v>11</v>
      </c>
      <c r="B42">
        <v>15</v>
      </c>
      <c r="C42">
        <f>Penalty[[#This Row],[nxi]]*3</f>
        <v>45</v>
      </c>
      <c r="D42">
        <v>1536</v>
      </c>
      <c r="E42">
        <v>-1.47229341018996E-2</v>
      </c>
      <c r="F42">
        <v>2578</v>
      </c>
      <c r="G42">
        <v>-1.50124368686353E-2</v>
      </c>
      <c r="H42">
        <v>1536</v>
      </c>
      <c r="I42">
        <v>-1.48430255319451E-2</v>
      </c>
      <c r="J42">
        <v>2578</v>
      </c>
      <c r="K42">
        <v>-1.50191009397781E-2</v>
      </c>
      <c r="L42" s="3">
        <f>(Penalty[[#This Row],[disp_t3]]--0.0145666666666666)/-0.0145666666666666</f>
        <v>1.0727741549176288E-2</v>
      </c>
      <c r="M42" s="3">
        <f>(Penalty[[#This Row],[disp_t6]]--0.0145666666666666)/-0.0145666666666666</f>
        <v>3.0602073361695813E-2</v>
      </c>
      <c r="N42" s="3">
        <f>(Penalty[[#This Row],[disp_q4]]--0.0145666666666666)/-0.0145666666666666</f>
        <v>1.8972004481361694E-2</v>
      </c>
      <c r="O42" s="3">
        <f>(Penalty[[#This Row],[disp_q8]]--0.0145666666666666)/-0.0145666666666666</f>
        <v>3.1059561083169498E-2</v>
      </c>
    </row>
    <row r="43" spans="1:15" x14ac:dyDescent="0.3">
      <c r="A43">
        <v>11</v>
      </c>
      <c r="B43">
        <v>13</v>
      </c>
      <c r="C43">
        <f>Penalty[[#This Row],[nxi]]*3</f>
        <v>39</v>
      </c>
      <c r="D43">
        <v>1344</v>
      </c>
      <c r="E43">
        <v>-1.46840181826521E-2</v>
      </c>
      <c r="F43">
        <v>2250</v>
      </c>
      <c r="G43">
        <v>-1.49900778776449E-2</v>
      </c>
      <c r="H43">
        <v>1344</v>
      </c>
      <c r="I43">
        <v>-1.48229651740805E-2</v>
      </c>
      <c r="J43">
        <v>2250</v>
      </c>
      <c r="K43">
        <v>-1.49920942335068E-2</v>
      </c>
      <c r="L43" s="3">
        <f>(Penalty[[#This Row],[disp_t3]]--0.0145666666666666)/-0.0145666666666666</f>
        <v>8.0561681454577559E-3</v>
      </c>
      <c r="M43" s="3">
        <f>(Penalty[[#This Row],[disp_t6]]--0.0145666666666666)/-0.0145666666666666</f>
        <v>2.9067131188441855E-2</v>
      </c>
      <c r="N43" s="3">
        <f>(Penalty[[#This Row],[disp_q4]]--0.0145666666666666)/-0.0145666666666666</f>
        <v>1.7594863209192377E-2</v>
      </c>
      <c r="O43" s="3">
        <f>(Penalty[[#This Row],[disp_q8]]--0.0145666666666666)/-0.0145666666666666</f>
        <v>2.9205553787656924E-2</v>
      </c>
    </row>
    <row r="44" spans="1:15" x14ac:dyDescent="0.3">
      <c r="A44">
        <v>11</v>
      </c>
      <c r="B44">
        <v>11</v>
      </c>
      <c r="C44">
        <f>Penalty[[#This Row],[nxi]]*3</f>
        <v>33</v>
      </c>
      <c r="D44">
        <v>1152</v>
      </c>
      <c r="E44">
        <v>-1.4624744084096799E-2</v>
      </c>
      <c r="F44">
        <v>1922</v>
      </c>
      <c r="G44">
        <v>-1.49623806720949E-2</v>
      </c>
      <c r="H44">
        <v>1152</v>
      </c>
      <c r="I44">
        <v>-1.4792901693510101E-2</v>
      </c>
      <c r="J44">
        <v>1922</v>
      </c>
      <c r="K44">
        <v>-1.4960677241364901E-2</v>
      </c>
      <c r="L44" s="3">
        <f>(Penalty[[#This Row],[disp_t3]]--0.0145666666666666)/-0.0145666666666666</f>
        <v>3.9870080615698059E-3</v>
      </c>
      <c r="M44" s="3">
        <f>(Penalty[[#This Row],[disp_t6]]--0.0145666666666666)/-0.0145666666666666</f>
        <v>2.7165721196450946E-2</v>
      </c>
      <c r="N44" s="3">
        <f>(Penalty[[#This Row],[disp_q4]]--0.0145666666666666)/-0.0145666666666666</f>
        <v>1.5531008707791926E-2</v>
      </c>
      <c r="O44" s="3">
        <f>(Penalty[[#This Row],[disp_q8]]--0.0145666666666666)/-0.0145666666666666</f>
        <v>2.7048780871737056E-2</v>
      </c>
    </row>
    <row r="45" spans="1:15" x14ac:dyDescent="0.3">
      <c r="A45">
        <v>11</v>
      </c>
      <c r="B45">
        <v>9</v>
      </c>
      <c r="C45">
        <f>Penalty[[#This Row],[nxi]]*3</f>
        <v>27</v>
      </c>
      <c r="D45">
        <v>960</v>
      </c>
      <c r="E45">
        <v>-1.45277237916065E-2</v>
      </c>
      <c r="F45">
        <v>1594</v>
      </c>
      <c r="G45">
        <v>-1.4926669643089301E-2</v>
      </c>
      <c r="H45">
        <v>960</v>
      </c>
      <c r="I45">
        <v>-1.47442194744411E-2</v>
      </c>
      <c r="J45">
        <v>1594</v>
      </c>
      <c r="K45">
        <v>-1.4922418135264501E-2</v>
      </c>
      <c r="L45" s="3">
        <f>(Penalty[[#This Row],[disp_t3]]--0.0145666666666666)/-0.0145666666666666</f>
        <v>-2.6734239171692922E-3</v>
      </c>
      <c r="M45" s="3">
        <f>(Penalty[[#This Row],[disp_t6]]--0.0145666666666666)/-0.0145666666666666</f>
        <v>2.4714163141146654E-2</v>
      </c>
      <c r="N45" s="3">
        <f>(Penalty[[#This Row],[disp_q4]]--0.0145666666666666)/-0.0145666666666666</f>
        <v>1.2188979938752988E-2</v>
      </c>
      <c r="O45" s="3">
        <f>(Penalty[[#This Row],[disp_q8]]--0.0145666666666666)/-0.0145666666666666</f>
        <v>2.4422297615416689E-2</v>
      </c>
    </row>
    <row r="46" spans="1:15" x14ac:dyDescent="0.3">
      <c r="A46">
        <v>11</v>
      </c>
      <c r="B46">
        <v>8</v>
      </c>
      <c r="C46">
        <f>Penalty[[#This Row],[nxi]]*3</f>
        <v>24</v>
      </c>
      <c r="D46">
        <v>864</v>
      </c>
      <c r="E46">
        <v>-1.44541681266397E-2</v>
      </c>
      <c r="F46">
        <v>1430</v>
      </c>
      <c r="G46">
        <v>-1.4904270580125299E-2</v>
      </c>
      <c r="H46">
        <v>864</v>
      </c>
      <c r="I46">
        <v>-1.47073502503477E-2</v>
      </c>
      <c r="J46">
        <v>1430</v>
      </c>
      <c r="K46">
        <v>-1.48992415383496E-2</v>
      </c>
      <c r="L46" s="3">
        <f>(Penalty[[#This Row],[disp_t3]]--0.0145666666666666)/-0.0145666666666666</f>
        <v>-7.7230119011601501E-3</v>
      </c>
      <c r="M46" s="3">
        <f>(Penalty[[#This Row],[disp_t6]]--0.0145666666666666)/-0.0145666666666666</f>
        <v>2.3176470031489801E-2</v>
      </c>
      <c r="N46" s="3">
        <f>(Penalty[[#This Row],[disp_q4]]--0.0145666666666666)/-0.0145666666666666</f>
        <v>9.6579119231877432E-3</v>
      </c>
      <c r="O46" s="3">
        <f>(Penalty[[#This Row],[disp_q8]]--0.0145666666666666)/-0.0145666666666666</f>
        <v>2.2831226888993274E-2</v>
      </c>
    </row>
    <row r="47" spans="1:15" x14ac:dyDescent="0.3">
      <c r="A47">
        <v>11</v>
      </c>
      <c r="B47">
        <v>7</v>
      </c>
      <c r="C47">
        <f>Penalty[[#This Row],[nxi]]*3</f>
        <v>21</v>
      </c>
      <c r="D47">
        <v>768</v>
      </c>
      <c r="E47">
        <v>-1.4352655455110599E-2</v>
      </c>
      <c r="F47">
        <v>1266</v>
      </c>
      <c r="G47">
        <v>-1.48773171442096E-2</v>
      </c>
      <c r="H47">
        <v>768</v>
      </c>
      <c r="I47">
        <v>-1.4656137188927399E-2</v>
      </c>
      <c r="J47">
        <v>1266</v>
      </c>
      <c r="K47">
        <v>-1.4871881065584E-2</v>
      </c>
      <c r="L47" s="3">
        <f>(Penalty[[#This Row],[disp_t3]]--0.0145666666666666)/-0.0145666666666666</f>
        <v>-1.4691845186910838E-2</v>
      </c>
      <c r="M47" s="3">
        <f>(Penalty[[#This Row],[disp_t6]]--0.0145666666666666)/-0.0145666666666666</f>
        <v>2.1326119739794203E-2</v>
      </c>
      <c r="N47" s="3">
        <f>(Penalty[[#This Row],[disp_q4]]--0.0145666666666666)/-0.0145666666666666</f>
        <v>6.1421411163020924E-3</v>
      </c>
      <c r="O47" s="3">
        <f>(Penalty[[#This Row],[disp_q8]]--0.0145666666666666)/-0.0145666666666666</f>
        <v>2.0952933564123713E-2</v>
      </c>
    </row>
    <row r="48" spans="1:15" x14ac:dyDescent="0.3">
      <c r="A48">
        <v>11</v>
      </c>
      <c r="B48">
        <v>6</v>
      </c>
      <c r="C48">
        <f>Penalty[[#This Row],[nxi]]*3</f>
        <v>18</v>
      </c>
      <c r="D48">
        <v>672</v>
      </c>
      <c r="E48">
        <v>-1.42075125577626E-2</v>
      </c>
      <c r="F48">
        <v>1102</v>
      </c>
      <c r="G48">
        <v>-1.4843702123585699E-2</v>
      </c>
      <c r="H48">
        <v>672</v>
      </c>
      <c r="I48">
        <v>-1.4581683179945499E-2</v>
      </c>
      <c r="J48">
        <v>1102</v>
      </c>
      <c r="K48">
        <v>-1.48381710095372E-2</v>
      </c>
      <c r="L48" s="3">
        <f>(Penalty[[#This Row],[disp_t3]]--0.0145666666666666)/-0.0145666666666666</f>
        <v>-2.465588848311218E-2</v>
      </c>
      <c r="M48" s="3">
        <f>(Penalty[[#This Row],[disp_t6]]--0.0145666666666666)/-0.0145666666666666</f>
        <v>1.9018452420075597E-2</v>
      </c>
      <c r="N48" s="3">
        <f>(Penalty[[#This Row],[disp_q4]]--0.0145666666666666)/-0.0145666666666666</f>
        <v>1.0308819184599539E-3</v>
      </c>
      <c r="O48" s="3">
        <f>(Penalty[[#This Row],[disp_q8]]--0.0145666666666666)/-0.0145666666666666</f>
        <v>1.8638742073496688E-2</v>
      </c>
    </row>
    <row r="49" spans="1:15" x14ac:dyDescent="0.3">
      <c r="A49">
        <v>11</v>
      </c>
      <c r="B49">
        <v>5</v>
      </c>
      <c r="C49">
        <f>Penalty[[#This Row],[nxi]]*3</f>
        <v>15</v>
      </c>
      <c r="D49">
        <v>576</v>
      </c>
      <c r="E49">
        <v>-1.39913705109182E-2</v>
      </c>
      <c r="F49">
        <v>938</v>
      </c>
      <c r="G49">
        <v>-1.47996632930559E-2</v>
      </c>
      <c r="H49">
        <v>576</v>
      </c>
      <c r="I49">
        <v>-1.4466953325080001E-2</v>
      </c>
      <c r="J49">
        <v>938</v>
      </c>
      <c r="K49">
        <v>-1.4794592314291199E-2</v>
      </c>
      <c r="L49" s="3">
        <f>(Penalty[[#This Row],[disp_t3]]--0.0145666666666666)/-0.0145666666666666</f>
        <v>-3.9494015268769042E-2</v>
      </c>
      <c r="M49" s="3">
        <f>(Penalty[[#This Row],[disp_t6]]--0.0145666666666666)/-0.0145666666666666</f>
        <v>1.5995191742972665E-2</v>
      </c>
      <c r="N49" s="3">
        <f>(Penalty[[#This Row],[disp_q4]]--0.0145666666666666)/-0.0145666666666666</f>
        <v>-6.8453094910708888E-3</v>
      </c>
      <c r="O49" s="3">
        <f>(Penalty[[#This Row],[disp_q8]]--0.0145666666666666)/-0.0145666666666666</f>
        <v>1.5647069630979487E-2</v>
      </c>
    </row>
    <row r="50" spans="1:15" x14ac:dyDescent="0.3">
      <c r="A50">
        <v>11</v>
      </c>
      <c r="B50">
        <v>4</v>
      </c>
      <c r="C50">
        <f>Penalty[[#This Row],[nxi]]*3</f>
        <v>12</v>
      </c>
      <c r="D50">
        <v>480</v>
      </c>
      <c r="E50">
        <v>-1.3655167562827E-2</v>
      </c>
      <c r="F50">
        <v>774</v>
      </c>
      <c r="G50">
        <v>-1.47380558031049E-2</v>
      </c>
      <c r="H50">
        <v>480</v>
      </c>
      <c r="I50">
        <v>-1.42764063335407E-2</v>
      </c>
      <c r="J50">
        <v>774</v>
      </c>
      <c r="K50">
        <v>-1.47333177353025E-2</v>
      </c>
      <c r="L50" s="3">
        <f>(Penalty[[#This Row],[disp_t3]]--0.0145666666666666)/-0.0145666666666666</f>
        <v>-6.2574309188073496E-2</v>
      </c>
      <c r="M50" s="3">
        <f>(Penalty[[#This Row],[disp_t6]]--0.0145666666666666)/-0.0145666666666666</f>
        <v>1.1765844606748397E-2</v>
      </c>
      <c r="N50" s="3">
        <f>(Penalty[[#This Row],[disp_q4]]--0.0145666666666666)/-0.0145666666666666</f>
        <v>-1.9926338658528622E-2</v>
      </c>
      <c r="O50" s="3">
        <f>(Penalty[[#This Row],[disp_q8]]--0.0145666666666666)/-0.0145666666666666</f>
        <v>1.1440576794226671E-2</v>
      </c>
    </row>
    <row r="51" spans="1:15" x14ac:dyDescent="0.3">
      <c r="A51">
        <v>11</v>
      </c>
      <c r="B51">
        <v>3</v>
      </c>
      <c r="C51">
        <f>Penalty[[#This Row],[nxi]]*3</f>
        <v>9</v>
      </c>
      <c r="D51">
        <v>384</v>
      </c>
      <c r="E51">
        <v>-1.31135759546609E-2</v>
      </c>
      <c r="F51">
        <v>610</v>
      </c>
      <c r="G51">
        <v>-1.4645221586635299E-2</v>
      </c>
      <c r="H51">
        <v>384</v>
      </c>
      <c r="I51">
        <v>-1.3928952176438801E-2</v>
      </c>
      <c r="J51">
        <v>610</v>
      </c>
      <c r="K51">
        <v>-1.46431234549906E-2</v>
      </c>
      <c r="L51" s="3">
        <f>(Penalty[[#This Row],[disp_t3]]--0.0145666666666666)/-0.0145666666666666</f>
        <v>-9.9754511121673217E-2</v>
      </c>
      <c r="M51" s="3">
        <f>(Penalty[[#This Row],[disp_t6]]--0.0145666666666666)/-0.0145666666666666</f>
        <v>5.3927862678741639E-3</v>
      </c>
      <c r="N51" s="3">
        <f>(Penalty[[#This Row],[disp_q4]]--0.0145666666666666)/-0.0145666666666666</f>
        <v>-4.3779026789093928E-2</v>
      </c>
      <c r="O51" s="3">
        <f>(Penalty[[#This Row],[disp_q8]]--0.0145666666666666)/-0.0145666666666666</f>
        <v>5.2487497705263828E-3</v>
      </c>
    </row>
    <row r="52" spans="1:15" x14ac:dyDescent="0.3">
      <c r="A52">
        <v>11</v>
      </c>
      <c r="B52">
        <v>2</v>
      </c>
      <c r="C52">
        <f>Penalty[[#This Row],[nxi]]*3</f>
        <v>6</v>
      </c>
      <c r="D52">
        <v>288</v>
      </c>
      <c r="E52">
        <v>-1.2265769749549099E-2</v>
      </c>
      <c r="F52">
        <v>446</v>
      </c>
      <c r="G52">
        <v>-1.45118464705008E-2</v>
      </c>
      <c r="H52">
        <v>288</v>
      </c>
      <c r="I52">
        <v>-1.32414727066952E-2</v>
      </c>
      <c r="J52">
        <v>446</v>
      </c>
      <c r="K52">
        <v>-1.4510570668578001E-2</v>
      </c>
      <c r="L52" s="3">
        <f>(Penalty[[#This Row],[disp_t3]]--0.0145666666666666)/-0.0145666666666666</f>
        <v>-0.15795631009960029</v>
      </c>
      <c r="M52" s="3">
        <f>(Penalty[[#This Row],[disp_t6]]--0.0145666666666666)/-0.0145666666666666</f>
        <v>-3.7634001944484921E-3</v>
      </c>
      <c r="N52" s="3">
        <f>(Penalty[[#This Row],[disp_q4]]--0.0145666666666666)/-0.0145666666666666</f>
        <v>-9.0974413728014139E-2</v>
      </c>
      <c r="O52" s="3">
        <f>(Penalty[[#This Row],[disp_q8]]--0.0145666666666666)/-0.0145666666666666</f>
        <v>-3.8509838504758994E-3</v>
      </c>
    </row>
    <row r="53" spans="1:15" x14ac:dyDescent="0.3">
      <c r="A53">
        <v>9</v>
      </c>
      <c r="B53">
        <v>40</v>
      </c>
      <c r="C53">
        <f>Penalty[[#This Row],[nxi]]*3</f>
        <v>120</v>
      </c>
      <c r="D53">
        <v>3280</v>
      </c>
      <c r="E53">
        <v>-1.48264541776455E-2</v>
      </c>
      <c r="F53">
        <v>5538</v>
      </c>
      <c r="G53">
        <v>-1.52081339545048E-2</v>
      </c>
      <c r="H53">
        <v>3280</v>
      </c>
      <c r="I53">
        <v>-1.49262543874623E-2</v>
      </c>
      <c r="J53">
        <v>5538</v>
      </c>
      <c r="K53">
        <v>-1.53191316622656E-2</v>
      </c>
      <c r="L53" s="3">
        <f>(Penalty[[#This Row],[disp_t3]]--0.0145666666666666)/-0.0145666666666666</f>
        <v>1.783438290473011E-2</v>
      </c>
      <c r="M53" s="3">
        <f>(Penalty[[#This Row],[disp_t6]]--0.0145666666666666)/-0.0145666666666666</f>
        <v>4.4036655915666169E-2</v>
      </c>
      <c r="N53" s="3">
        <f>(Penalty[[#This Row],[disp_q4]]--0.0145666666666666)/-0.0145666666666666</f>
        <v>2.4685655889865148E-2</v>
      </c>
      <c r="O53" s="3">
        <f>(Penalty[[#This Row],[disp_q8]]--0.0145666666666666)/-0.0145666666666666</f>
        <v>5.1656635853478523E-2</v>
      </c>
    </row>
    <row r="54" spans="1:15" x14ac:dyDescent="0.3">
      <c r="A54">
        <v>9</v>
      </c>
      <c r="B54">
        <v>34</v>
      </c>
      <c r="C54">
        <f>Penalty[[#This Row],[nxi]]*3</f>
        <v>102</v>
      </c>
      <c r="D54">
        <v>2800</v>
      </c>
      <c r="E54">
        <v>-1.48134613845713E-2</v>
      </c>
      <c r="F54">
        <v>4722</v>
      </c>
      <c r="G54">
        <v>-1.51909250086347E-2</v>
      </c>
      <c r="H54">
        <v>2800</v>
      </c>
      <c r="I54">
        <v>-1.49160995360475E-2</v>
      </c>
      <c r="J54">
        <v>4722</v>
      </c>
      <c r="K54">
        <v>-1.5286808525318199E-2</v>
      </c>
      <c r="L54" s="3">
        <f>(Penalty[[#This Row],[disp_t3]]--0.0145666666666666)/-0.0145666666666666</f>
        <v>1.6942429146775878E-2</v>
      </c>
      <c r="M54" s="3">
        <f>(Penalty[[#This Row],[disp_t6]]--0.0145666666666666)/-0.0145666666666666</f>
        <v>4.2855263750670711E-2</v>
      </c>
      <c r="N54" s="3">
        <f>(Penalty[[#This Row],[disp_q4]]--0.0145666666666666)/-0.0145666666666666</f>
        <v>2.3988526502121448E-2</v>
      </c>
      <c r="O54" s="3">
        <f>(Penalty[[#This Row],[disp_q8]]--0.0145666666666666)/-0.0145666666666666</f>
        <v>4.9437656200338902E-2</v>
      </c>
    </row>
    <row r="55" spans="1:15" x14ac:dyDescent="0.3">
      <c r="A55">
        <v>9</v>
      </c>
      <c r="B55">
        <v>29</v>
      </c>
      <c r="C55">
        <f>Penalty[[#This Row],[nxi]]*3</f>
        <v>87</v>
      </c>
      <c r="D55">
        <v>2400</v>
      </c>
      <c r="E55">
        <v>-1.47987785719091E-2</v>
      </c>
      <c r="F55">
        <v>4042</v>
      </c>
      <c r="G55">
        <v>-1.51713256351082E-2</v>
      </c>
      <c r="H55">
        <v>2400</v>
      </c>
      <c r="I55">
        <v>-1.49053152497426E-2</v>
      </c>
      <c r="J55">
        <v>4042</v>
      </c>
      <c r="K55">
        <v>-1.52515242883156E-2</v>
      </c>
      <c r="L55" s="3">
        <f>(Penalty[[#This Row],[disp_t3]]--0.0145666666666666)/-0.0145666666666666</f>
        <v>1.5934455737471528E-2</v>
      </c>
      <c r="M55" s="3">
        <f>(Penalty[[#This Row],[disp_t6]]--0.0145666666666666)/-0.0145666666666666</f>
        <v>4.1509769000567728E-2</v>
      </c>
      <c r="N55" s="3">
        <f>(Penalty[[#This Row],[disp_q4]]--0.0145666666666666)/-0.0145666666666666</f>
        <v>2.3248186481190113E-2</v>
      </c>
      <c r="O55" s="3">
        <f>(Penalty[[#This Row],[disp_q8]]--0.0145666666666666)/-0.0145666666666666</f>
        <v>4.7015397367208465E-2</v>
      </c>
    </row>
    <row r="56" spans="1:15" x14ac:dyDescent="0.3">
      <c r="A56">
        <v>9</v>
      </c>
      <c r="B56">
        <v>24</v>
      </c>
      <c r="C56">
        <f>Penalty[[#This Row],[nxi]]*3</f>
        <v>72</v>
      </c>
      <c r="D56">
        <v>2000</v>
      </c>
      <c r="E56">
        <v>-1.47781014789928E-2</v>
      </c>
      <c r="F56">
        <v>3362</v>
      </c>
      <c r="G56">
        <v>-1.5145139102821101E-2</v>
      </c>
      <c r="H56">
        <v>2000</v>
      </c>
      <c r="I56">
        <v>-1.48913963230996E-2</v>
      </c>
      <c r="J56">
        <v>3362</v>
      </c>
      <c r="K56">
        <v>-1.5206465391779301E-2</v>
      </c>
      <c r="L56" s="3">
        <f>(Penalty[[#This Row],[disp_t3]]--0.0145666666666666)/-0.0145666666666666</f>
        <v>1.4514975674567642E-2</v>
      </c>
      <c r="M56" s="3">
        <f>(Penalty[[#This Row],[disp_t6]]--0.0145666666666666)/-0.0145666666666666</f>
        <v>3.9712066555229117E-2</v>
      </c>
      <c r="N56" s="3">
        <f>(Penalty[[#This Row],[disp_q4]]--0.0145666666666666)/-0.0145666666666666</f>
        <v>2.2292653759702689E-2</v>
      </c>
      <c r="O56" s="3">
        <f>(Penalty[[#This Row],[disp_q8]]--0.0145666666666666)/-0.0145666666666666</f>
        <v>4.3922109275471681E-2</v>
      </c>
    </row>
    <row r="57" spans="1:15" x14ac:dyDescent="0.3">
      <c r="A57">
        <v>9</v>
      </c>
      <c r="B57">
        <v>21</v>
      </c>
      <c r="C57">
        <f>Penalty[[#This Row],[nxi]]*3</f>
        <v>63</v>
      </c>
      <c r="D57">
        <v>1760</v>
      </c>
      <c r="E57">
        <v>-1.47605536099428E-2</v>
      </c>
      <c r="F57">
        <v>2954</v>
      </c>
      <c r="G57">
        <v>-1.51250638899875E-2</v>
      </c>
      <c r="H57">
        <v>1760</v>
      </c>
      <c r="I57">
        <v>-1.48805294716584E-2</v>
      </c>
      <c r="J57">
        <v>2954</v>
      </c>
      <c r="K57">
        <v>-1.5173580368893399E-2</v>
      </c>
      <c r="L57" s="3">
        <f>(Penalty[[#This Row],[disp_t3]]--0.0145666666666666)/-0.0145666666666666</f>
        <v>1.3310316472050471E-2</v>
      </c>
      <c r="M57" s="3">
        <f>(Penalty[[#This Row],[disp_t6]]--0.0145666666666666)/-0.0145666666666666</f>
        <v>3.83339054911375E-2</v>
      </c>
      <c r="N57" s="3">
        <f>(Penalty[[#This Row],[disp_q4]]--0.0145666666666666)/-0.0145666666666666</f>
        <v>2.1546645651611115E-2</v>
      </c>
      <c r="O57" s="3">
        <f>(Penalty[[#This Row],[disp_q8]]--0.0145666666666666)/-0.0145666666666666</f>
        <v>4.1664556216942976E-2</v>
      </c>
    </row>
    <row r="58" spans="1:15" x14ac:dyDescent="0.3">
      <c r="A58">
        <v>9</v>
      </c>
      <c r="B58">
        <v>18</v>
      </c>
      <c r="C58">
        <f>Penalty[[#This Row],[nxi]]*3</f>
        <v>54</v>
      </c>
      <c r="D58">
        <v>1520</v>
      </c>
      <c r="E58">
        <v>-1.47358976416596E-2</v>
      </c>
      <c r="F58">
        <v>2546</v>
      </c>
      <c r="G58">
        <v>-1.5100374333540299E-2</v>
      </c>
      <c r="H58">
        <v>1520</v>
      </c>
      <c r="I58">
        <v>-1.4866232690263799E-2</v>
      </c>
      <c r="J58">
        <v>2546</v>
      </c>
      <c r="K58">
        <v>-1.5135281222067601E-2</v>
      </c>
      <c r="L58" s="3">
        <f>(Penalty[[#This Row],[disp_t3]]--0.0145666666666666)/-0.0145666666666666</f>
        <v>1.1617687070457764E-2</v>
      </c>
      <c r="M58" s="3">
        <f>(Penalty[[#This Row],[disp_t6]]--0.0145666666666666)/-0.0145666666666666</f>
        <v>3.663897026592923E-2</v>
      </c>
      <c r="N58" s="3">
        <f>(Penalty[[#This Row],[disp_q4]]--0.0145666666666666)/-0.0145666666666666</f>
        <v>2.0565173244659132E-2</v>
      </c>
      <c r="O58" s="3">
        <f>(Penalty[[#This Row],[disp_q8]]--0.0145666666666666)/-0.0145666666666666</f>
        <v>3.9035324169405319E-2</v>
      </c>
    </row>
    <row r="59" spans="1:15" x14ac:dyDescent="0.3">
      <c r="A59">
        <v>9</v>
      </c>
      <c r="B59">
        <v>15</v>
      </c>
      <c r="C59">
        <f>Penalty[[#This Row],[nxi]]*3</f>
        <v>45</v>
      </c>
      <c r="D59">
        <v>1280</v>
      </c>
      <c r="E59">
        <v>-1.46981241404847E-2</v>
      </c>
      <c r="F59">
        <v>2138</v>
      </c>
      <c r="G59">
        <v>-1.50691126357332E-2</v>
      </c>
      <c r="H59">
        <v>1280</v>
      </c>
      <c r="I59">
        <v>-1.48455649376882E-2</v>
      </c>
      <c r="J59">
        <v>2138</v>
      </c>
      <c r="K59">
        <v>-1.5090287255986301E-2</v>
      </c>
      <c r="L59" s="3">
        <f>(Penalty[[#This Row],[disp_t3]]--0.0145666666666666)/-0.0145666666666666</f>
        <v>9.0245405367117698E-3</v>
      </c>
      <c r="M59" s="3">
        <f>(Penalty[[#This Row],[disp_t6]]--0.0145666666666666)/-0.0145666666666666</f>
        <v>3.4492858288325115E-2</v>
      </c>
      <c r="N59" s="3">
        <f>(Penalty[[#This Row],[disp_q4]]--0.0145666666666666)/-0.0145666666666666</f>
        <v>1.9146334395075647E-2</v>
      </c>
      <c r="O59" s="3">
        <f>(Penalty[[#This Row],[disp_q8]]--0.0145666666666666)/-0.0145666666666666</f>
        <v>3.5946493545975088E-2</v>
      </c>
    </row>
    <row r="60" spans="1:15" x14ac:dyDescent="0.3">
      <c r="A60">
        <v>9</v>
      </c>
      <c r="B60">
        <v>13</v>
      </c>
      <c r="C60">
        <f>Penalty[[#This Row],[nxi]]*3</f>
        <v>39</v>
      </c>
      <c r="D60">
        <v>1120</v>
      </c>
      <c r="E60">
        <v>-1.46594845895704E-2</v>
      </c>
      <c r="F60">
        <v>1866</v>
      </c>
      <c r="G60">
        <v>-1.50430035419173E-2</v>
      </c>
      <c r="H60">
        <v>1120</v>
      </c>
      <c r="I60">
        <v>-1.4825197971580399E-2</v>
      </c>
      <c r="J60">
        <v>1866</v>
      </c>
      <c r="K60">
        <v>-1.50555363177775E-2</v>
      </c>
      <c r="L60" s="3">
        <f>(Penalty[[#This Row],[disp_t3]]--0.0145666666666666)/-0.0145666666666666</f>
        <v>6.3719397874462879E-3</v>
      </c>
      <c r="M60" s="3">
        <f>(Penalty[[#This Row],[disp_t6]]--0.0145666666666666)/-0.0145666666666666</f>
        <v>3.2700471985174125E-2</v>
      </c>
      <c r="N60" s="3">
        <f>(Penalty[[#This Row],[disp_q4]]--0.0145666666666666)/-0.0145666666666666</f>
        <v>1.7748144502091626E-2</v>
      </c>
      <c r="O60" s="3">
        <f>(Penalty[[#This Row],[disp_q8]]--0.0145666666666666)/-0.0145666666666666</f>
        <v>3.3560845614020798E-2</v>
      </c>
    </row>
    <row r="61" spans="1:15" x14ac:dyDescent="0.3">
      <c r="A61">
        <v>9</v>
      </c>
      <c r="B61">
        <v>11</v>
      </c>
      <c r="C61">
        <f>Penalty[[#This Row],[nxi]]*3</f>
        <v>33</v>
      </c>
      <c r="D61">
        <v>960</v>
      </c>
      <c r="E61">
        <v>-1.4600924344681699E-2</v>
      </c>
      <c r="F61">
        <v>1594</v>
      </c>
      <c r="G61">
        <v>-1.50107560816249E-2</v>
      </c>
      <c r="H61">
        <v>960</v>
      </c>
      <c r="I61">
        <v>-1.4795012574454499E-2</v>
      </c>
      <c r="J61">
        <v>1594</v>
      </c>
      <c r="K61">
        <v>-1.5015638847985501E-2</v>
      </c>
      <c r="L61" s="3">
        <f>(Penalty[[#This Row],[disp_t3]]--0.0145666666666666)/-0.0145666666666666</f>
        <v>2.3517856760938327E-3</v>
      </c>
      <c r="M61" s="3">
        <f>(Penalty[[#This Row],[disp_t6]]--0.0145666666666666)/-0.0145666666666666</f>
        <v>3.0486687525741581E-2</v>
      </c>
      <c r="N61" s="3">
        <f>(Penalty[[#This Row],[disp_q4]]--0.0145666666666666)/-0.0145666666666666</f>
        <v>1.5675920443105337E-2</v>
      </c>
      <c r="O61" s="3">
        <f>(Penalty[[#This Row],[disp_q8]]--0.0145666666666666)/-0.0145666666666666</f>
        <v>3.0821888877727931E-2</v>
      </c>
    </row>
    <row r="62" spans="1:15" x14ac:dyDescent="0.3">
      <c r="A62">
        <v>9</v>
      </c>
      <c r="B62">
        <v>9</v>
      </c>
      <c r="C62">
        <f>Penalty[[#This Row],[nxi]]*3</f>
        <v>27</v>
      </c>
      <c r="D62">
        <v>800</v>
      </c>
      <c r="E62">
        <v>-1.45051989737012E-2</v>
      </c>
      <c r="F62">
        <v>1322</v>
      </c>
      <c r="G62">
        <v>-1.49694089127296E-2</v>
      </c>
      <c r="H62">
        <v>800</v>
      </c>
      <c r="I62">
        <v>-1.47463276254083E-2</v>
      </c>
      <c r="J62">
        <v>1322</v>
      </c>
      <c r="K62">
        <v>-1.4968227115155301E-2</v>
      </c>
      <c r="L62" s="3">
        <f>(Penalty[[#This Row],[disp_t3]]--0.0145666666666666)/-0.0145666666666666</f>
        <v>-4.2197500891578742E-3</v>
      </c>
      <c r="M62" s="3">
        <f>(Penalty[[#This Row],[disp_t6]]--0.0145666666666666)/-0.0145666666666666</f>
        <v>2.7648209111876619E-2</v>
      </c>
      <c r="N62" s="3">
        <f>(Penalty[[#This Row],[disp_q4]]--0.0145666666666666)/-0.0145666666666666</f>
        <v>1.2333704261444027E-2</v>
      </c>
      <c r="O62" s="3">
        <f>(Penalty[[#This Row],[disp_q8]]--0.0145666666666666)/-0.0145666666666666</f>
        <v>2.756707884361808E-2</v>
      </c>
    </row>
    <row r="63" spans="1:15" x14ac:dyDescent="0.3">
      <c r="A63">
        <v>9</v>
      </c>
      <c r="B63">
        <v>8</v>
      </c>
      <c r="C63">
        <f>Penalty[[#This Row],[nxi]]*3</f>
        <v>24</v>
      </c>
      <c r="D63">
        <v>720</v>
      </c>
      <c r="E63">
        <v>-1.44326033649972E-2</v>
      </c>
      <c r="F63">
        <v>1186</v>
      </c>
      <c r="G63">
        <v>-1.49436934609757E-2</v>
      </c>
      <c r="H63">
        <v>720</v>
      </c>
      <c r="I63">
        <v>-1.47094712682231E-2</v>
      </c>
      <c r="J63">
        <v>1186</v>
      </c>
      <c r="K63">
        <v>-1.49402541305071E-2</v>
      </c>
      <c r="L63" s="3">
        <f>(Penalty[[#This Row],[disp_t3]]--0.0145666666666666)/-0.0145666666666666</f>
        <v>-9.2034303205538025E-3</v>
      </c>
      <c r="M63" s="3">
        <f>(Penalty[[#This Row],[disp_t6]]--0.0145666666666666)/-0.0145666666666666</f>
        <v>2.5882846291242694E-2</v>
      </c>
      <c r="N63" s="3">
        <f>(Penalty[[#This Row],[disp_q4]]--0.0145666666666666)/-0.0145666666666666</f>
        <v>9.8035195576545511E-3</v>
      </c>
      <c r="O63" s="3">
        <f>(Penalty[[#This Row],[disp_q8]]--0.0145666666666666)/-0.0145666666666666</f>
        <v>2.5646736648089405E-2</v>
      </c>
    </row>
    <row r="64" spans="1:15" x14ac:dyDescent="0.3">
      <c r="A64">
        <v>9</v>
      </c>
      <c r="B64">
        <v>7</v>
      </c>
      <c r="C64">
        <f>Penalty[[#This Row],[nxi]]*3</f>
        <v>21</v>
      </c>
      <c r="D64">
        <v>640</v>
      </c>
      <c r="E64">
        <v>-1.4332358835323199E-2</v>
      </c>
      <c r="F64">
        <v>1050</v>
      </c>
      <c r="G64">
        <v>-1.49130505830684E-2</v>
      </c>
      <c r="H64">
        <v>640</v>
      </c>
      <c r="I64">
        <v>-1.46582592315001E-2</v>
      </c>
      <c r="J64">
        <v>1050</v>
      </c>
      <c r="K64">
        <v>-1.49079789703833E-2</v>
      </c>
      <c r="L64" s="3">
        <f>(Penalty[[#This Row],[disp_t3]]--0.0145666666666666)/-0.0145666666666666</f>
        <v>-1.6085205813048124E-2</v>
      </c>
      <c r="M64" s="3">
        <f>(Penalty[[#This Row],[disp_t6]]--0.0145666666666666)/-0.0145666666666666</f>
        <v>2.3779216228956658E-2</v>
      </c>
      <c r="N64" s="3">
        <f>(Penalty[[#This Row],[disp_q4]]--0.0145666666666666)/-0.0145666666666666</f>
        <v>6.2878190961213705E-3</v>
      </c>
      <c r="O64" s="3">
        <f>(Penalty[[#This Row],[disp_q8]]--0.0145666666666666)/-0.0145666666666666</f>
        <v>2.3431050598400633E-2</v>
      </c>
    </row>
    <row r="65" spans="1:15" x14ac:dyDescent="0.3">
      <c r="A65">
        <v>9</v>
      </c>
      <c r="B65">
        <v>6</v>
      </c>
      <c r="C65">
        <f>Penalty[[#This Row],[nxi]]*3</f>
        <v>18</v>
      </c>
      <c r="D65">
        <v>560</v>
      </c>
      <c r="E65">
        <v>-1.41889235481768E-2</v>
      </c>
      <c r="F65">
        <v>914</v>
      </c>
      <c r="G65">
        <v>-1.4875352144775899E-2</v>
      </c>
      <c r="H65">
        <v>560</v>
      </c>
      <c r="I65">
        <v>-1.45837730593201E-2</v>
      </c>
      <c r="J65">
        <v>914</v>
      </c>
      <c r="K65">
        <v>-1.4869228021713801E-2</v>
      </c>
      <c r="L65" s="3">
        <f>(Penalty[[#This Row],[disp_t3]]--0.0145666666666666)/-0.0145666666666666</f>
        <v>-2.5932021864288408E-2</v>
      </c>
      <c r="M65" s="3">
        <f>(Penalty[[#This Row],[disp_t6]]--0.0145666666666666)/-0.0145666666666666</f>
        <v>2.119122275349895E-2</v>
      </c>
      <c r="N65" s="3">
        <f>(Penalty[[#This Row],[disp_q4]]--0.0145666666666666)/-0.0145666666666666</f>
        <v>1.1743518984096918E-3</v>
      </c>
      <c r="O65" s="3">
        <f>(Penalty[[#This Row],[disp_q8]]--0.0145666666666666)/-0.0145666666666666</f>
        <v>2.0770802405986468E-2</v>
      </c>
    </row>
    <row r="66" spans="1:15" x14ac:dyDescent="0.3">
      <c r="A66">
        <v>9</v>
      </c>
      <c r="B66">
        <v>5</v>
      </c>
      <c r="C66">
        <f>Penalty[[#This Row],[nxi]]*3</f>
        <v>15</v>
      </c>
      <c r="D66">
        <v>480</v>
      </c>
      <c r="E66">
        <v>-1.3975128833843701E-2</v>
      </c>
      <c r="F66">
        <v>778</v>
      </c>
      <c r="G66">
        <v>-1.4826824533210501E-2</v>
      </c>
      <c r="H66">
        <v>480</v>
      </c>
      <c r="I66">
        <v>-1.44689480231512E-2</v>
      </c>
      <c r="J66">
        <v>778</v>
      </c>
      <c r="K66">
        <v>-1.4820598887922099E-2</v>
      </c>
      <c r="L66" s="3">
        <f>(Penalty[[#This Row],[disp_t3]]--0.0145666666666666)/-0.0145666666666666</f>
        <v>-4.0609004541617956E-2</v>
      </c>
      <c r="M66" s="3">
        <f>(Penalty[[#This Row],[disp_t6]]--0.0145666666666666)/-0.0145666666666666</f>
        <v>1.7859807771892621E-2</v>
      </c>
      <c r="N66" s="3">
        <f>(Penalty[[#This Row],[disp_q4]]--0.0145666666666666)/-0.0145666666666666</f>
        <v>-6.7083736967093492E-3</v>
      </c>
      <c r="O66" s="3">
        <f>(Penalty[[#This Row],[disp_q8]]--0.0145666666666666)/-0.0145666666666666</f>
        <v>1.7432417935160274E-2</v>
      </c>
    </row>
    <row r="67" spans="1:15" x14ac:dyDescent="0.3">
      <c r="A67">
        <v>9</v>
      </c>
      <c r="B67">
        <v>4</v>
      </c>
      <c r="C67">
        <f>Penalty[[#This Row],[nxi]]*3</f>
        <v>12</v>
      </c>
      <c r="D67">
        <v>400</v>
      </c>
      <c r="E67">
        <v>-1.3642176741172501E-2</v>
      </c>
      <c r="F67">
        <v>642</v>
      </c>
      <c r="G67">
        <v>-1.47603187089149E-2</v>
      </c>
      <c r="H67">
        <v>400</v>
      </c>
      <c r="I67">
        <v>-1.42781963745559E-2</v>
      </c>
      <c r="J67">
        <v>642</v>
      </c>
      <c r="K67">
        <v>-1.4753932373014899E-2</v>
      </c>
      <c r="L67" s="3">
        <f>(Penalty[[#This Row],[disp_t3]]--0.0145666666666666)/-0.0145666666666666</f>
        <v>-6.3466127608290818E-2</v>
      </c>
      <c r="M67" s="3">
        <f>(Penalty[[#This Row],[disp_t6]]--0.0145666666666666)/-0.0145666666666666</f>
        <v>1.3294190543361693E-2</v>
      </c>
      <c r="N67" s="3">
        <f>(Penalty[[#This Row],[disp_q4]]--0.0145666666666666)/-0.0145666666666666</f>
        <v>-1.9803452547645348E-2</v>
      </c>
      <c r="O67" s="3">
        <f>(Penalty[[#This Row],[disp_q8]]--0.0145666666666666)/-0.0145666666666666</f>
        <v>1.2855769314528663E-2</v>
      </c>
    </row>
    <row r="68" spans="1:15" x14ac:dyDescent="0.3">
      <c r="A68">
        <v>9</v>
      </c>
      <c r="B68">
        <v>3</v>
      </c>
      <c r="C68">
        <f>Penalty[[#This Row],[nxi]]*3</f>
        <v>9</v>
      </c>
      <c r="D68">
        <v>320</v>
      </c>
      <c r="E68">
        <v>-1.31049018893489E-2</v>
      </c>
      <c r="F68">
        <v>506</v>
      </c>
      <c r="G68">
        <v>-1.46621632843807E-2</v>
      </c>
      <c r="H68">
        <v>320</v>
      </c>
      <c r="I68">
        <v>-1.39303444731544E-2</v>
      </c>
      <c r="J68">
        <v>506</v>
      </c>
      <c r="K68">
        <v>-1.46590518280044E-2</v>
      </c>
      <c r="L68" s="3">
        <f>(Penalty[[#This Row],[disp_t3]]--0.0145666666666666)/-0.0145666666666666</f>
        <v>-0.10034998471288598</v>
      </c>
      <c r="M68" s="3">
        <f>(Penalty[[#This Row],[disp_t6]]--0.0145666666666666)/-0.0145666666666666</f>
        <v>6.5558318796865855E-3</v>
      </c>
      <c r="N68" s="3">
        <f>(Penalty[[#This Row],[disp_q4]]--0.0145666666666666)/-0.0145666666666666</f>
        <v>-4.3683445778869713E-2</v>
      </c>
      <c r="O68" s="3">
        <f>(Penalty[[#This Row],[disp_q8]]--0.0145666666666666)/-0.0145666666666666</f>
        <v>6.3422307554554854E-3</v>
      </c>
    </row>
    <row r="69" spans="1:15" x14ac:dyDescent="0.3">
      <c r="A69">
        <v>9</v>
      </c>
      <c r="B69">
        <v>2</v>
      </c>
      <c r="C69">
        <f>Penalty[[#This Row],[nxi]]*3</f>
        <v>6</v>
      </c>
      <c r="D69">
        <v>240</v>
      </c>
      <c r="E69">
        <v>-1.22617898776139E-2</v>
      </c>
      <c r="F69">
        <v>370</v>
      </c>
      <c r="G69">
        <v>-1.45229515668961E-2</v>
      </c>
      <c r="H69">
        <v>240</v>
      </c>
      <c r="I69">
        <v>-1.3242072239400901E-2</v>
      </c>
      <c r="J69">
        <v>370</v>
      </c>
      <c r="K69">
        <v>-1.4519590107073099E-2</v>
      </c>
      <c r="L69" s="3">
        <f>(Penalty[[#This Row],[disp_t3]]--0.0145666666666666)/-0.0145666666666666</f>
        <v>-0.15822952785258876</v>
      </c>
      <c r="M69" s="3">
        <f>(Penalty[[#This Row],[disp_t6]]--0.0145666666666666)/-0.0145666666666666</f>
        <v>-3.0010365975170995E-3</v>
      </c>
      <c r="N69" s="3">
        <f>(Penalty[[#This Row],[disp_q4]]--0.0145666666666666)/-0.0145666666666666</f>
        <v>-9.0933255876364166E-2</v>
      </c>
      <c r="O69" s="3">
        <f>(Penalty[[#This Row],[disp_q8]]--0.0145666666666666)/-0.0145666666666666</f>
        <v>-3.2318004297597451E-3</v>
      </c>
    </row>
    <row r="70" spans="1:15" x14ac:dyDescent="0.3">
      <c r="A70">
        <v>7</v>
      </c>
      <c r="B70">
        <v>40</v>
      </c>
      <c r="C70">
        <f>Penalty[[#This Row],[nxi]]*3</f>
        <v>120</v>
      </c>
      <c r="D70">
        <v>2624</v>
      </c>
      <c r="E70">
        <v>-1.48068731543894E-2</v>
      </c>
      <c r="F70">
        <v>4398</v>
      </c>
      <c r="G70">
        <v>-1.5345114421753099E-2</v>
      </c>
      <c r="H70">
        <v>2624</v>
      </c>
      <c r="I70">
        <v>-1.4962973960473001E-2</v>
      </c>
      <c r="J70">
        <v>4398</v>
      </c>
      <c r="K70">
        <v>-1.5518929964506E-2</v>
      </c>
      <c r="L70" s="3">
        <f>(Penalty[[#This Row],[disp_t3]]--0.0145666666666666)/-0.0145666666666666</f>
        <v>1.6490147898590542E-2</v>
      </c>
      <c r="M70" s="3">
        <f>(Penalty[[#This Row],[disp_t6]]--0.0145666666666666)/-0.0145666666666666</f>
        <v>5.3440349319439612E-2</v>
      </c>
      <c r="N70" s="3">
        <f>(Penalty[[#This Row],[disp_q4]]--0.0145666666666666)/-0.0145666666666666</f>
        <v>2.7206450375725617E-2</v>
      </c>
      <c r="O70" s="3">
        <f>(Penalty[[#This Row],[disp_q8]]--0.0145666666666666)/-0.0145666666666666</f>
        <v>6.5372766442064426E-2</v>
      </c>
    </row>
    <row r="71" spans="1:15" x14ac:dyDescent="0.3">
      <c r="A71">
        <v>7</v>
      </c>
      <c r="B71">
        <v>34</v>
      </c>
      <c r="C71">
        <f>Penalty[[#This Row],[nxi]]*3</f>
        <v>102</v>
      </c>
      <c r="D71">
        <v>2240</v>
      </c>
      <c r="E71">
        <v>-1.47910321052555E-2</v>
      </c>
      <c r="F71">
        <v>3750</v>
      </c>
      <c r="G71">
        <v>-1.53274897777102E-2</v>
      </c>
      <c r="H71">
        <v>2240</v>
      </c>
      <c r="I71">
        <v>-1.4950028274424799E-2</v>
      </c>
      <c r="J71">
        <v>3750</v>
      </c>
      <c r="K71">
        <v>-1.5485264264203101E-2</v>
      </c>
      <c r="L71" s="3">
        <f>(Penalty[[#This Row],[disp_t3]]--0.0145666666666666)/-0.0145666666666666</f>
        <v>1.540266168802526E-2</v>
      </c>
      <c r="M71" s="3">
        <f>(Penalty[[#This Row],[disp_t6]]--0.0145666666666666)/-0.0145666666666666</f>
        <v>5.2230419522444206E-2</v>
      </c>
      <c r="N71" s="3">
        <f>(Penalty[[#This Row],[disp_q4]]--0.0145666666666666)/-0.0145666666666666</f>
        <v>2.6317730509716378E-2</v>
      </c>
      <c r="O71" s="3">
        <f>(Penalty[[#This Row],[disp_q8]]--0.0145666666666666)/-0.0145666666666666</f>
        <v>6.306161996818116E-2</v>
      </c>
    </row>
    <row r="72" spans="1:15" x14ac:dyDescent="0.3">
      <c r="A72">
        <v>7</v>
      </c>
      <c r="B72">
        <v>29</v>
      </c>
      <c r="C72">
        <f>Penalty[[#This Row],[nxi]]*3</f>
        <v>87</v>
      </c>
      <c r="D72">
        <v>1920</v>
      </c>
      <c r="E72">
        <v>-1.47722955155484E-2</v>
      </c>
      <c r="F72">
        <v>3210</v>
      </c>
      <c r="G72">
        <v>-1.53047471255579E-2</v>
      </c>
      <c r="H72">
        <v>1920</v>
      </c>
      <c r="I72">
        <v>-1.49349911290147E-2</v>
      </c>
      <c r="J72">
        <v>3210</v>
      </c>
      <c r="K72">
        <v>-1.5444546887496699E-2</v>
      </c>
      <c r="L72" s="3">
        <f>(Penalty[[#This Row],[disp_t3]]--0.0145666666666666)/-0.0145666666666666</f>
        <v>1.4116396948407458E-2</v>
      </c>
      <c r="M72" s="3">
        <f>(Penalty[[#This Row],[disp_t6]]--0.0145666666666666)/-0.0145666666666666</f>
        <v>5.0669139054322909E-2</v>
      </c>
      <c r="N72" s="3">
        <f>(Penalty[[#This Row],[disp_q4]]--0.0145666666666666)/-0.0145666666666666</f>
        <v>2.528543219781022E-2</v>
      </c>
      <c r="O72" s="3">
        <f>(Penalty[[#This Row],[disp_q8]]--0.0145666666666666)/-0.0145666666666666</f>
        <v>6.0266376716025451E-2</v>
      </c>
    </row>
    <row r="73" spans="1:15" x14ac:dyDescent="0.3">
      <c r="A73">
        <v>7</v>
      </c>
      <c r="B73">
        <v>24</v>
      </c>
      <c r="C73">
        <f>Penalty[[#This Row],[nxi]]*3</f>
        <v>72</v>
      </c>
      <c r="D73">
        <v>1600</v>
      </c>
      <c r="E73">
        <v>-1.47461183231742E-2</v>
      </c>
      <c r="F73">
        <v>2670</v>
      </c>
      <c r="G73">
        <v>-1.52720159511143E-2</v>
      </c>
      <c r="H73">
        <v>1600</v>
      </c>
      <c r="I73">
        <v>-1.4915015849796201E-2</v>
      </c>
      <c r="J73">
        <v>2670</v>
      </c>
      <c r="K73">
        <v>-1.5388366615782099E-2</v>
      </c>
      <c r="L73" s="3">
        <f>(Penalty[[#This Row],[disp_t3]]--0.0145666666666666)/-0.0145666666666666</f>
        <v>1.2319335687020695E-2</v>
      </c>
      <c r="M73" s="3">
        <f>(Penalty[[#This Row],[disp_t6]]--0.0145666666666666)/-0.0145666666666666</f>
        <v>4.8422147673755425E-2</v>
      </c>
      <c r="N73" s="3">
        <f>(Penalty[[#This Row],[disp_q4]]--0.0145666666666666)/-0.0145666666666666</f>
        <v>2.3914131564961298E-2</v>
      </c>
      <c r="O73" s="3">
        <f>(Penalty[[#This Row],[disp_q8]]--0.0145666666666666)/-0.0145666666666666</f>
        <v>5.6409607490766858E-2</v>
      </c>
    </row>
    <row r="74" spans="1:15" x14ac:dyDescent="0.3">
      <c r="A74">
        <v>7</v>
      </c>
      <c r="B74">
        <v>21</v>
      </c>
      <c r="C74">
        <f>Penalty[[#This Row],[nxi]]*3</f>
        <v>63</v>
      </c>
      <c r="D74">
        <v>1408</v>
      </c>
      <c r="E74">
        <v>-1.4724867707701201E-2</v>
      </c>
      <c r="F74">
        <v>2346</v>
      </c>
      <c r="G74">
        <v>-1.52461175379596E-2</v>
      </c>
      <c r="H74">
        <v>1408</v>
      </c>
      <c r="I74">
        <v>-1.4899872876325101E-2</v>
      </c>
      <c r="J74">
        <v>2346</v>
      </c>
      <c r="K74">
        <v>-1.5345220816891301E-2</v>
      </c>
      <c r="L74" s="3">
        <f>(Penalty[[#This Row],[disp_t3]]--0.0145666666666666)/-0.0145666666666666</f>
        <v>1.0860483366219816E-2</v>
      </c>
      <c r="M74" s="3">
        <f>(Penalty[[#This Row],[disp_t6]]--0.0145666666666666)/-0.0145666666666666</f>
        <v>4.6644224573890454E-2</v>
      </c>
      <c r="N74" s="3">
        <f>(Penalty[[#This Row],[disp_q4]]--0.0145666666666666)/-0.0145666666666666</f>
        <v>2.2874568168775949E-2</v>
      </c>
      <c r="O74" s="3">
        <f>(Penalty[[#This Row],[disp_q8]]--0.0145666666666666)/-0.0145666666666666</f>
        <v>5.3447653333503778E-2</v>
      </c>
    </row>
    <row r="75" spans="1:15" x14ac:dyDescent="0.3">
      <c r="A75">
        <v>7</v>
      </c>
      <c r="B75">
        <v>18</v>
      </c>
      <c r="C75">
        <f>Penalty[[#This Row],[nxi]]*3</f>
        <v>54</v>
      </c>
      <c r="D75">
        <v>1216</v>
      </c>
      <c r="E75">
        <v>-1.4696632572825E-2</v>
      </c>
      <c r="F75">
        <v>2022</v>
      </c>
      <c r="G75">
        <v>-1.52140803639788E-2</v>
      </c>
      <c r="H75">
        <v>1216</v>
      </c>
      <c r="I75">
        <v>-1.4881173888880101E-2</v>
      </c>
      <c r="J75">
        <v>2022</v>
      </c>
      <c r="K75">
        <v>-1.5293315642152999E-2</v>
      </c>
      <c r="L75" s="3">
        <f>(Penalty[[#This Row],[disp_t3]]--0.0145666666666666)/-0.0145666666666666</f>
        <v>8.9221445875332928E-3</v>
      </c>
      <c r="M75" s="3">
        <f>(Penalty[[#This Row],[disp_t6]]--0.0145666666666666)/-0.0145666666666666</f>
        <v>4.4444876245689026E-2</v>
      </c>
      <c r="N75" s="3">
        <f>(Penalty[[#This Row],[disp_q4]]--0.0145666666666666)/-0.0145666666666666</f>
        <v>2.1590884820148936E-2</v>
      </c>
      <c r="O75" s="3">
        <f>(Penalty[[#This Row],[disp_q8]]--0.0145666666666666)/-0.0145666666666666</f>
        <v>4.9884369026526536E-2</v>
      </c>
    </row>
    <row r="76" spans="1:15" x14ac:dyDescent="0.3">
      <c r="A76">
        <v>7</v>
      </c>
      <c r="B76">
        <v>15</v>
      </c>
      <c r="C76">
        <f>Penalty[[#This Row],[nxi]]*3</f>
        <v>45</v>
      </c>
      <c r="D76">
        <v>1024</v>
      </c>
      <c r="E76">
        <v>-1.46559860478804E-2</v>
      </c>
      <c r="F76">
        <v>1698</v>
      </c>
      <c r="G76">
        <v>-1.51738380377159E-2</v>
      </c>
      <c r="H76">
        <v>1024</v>
      </c>
      <c r="I76">
        <v>-1.48564367420234E-2</v>
      </c>
      <c r="J76">
        <v>1698</v>
      </c>
      <c r="K76">
        <v>-1.5230785410130201E-2</v>
      </c>
      <c r="L76" s="3">
        <f>(Penalty[[#This Row],[disp_t3]]--0.0145666666666666)/-0.0145666666666666</f>
        <v>6.1317653007186331E-3</v>
      </c>
      <c r="M76" s="3">
        <f>(Penalty[[#This Row],[disp_t6]]--0.0145666666666666)/-0.0145666666666666</f>
        <v>4.1682245152126103E-2</v>
      </c>
      <c r="N76" s="3">
        <f>(Penalty[[#This Row],[disp_q4]]--0.0145666666666666)/-0.0145666666666666</f>
        <v>1.9892682518773588E-2</v>
      </c>
      <c r="O76" s="3">
        <f>(Penalty[[#This Row],[disp_q8]]--0.0145666666666666)/-0.0145666666666666</f>
        <v>4.5591675752650197E-2</v>
      </c>
    </row>
    <row r="77" spans="1:15" x14ac:dyDescent="0.3">
      <c r="A77">
        <v>7</v>
      </c>
      <c r="B77">
        <v>13</v>
      </c>
      <c r="C77">
        <f>Penalty[[#This Row],[nxi]]*3</f>
        <v>39</v>
      </c>
      <c r="D77">
        <v>896</v>
      </c>
      <c r="E77">
        <v>-1.4616212205222899E-2</v>
      </c>
      <c r="F77">
        <v>1482</v>
      </c>
      <c r="G77">
        <v>-1.5140668316397401E-2</v>
      </c>
      <c r="H77">
        <v>896</v>
      </c>
      <c r="I77">
        <v>-1.48337959556982E-2</v>
      </c>
      <c r="J77">
        <v>1482</v>
      </c>
      <c r="K77">
        <v>-1.51819126605234E-2</v>
      </c>
      <c r="L77" s="3">
        <f>(Penalty[[#This Row],[disp_t3]]--0.0145666666666666)/-0.0145666666666666</f>
        <v>3.4012955530640923E-3</v>
      </c>
      <c r="M77" s="3">
        <f>(Penalty[[#This Row],[disp_t6]]--0.0145666666666666)/-0.0145666666666666</f>
        <v>3.9405147578773739E-2</v>
      </c>
      <c r="N77" s="3">
        <f>(Penalty[[#This Row],[disp_q4]]--0.0145666666666666)/-0.0145666666666666</f>
        <v>1.8338395128027572E-2</v>
      </c>
      <c r="O77" s="3">
        <f>(Penalty[[#This Row],[disp_q8]]--0.0145666666666666)/-0.0145666666666666</f>
        <v>4.2236567083991115E-2</v>
      </c>
    </row>
    <row r="78" spans="1:15" x14ac:dyDescent="0.3">
      <c r="A78">
        <v>7</v>
      </c>
      <c r="B78">
        <v>11</v>
      </c>
      <c r="C78">
        <f>Penalty[[#This Row],[nxi]]*3</f>
        <v>33</v>
      </c>
      <c r="D78">
        <v>768</v>
      </c>
      <c r="E78">
        <v>-1.4557488869725301E-2</v>
      </c>
      <c r="F78">
        <v>1266</v>
      </c>
      <c r="G78">
        <v>-1.51001967109932E-2</v>
      </c>
      <c r="H78">
        <v>768</v>
      </c>
      <c r="I78">
        <v>-1.4801825721536399E-2</v>
      </c>
      <c r="J78">
        <v>1266</v>
      </c>
      <c r="K78">
        <v>-1.5125878669091699E-2</v>
      </c>
      <c r="L78" s="3">
        <f>(Penalty[[#This Row],[disp_t3]]--0.0145666666666666)/-0.0145666666666666</f>
        <v>-6.3005470992896263E-4</v>
      </c>
      <c r="M78" s="3">
        <f>(Penalty[[#This Row],[disp_t6]]--0.0145666666666666)/-0.0145666666666666</f>
        <v>3.6626776498393798E-2</v>
      </c>
      <c r="N78" s="3">
        <f>(Penalty[[#This Row],[disp_q4]]--0.0145666666666666)/-0.0145666666666666</f>
        <v>1.61436422107415E-2</v>
      </c>
      <c r="O78" s="3">
        <f>(Penalty[[#This Row],[disp_q8]]--0.0145666666666666)/-0.0145666666666666</f>
        <v>3.8389839983416649E-2</v>
      </c>
    </row>
    <row r="79" spans="1:15" x14ac:dyDescent="0.3">
      <c r="A79">
        <v>7</v>
      </c>
      <c r="B79">
        <v>9</v>
      </c>
      <c r="C79">
        <f>Penalty[[#This Row],[nxi]]*3</f>
        <v>27</v>
      </c>
      <c r="D79">
        <v>640</v>
      </c>
      <c r="E79">
        <v>-1.44629870567231E-2</v>
      </c>
      <c r="F79">
        <v>1050</v>
      </c>
      <c r="G79">
        <v>-1.50489526224256E-2</v>
      </c>
      <c r="H79">
        <v>640</v>
      </c>
      <c r="I79">
        <v>-1.4751865929135299E-2</v>
      </c>
      <c r="J79">
        <v>1050</v>
      </c>
      <c r="K79">
        <v>-1.5060414434907901E-2</v>
      </c>
      <c r="L79" s="3">
        <f>(Penalty[[#This Row],[disp_t3]]--0.0145666666666666)/-0.0145666666666666</f>
        <v>-7.1175933599656469E-3</v>
      </c>
      <c r="M79" s="3">
        <f>(Penalty[[#This Row],[disp_t6]]--0.0145666666666666)/-0.0145666666666666</f>
        <v>3.3108875681396061E-2</v>
      </c>
      <c r="N79" s="3">
        <f>(Penalty[[#This Row],[disp_q4]]--0.0145666666666666)/-0.0145666666666666</f>
        <v>1.271390817862935E-2</v>
      </c>
      <c r="O79" s="3">
        <f>(Penalty[[#This Row],[disp_q8]]--0.0145666666666666)/-0.0145666666666666</f>
        <v>3.3895727796885836E-2</v>
      </c>
    </row>
    <row r="80" spans="1:15" x14ac:dyDescent="0.3">
      <c r="A80">
        <v>7</v>
      </c>
      <c r="B80">
        <v>8</v>
      </c>
      <c r="C80">
        <f>Penalty[[#This Row],[nxi]]*3</f>
        <v>24</v>
      </c>
      <c r="D80">
        <v>576</v>
      </c>
      <c r="E80">
        <v>-1.43917319237554E-2</v>
      </c>
      <c r="F80">
        <v>942</v>
      </c>
      <c r="G80">
        <v>-1.50174353646934E-2</v>
      </c>
      <c r="H80">
        <v>576</v>
      </c>
      <c r="I80">
        <v>-1.4714532420302601E-2</v>
      </c>
      <c r="J80">
        <v>942</v>
      </c>
      <c r="K80">
        <v>-1.5022780544263901E-2</v>
      </c>
      <c r="L80" s="3">
        <f>(Penalty[[#This Row],[disp_t3]]--0.0145666666666666)/-0.0145666666666666</f>
        <v>-1.2009250085437087E-2</v>
      </c>
      <c r="M80" s="3">
        <f>(Penalty[[#This Row],[disp_t6]]--0.0145666666666666)/-0.0145666666666666</f>
        <v>3.0945219544174073E-2</v>
      </c>
      <c r="N80" s="3">
        <f>(Penalty[[#This Row],[disp_q4]]--0.0145666666666666)/-0.0145666666666666</f>
        <v>1.0150967068833089E-2</v>
      </c>
      <c r="O80" s="3">
        <f>(Penalty[[#This Row],[disp_q8]]--0.0145666666666666)/-0.0145666666666666</f>
        <v>3.1312165510112372E-2</v>
      </c>
    </row>
    <row r="81" spans="1:15" x14ac:dyDescent="0.3">
      <c r="A81">
        <v>7</v>
      </c>
      <c r="B81">
        <v>7</v>
      </c>
      <c r="C81">
        <f>Penalty[[#This Row],[nxi]]*3</f>
        <v>21</v>
      </c>
      <c r="D81">
        <v>512</v>
      </c>
      <c r="E81">
        <v>-1.42935098686123E-2</v>
      </c>
      <c r="F81">
        <v>834</v>
      </c>
      <c r="G81">
        <v>-1.49802827936481E-2</v>
      </c>
      <c r="H81">
        <v>512</v>
      </c>
      <c r="I81">
        <v>-1.4662912488967599E-2</v>
      </c>
      <c r="J81">
        <v>834</v>
      </c>
      <c r="K81">
        <v>-1.4980497132357501E-2</v>
      </c>
      <c r="L81" s="3">
        <f>(Penalty[[#This Row],[disp_t3]]--0.0145666666666666)/-0.0145666666666666</f>
        <v>-1.875218293278955E-2</v>
      </c>
      <c r="M81" s="3">
        <f>(Penalty[[#This Row],[disp_t6]]--0.0145666666666666)/-0.0145666666666666</f>
        <v>2.8394699792780472E-2</v>
      </c>
      <c r="N81" s="3">
        <f>(Penalty[[#This Row],[disp_q4]]--0.0145666666666666)/-0.0145666666666666</f>
        <v>6.6072646888558568E-3</v>
      </c>
      <c r="O81" s="3">
        <f>(Penalty[[#This Row],[disp_q8]]--0.0145666666666666)/-0.0145666666666666</f>
        <v>2.8409414120656964E-2</v>
      </c>
    </row>
    <row r="82" spans="1:15" x14ac:dyDescent="0.3">
      <c r="A82">
        <v>7</v>
      </c>
      <c r="B82">
        <v>6</v>
      </c>
      <c r="C82">
        <f>Penalty[[#This Row],[nxi]]*3</f>
        <v>18</v>
      </c>
      <c r="D82">
        <v>448</v>
      </c>
      <c r="E82">
        <v>-1.41530316089463E-2</v>
      </c>
      <c r="F82">
        <v>726</v>
      </c>
      <c r="G82">
        <v>-1.49352679222878E-2</v>
      </c>
      <c r="H82">
        <v>448</v>
      </c>
      <c r="I82">
        <v>-1.45880435736875E-2</v>
      </c>
      <c r="J82">
        <v>726</v>
      </c>
      <c r="K82">
        <v>-1.49314231746576E-2</v>
      </c>
      <c r="L82" s="3">
        <f>(Penalty[[#This Row],[disp_t3]]--0.0145666666666666)/-0.0145666666666666</f>
        <v>-2.8395999385833069E-2</v>
      </c>
      <c r="M82" s="3">
        <f>(Penalty[[#This Row],[disp_t6]]--0.0145666666666666)/-0.0145666666666666</f>
        <v>2.5304434024338854E-2</v>
      </c>
      <c r="N82" s="3">
        <f>(Penalty[[#This Row],[disp_q4]]--0.0145666666666666)/-0.0145666666666666</f>
        <v>1.4675222211145008E-3</v>
      </c>
      <c r="O82" s="3">
        <f>(Penalty[[#This Row],[disp_q8]]--0.0145666666666666)/-0.0145666666666666</f>
        <v>2.5040492539428087E-2</v>
      </c>
    </row>
    <row r="83" spans="1:15" x14ac:dyDescent="0.3">
      <c r="A83">
        <v>7</v>
      </c>
      <c r="B83">
        <v>5</v>
      </c>
      <c r="C83">
        <f>Penalty[[#This Row],[nxi]]*3</f>
        <v>15</v>
      </c>
      <c r="D83">
        <v>384</v>
      </c>
      <c r="E83">
        <v>-1.39435145392363E-2</v>
      </c>
      <c r="F83">
        <v>618</v>
      </c>
      <c r="G83">
        <v>-1.4878538718251601E-2</v>
      </c>
      <c r="H83">
        <v>384</v>
      </c>
      <c r="I83">
        <v>-1.44727978508309E-2</v>
      </c>
      <c r="J83">
        <v>618</v>
      </c>
      <c r="K83">
        <v>-1.4872394440309199E-2</v>
      </c>
      <c r="L83" s="3">
        <f>(Penalty[[#This Row],[disp_t3]]--0.0145666666666666)/-0.0145666666666666</f>
        <v>-4.2779322249219813E-2</v>
      </c>
      <c r="M83" s="3">
        <f>(Penalty[[#This Row],[disp_t6]]--0.0145666666666666)/-0.0145666666666666</f>
        <v>2.1409980658009347E-2</v>
      </c>
      <c r="N83" s="3">
        <f>(Penalty[[#This Row],[disp_q4]]--0.0145666666666666)/-0.0145666666666666</f>
        <v>-6.4440834669817074E-3</v>
      </c>
      <c r="O83" s="3">
        <f>(Penalty[[#This Row],[disp_q8]]--0.0145666666666666)/-0.0145666666666666</f>
        <v>2.0988176680270126E-2</v>
      </c>
    </row>
    <row r="84" spans="1:15" x14ac:dyDescent="0.3">
      <c r="A84">
        <v>7</v>
      </c>
      <c r="B84">
        <v>4</v>
      </c>
      <c r="C84">
        <f>Penalty[[#This Row],[nxi]]*3</f>
        <v>12</v>
      </c>
      <c r="D84">
        <v>320</v>
      </c>
      <c r="E84">
        <v>-1.3616673599338901E-2</v>
      </c>
      <c r="F84">
        <v>510</v>
      </c>
      <c r="G84">
        <v>-1.48028967990111E-2</v>
      </c>
      <c r="H84">
        <v>320</v>
      </c>
      <c r="I84">
        <v>-1.4281490427715199E-2</v>
      </c>
      <c r="J84">
        <v>510</v>
      </c>
      <c r="K84">
        <v>-1.4794702424468001E-2</v>
      </c>
      <c r="L84" s="3">
        <f>(Penalty[[#This Row],[disp_t3]]--0.0145666666666666)/-0.0145666666666666</f>
        <v>-6.5216915377187851E-2</v>
      </c>
      <c r="M84" s="3">
        <f>(Penalty[[#This Row],[disp_t6]]--0.0145666666666666)/-0.0145666666666666</f>
        <v>1.6217171556830768E-2</v>
      </c>
      <c r="N84" s="3">
        <f>(Penalty[[#This Row],[disp_q4]]--0.0145666666666666)/-0.0145666666666666</f>
        <v>-1.957731617515342E-2</v>
      </c>
      <c r="O84" s="3">
        <f>(Penalty[[#This Row],[disp_q8]]--0.0145666666666666)/-0.0145666666666666</f>
        <v>1.5654628682018459E-2</v>
      </c>
    </row>
    <row r="85" spans="1:15" x14ac:dyDescent="0.3">
      <c r="A85">
        <v>7</v>
      </c>
      <c r="B85">
        <v>3</v>
      </c>
      <c r="C85">
        <f>Penalty[[#This Row],[nxi]]*3</f>
        <v>9</v>
      </c>
      <c r="D85">
        <v>256</v>
      </c>
      <c r="E85">
        <v>-1.30876712497827E-2</v>
      </c>
      <c r="F85">
        <v>402</v>
      </c>
      <c r="G85">
        <v>-1.46946314745184E-2</v>
      </c>
      <c r="H85">
        <v>256</v>
      </c>
      <c r="I85">
        <v>-1.3932775513022201E-2</v>
      </c>
      <c r="J85">
        <v>402</v>
      </c>
      <c r="K85">
        <v>-1.46902330716884E-2</v>
      </c>
      <c r="L85" s="3">
        <f>(Penalty[[#This Row],[disp_t3]]--0.0145666666666666)/-0.0145666666666666</f>
        <v>-0.10153286614763657</v>
      </c>
      <c r="M85" s="3">
        <f>(Penalty[[#This Row],[disp_t6]]--0.0145666666666666)/-0.0145666666666666</f>
        <v>8.7847694177437888E-3</v>
      </c>
      <c r="N85" s="3">
        <f>(Penalty[[#This Row],[disp_q4]]--0.0145666666666666)/-0.0145666666666666</f>
        <v>-4.3516555170096213E-2</v>
      </c>
      <c r="O85" s="3">
        <f>(Penalty[[#This Row],[disp_q8]]--0.0145666666666666)/-0.0145666666666666</f>
        <v>8.4828195667140758E-3</v>
      </c>
    </row>
    <row r="86" spans="1:15" x14ac:dyDescent="0.3">
      <c r="A86">
        <v>7</v>
      </c>
      <c r="B86">
        <v>2</v>
      </c>
      <c r="C86">
        <f>Penalty[[#This Row],[nxi]]*3</f>
        <v>6</v>
      </c>
      <c r="D86">
        <v>192</v>
      </c>
      <c r="E86">
        <v>-1.22538655145084E-2</v>
      </c>
      <c r="F86">
        <v>294</v>
      </c>
      <c r="G86">
        <v>-1.4544365639032501E-2</v>
      </c>
      <c r="H86">
        <v>192</v>
      </c>
      <c r="I86">
        <v>-1.3243117107051901E-2</v>
      </c>
      <c r="J86">
        <v>294</v>
      </c>
      <c r="K86">
        <v>-1.4537160978017201E-2</v>
      </c>
      <c r="L86" s="3">
        <f>(Penalty[[#This Row],[disp_t3]]--0.0145666666666666)/-0.0145666666666666</f>
        <v>-0.15877353447310363</v>
      </c>
      <c r="M86" s="3">
        <f>(Penalty[[#This Row],[disp_t6]]--0.0145666666666666)/-0.0145666666666666</f>
        <v>-1.5309629954758936E-3</v>
      </c>
      <c r="N86" s="3">
        <f>(Penalty[[#This Row],[disp_q4]]--0.0145666666666666)/-0.0145666666666666</f>
        <v>-9.086152583167309E-2</v>
      </c>
      <c r="O86" s="3">
        <f>(Penalty[[#This Row],[disp_q8]]--0.0145666666666666)/-0.0145666666666666</f>
        <v>-2.0255621498443187E-3</v>
      </c>
    </row>
    <row r="87" spans="1:15" x14ac:dyDescent="0.3">
      <c r="A87">
        <v>5</v>
      </c>
      <c r="B87">
        <v>40</v>
      </c>
      <c r="C87">
        <f>Penalty[[#This Row],[nxi]]*3</f>
        <v>120</v>
      </c>
      <c r="D87">
        <v>1968</v>
      </c>
      <c r="E87">
        <v>-1.4775319834675201E-2</v>
      </c>
      <c r="F87">
        <v>3258</v>
      </c>
      <c r="G87">
        <v>-1.56144897497302E-2</v>
      </c>
      <c r="H87">
        <v>1968</v>
      </c>
      <c r="I87">
        <v>-1.5058260109526E-2</v>
      </c>
      <c r="J87">
        <v>3258</v>
      </c>
      <c r="K87">
        <v>-1.5895030258483499E-2</v>
      </c>
      <c r="L87" s="3">
        <f>(Penalty[[#This Row],[disp_t3]]--0.0145666666666666)/-0.0145666666666666</f>
        <v>1.4324016110430372E-2</v>
      </c>
      <c r="M87" s="3">
        <f>(Penalty[[#This Row],[disp_t6]]--0.0145666666666666)/-0.0145666666666666</f>
        <v>7.1932934764091933E-2</v>
      </c>
      <c r="N87" s="3">
        <f>(Penalty[[#This Row],[disp_q4]]--0.0145666666666666)/-0.0145666666666666</f>
        <v>3.3747833605908654E-2</v>
      </c>
      <c r="O87" s="3">
        <f>(Penalty[[#This Row],[disp_q8]]--0.0145666666666666)/-0.0145666666666666</f>
        <v>9.1192008591549634E-2</v>
      </c>
    </row>
    <row r="88" spans="1:15" x14ac:dyDescent="0.3">
      <c r="A88">
        <v>5</v>
      </c>
      <c r="B88">
        <v>34</v>
      </c>
      <c r="C88">
        <f>Penalty[[#This Row],[nxi]]*3</f>
        <v>102</v>
      </c>
      <c r="D88">
        <v>1680</v>
      </c>
      <c r="E88">
        <v>-1.47610770117089E-2</v>
      </c>
      <c r="F88">
        <v>2778</v>
      </c>
      <c r="G88">
        <v>-1.5607879576317501E-2</v>
      </c>
      <c r="H88">
        <v>1680</v>
      </c>
      <c r="I88">
        <v>-1.50477954354138E-2</v>
      </c>
      <c r="J88">
        <v>2778</v>
      </c>
      <c r="K88">
        <v>-1.5876070187846401E-2</v>
      </c>
      <c r="L88" s="3">
        <f>(Penalty[[#This Row],[disp_t3]]--0.0145666666666666)/-0.0145666666666666</f>
        <v>1.3346247943407457E-2</v>
      </c>
      <c r="M88" s="3">
        <f>(Penalty[[#This Row],[disp_t6]]--0.0145666666666666)/-0.0145666666666666</f>
        <v>7.1479147115622838E-2</v>
      </c>
      <c r="N88" s="3">
        <f>(Penalty[[#This Row],[disp_q4]]--0.0145666666666666)/-0.0145666666666666</f>
        <v>3.3029434925437251E-2</v>
      </c>
      <c r="O88" s="3">
        <f>(Penalty[[#This Row],[disp_q8]]--0.0145666666666666)/-0.0145666666666666</f>
        <v>8.9890401911657258E-2</v>
      </c>
    </row>
    <row r="89" spans="1:15" x14ac:dyDescent="0.3">
      <c r="A89">
        <v>5</v>
      </c>
      <c r="B89">
        <v>29</v>
      </c>
      <c r="C89">
        <f>Penalty[[#This Row],[nxi]]*3</f>
        <v>87</v>
      </c>
      <c r="D89">
        <v>1440</v>
      </c>
      <c r="E89">
        <v>-1.47396731543008E-2</v>
      </c>
      <c r="F89">
        <v>2378</v>
      </c>
      <c r="G89">
        <v>-1.5589840250488599E-2</v>
      </c>
      <c r="H89">
        <v>1440</v>
      </c>
      <c r="I89">
        <v>-1.50305928566003E-2</v>
      </c>
      <c r="J89">
        <v>2378</v>
      </c>
      <c r="K89">
        <v>-1.58415832097803E-2</v>
      </c>
      <c r="L89" s="3">
        <f>(Penalty[[#This Row],[disp_t3]]--0.0145666666666666)/-0.0145666666666666</f>
        <v>1.1876875581295266E-2</v>
      </c>
      <c r="M89" s="3">
        <f>(Penalty[[#This Row],[disp_t6]]--0.0145666666666666)/-0.0145666666666666</f>
        <v>7.0240749461464844E-2</v>
      </c>
      <c r="N89" s="3">
        <f>(Penalty[[#This Row],[disp_q4]]--0.0145666666666666)/-0.0145666666666666</f>
        <v>3.1848479858148933E-2</v>
      </c>
      <c r="O89" s="3">
        <f>(Penalty[[#This Row],[disp_q8]]--0.0145666666666666)/-0.0145666666666666</f>
        <v>8.7522874813297943E-2</v>
      </c>
    </row>
    <row r="90" spans="1:15" x14ac:dyDescent="0.3">
      <c r="A90">
        <v>5</v>
      </c>
      <c r="B90">
        <v>24</v>
      </c>
      <c r="C90">
        <f>Penalty[[#This Row],[nxi]]*3</f>
        <v>72</v>
      </c>
      <c r="D90">
        <v>1200</v>
      </c>
      <c r="E90">
        <v>-1.4705359669702401E-2</v>
      </c>
      <c r="F90">
        <v>1978</v>
      </c>
      <c r="G90">
        <v>-1.5553772223541099E-2</v>
      </c>
      <c r="H90">
        <v>1200</v>
      </c>
      <c r="I90">
        <v>-1.50023271713278E-2</v>
      </c>
      <c r="J90">
        <v>1978</v>
      </c>
      <c r="K90">
        <v>-1.5780736449096101E-2</v>
      </c>
      <c r="L90" s="3">
        <f>(Penalty[[#This Row],[disp_t3]]--0.0145666666666666)/-0.0145666666666666</f>
        <v>9.5212587896431524E-3</v>
      </c>
      <c r="M90" s="3">
        <f>(Penalty[[#This Row],[disp_t6]]--0.0145666666666666)/-0.0145666666666666</f>
        <v>6.7764683538295498E-2</v>
      </c>
      <c r="N90" s="3">
        <f>(Penalty[[#This Row],[disp_q4]]--0.0145666666666666)/-0.0145666666666666</f>
        <v>2.9908043798251915E-2</v>
      </c>
      <c r="O90" s="3">
        <f>(Penalty[[#This Row],[disp_q8]]--0.0145666666666666)/-0.0145666666666666</f>
        <v>8.3345751654199565E-2</v>
      </c>
    </row>
    <row r="91" spans="1:15" x14ac:dyDescent="0.3">
      <c r="A91">
        <v>5</v>
      </c>
      <c r="B91">
        <v>21</v>
      </c>
      <c r="C91">
        <f>Penalty[[#This Row],[nxi]]*3</f>
        <v>63</v>
      </c>
      <c r="D91">
        <v>1056</v>
      </c>
      <c r="E91">
        <v>-1.46760904998524E-2</v>
      </c>
      <c r="F91">
        <v>1738</v>
      </c>
      <c r="G91">
        <v>-1.552004022146E-2</v>
      </c>
      <c r="H91">
        <v>1056</v>
      </c>
      <c r="I91">
        <v>-1.4978467797299101E-2</v>
      </c>
      <c r="J91">
        <v>1738</v>
      </c>
      <c r="K91">
        <v>-1.5726683649190901E-2</v>
      </c>
      <c r="L91" s="3">
        <f>(Penalty[[#This Row],[disp_t3]]--0.0145666666666666)/-0.0145666666666666</f>
        <v>7.5119336283158734E-3</v>
      </c>
      <c r="M91" s="3">
        <f>(Penalty[[#This Row],[disp_t6]]--0.0145666666666666)/-0.0145666666666666</f>
        <v>6.5448985454924849E-2</v>
      </c>
      <c r="N91" s="3">
        <f>(Penalty[[#This Row],[disp_q4]]--0.0145666666666666)/-0.0145666666666666</f>
        <v>2.8270100501087168E-2</v>
      </c>
      <c r="O91" s="3">
        <f>(Penalty[[#This Row],[disp_q8]]--0.0145666666666666)/-0.0145666666666666</f>
        <v>7.9635033125238439E-2</v>
      </c>
    </row>
    <row r="92" spans="1:15" x14ac:dyDescent="0.3">
      <c r="A92">
        <v>5</v>
      </c>
      <c r="B92">
        <v>18</v>
      </c>
      <c r="C92">
        <f>Penalty[[#This Row],[nxi]]*3</f>
        <v>54</v>
      </c>
      <c r="D92">
        <v>912</v>
      </c>
      <c r="E92">
        <v>-1.46376444175749E-2</v>
      </c>
      <c r="F92">
        <v>1498</v>
      </c>
      <c r="G92">
        <v>-1.54745531914759E-2</v>
      </c>
      <c r="H92">
        <v>912</v>
      </c>
      <c r="I92">
        <v>-1.49481297279028E-2</v>
      </c>
      <c r="J92">
        <v>1498</v>
      </c>
      <c r="K92">
        <v>-1.56555622839907E-2</v>
      </c>
      <c r="L92" s="3">
        <f>(Penalty[[#This Row],[disp_t3]]--0.0145666666666666)/-0.0145666666666666</f>
        <v>4.8726144788307319E-3</v>
      </c>
      <c r="M92" s="3">
        <f>(Penalty[[#This Row],[disp_t6]]--0.0145666666666666)/-0.0145666666666666</f>
        <v>6.2326306050982001E-2</v>
      </c>
      <c r="N92" s="3">
        <f>(Penalty[[#This Row],[disp_q4]]--0.0145666666666666)/-0.0145666666666666</f>
        <v>2.6187395508206101E-2</v>
      </c>
      <c r="O92" s="3">
        <f>(Penalty[[#This Row],[disp_q8]]--0.0145666666666666)/-0.0145666666666666</f>
        <v>7.4752559541700639E-2</v>
      </c>
    </row>
    <row r="93" spans="1:15" x14ac:dyDescent="0.3">
      <c r="A93">
        <v>5</v>
      </c>
      <c r="B93">
        <v>15</v>
      </c>
      <c r="C93">
        <f>Penalty[[#This Row],[nxi]]*3</f>
        <v>45</v>
      </c>
      <c r="D93">
        <v>768</v>
      </c>
      <c r="E93">
        <v>-1.4585534259556899E-2</v>
      </c>
      <c r="F93">
        <v>1258</v>
      </c>
      <c r="G93">
        <v>-1.5414547887536399E-2</v>
      </c>
      <c r="H93">
        <v>768</v>
      </c>
      <c r="I93">
        <v>-1.4909419062489101E-2</v>
      </c>
      <c r="J93">
        <v>1258</v>
      </c>
      <c r="K93">
        <v>-1.55633363732171E-2</v>
      </c>
      <c r="L93" s="3">
        <f>(Penalty[[#This Row],[disp_t3]]--0.0145666666666666)/-0.0145666666666666</f>
        <v>1.2952580931556051E-3</v>
      </c>
      <c r="M93" s="3">
        <f>(Penalty[[#This Row],[disp_t6]]--0.0145666666666666)/-0.0145666666666666</f>
        <v>5.8206948801130691E-2</v>
      </c>
      <c r="N93" s="3">
        <f>(Penalty[[#This Row],[disp_q4]]--0.0145666666666666)/-0.0145666666666666</f>
        <v>2.3529912756693576E-2</v>
      </c>
      <c r="O93" s="3">
        <f>(Penalty[[#This Row],[disp_q8]]--0.0145666666666666)/-0.0145666666666666</f>
        <v>6.842126131925666E-2</v>
      </c>
    </row>
    <row r="94" spans="1:15" x14ac:dyDescent="0.3">
      <c r="A94">
        <v>5</v>
      </c>
      <c r="B94">
        <v>13</v>
      </c>
      <c r="C94">
        <f>Penalty[[#This Row],[nxi]]*3</f>
        <v>39</v>
      </c>
      <c r="D94">
        <v>672</v>
      </c>
      <c r="E94">
        <v>-1.4538433103271801E-2</v>
      </c>
      <c r="F94">
        <v>1098</v>
      </c>
      <c r="G94">
        <v>-1.53645688514874E-2</v>
      </c>
      <c r="H94">
        <v>672</v>
      </c>
      <c r="I94">
        <v>-1.48768750994271E-2</v>
      </c>
      <c r="J94">
        <v>1098</v>
      </c>
      <c r="K94">
        <v>-1.54875895603062E-2</v>
      </c>
      <c r="L94" s="3">
        <f>(Penalty[[#This Row],[disp_t3]]--0.0145666666666666)/-0.0145666666666666</f>
        <v>-1.938230896668105E-3</v>
      </c>
      <c r="M94" s="3">
        <f>(Penalty[[#This Row],[disp_t6]]--0.0145666666666666)/-0.0145666666666666</f>
        <v>5.4775893694792063E-2</v>
      </c>
      <c r="N94" s="3">
        <f>(Penalty[[#This Row],[disp_q4]]--0.0145666666666666)/-0.0145666666666666</f>
        <v>2.1295773416052755E-2</v>
      </c>
      <c r="O94" s="3">
        <f>(Penalty[[#This Row],[disp_q8]]--0.0145666666666666)/-0.0145666666666666</f>
        <v>6.322125127960676E-2</v>
      </c>
    </row>
    <row r="95" spans="1:15" x14ac:dyDescent="0.3">
      <c r="A95">
        <v>5</v>
      </c>
      <c r="B95">
        <v>11</v>
      </c>
      <c r="C95">
        <f>Penalty[[#This Row],[nxi]]*3</f>
        <v>33</v>
      </c>
      <c r="D95">
        <v>576</v>
      </c>
      <c r="E95">
        <v>-1.44738504623935E-2</v>
      </c>
      <c r="F95">
        <v>938</v>
      </c>
      <c r="G95">
        <v>-1.5304349300950501E-2</v>
      </c>
      <c r="H95">
        <v>576</v>
      </c>
      <c r="I95">
        <v>-1.48353115926675E-2</v>
      </c>
      <c r="J95">
        <v>938</v>
      </c>
      <c r="K95">
        <v>-1.53980756211783E-2</v>
      </c>
      <c r="L95" s="3">
        <f>(Penalty[[#This Row],[disp_t3]]--0.0145666666666666)/-0.0145666666666666</f>
        <v>-6.3718218036452837E-3</v>
      </c>
      <c r="M95" s="3">
        <f>(Penalty[[#This Row],[disp_t6]]--0.0145666666666666)/-0.0145666666666666</f>
        <v>5.0641828440542665E-2</v>
      </c>
      <c r="N95" s="3">
        <f>(Penalty[[#This Row],[disp_q4]]--0.0145666666666666)/-0.0145666666666666</f>
        <v>1.8442443432556226E-2</v>
      </c>
      <c r="O95" s="3">
        <f>(Penalty[[#This Row],[disp_q8]]--0.0145666666666666)/-0.0145666666666666</f>
        <v>5.7076129600345873E-2</v>
      </c>
    </row>
    <row r="96" spans="1:15" x14ac:dyDescent="0.3">
      <c r="A96">
        <v>5</v>
      </c>
      <c r="B96">
        <v>9</v>
      </c>
      <c r="C96">
        <f>Penalty[[#This Row],[nxi]]*3</f>
        <v>27</v>
      </c>
      <c r="D96">
        <v>480</v>
      </c>
      <c r="E96">
        <v>-1.4376567829920001E-2</v>
      </c>
      <c r="F96">
        <v>778</v>
      </c>
      <c r="G96">
        <v>-1.52301280193514E-2</v>
      </c>
      <c r="H96">
        <v>480</v>
      </c>
      <c r="I96">
        <v>-1.47768307042809E-2</v>
      </c>
      <c r="J96">
        <v>778</v>
      </c>
      <c r="K96">
        <v>-1.52919371691554E-2</v>
      </c>
      <c r="L96" s="3">
        <f>(Penalty[[#This Row],[disp_t3]]--0.0145666666666666)/-0.0145666666666666</f>
        <v>-1.3050263392215078E-2</v>
      </c>
      <c r="M96" s="3">
        <f>(Penalty[[#This Row],[disp_t6]]--0.0145666666666666)/-0.0145666666666666</f>
        <v>4.5546545950901837E-2</v>
      </c>
      <c r="N96" s="3">
        <f>(Penalty[[#This Row],[disp_q4]]--0.0145666666666666)/-0.0145666666666666</f>
        <v>1.4427737135993277E-2</v>
      </c>
      <c r="O96" s="3">
        <f>(Penalty[[#This Row],[disp_q8]]--0.0145666666666666)/-0.0145666666666666</f>
        <v>4.9789737012961376E-2</v>
      </c>
    </row>
    <row r="97" spans="1:15" x14ac:dyDescent="0.3">
      <c r="A97">
        <v>5</v>
      </c>
      <c r="B97">
        <v>8</v>
      </c>
      <c r="C97">
        <f>Penalty[[#This Row],[nxi]]*3</f>
        <v>24</v>
      </c>
      <c r="D97">
        <v>432</v>
      </c>
      <c r="E97">
        <v>-1.4305804104881199E-2</v>
      </c>
      <c r="F97">
        <v>698</v>
      </c>
      <c r="G97">
        <v>-1.51856232340428E-2</v>
      </c>
      <c r="H97">
        <v>432</v>
      </c>
      <c r="I97">
        <v>-1.4735830836593499E-2</v>
      </c>
      <c r="J97">
        <v>698</v>
      </c>
      <c r="K97">
        <v>-1.5231276843031299E-2</v>
      </c>
      <c r="L97" s="3">
        <f>(Penalty[[#This Row],[disp_t3]]--0.0145666666666666)/-0.0145666666666666</f>
        <v>-1.7908185019592762E-2</v>
      </c>
      <c r="M97" s="3">
        <f>(Penalty[[#This Row],[disp_t6]]--0.0145666666666666)/-0.0145666666666666</f>
        <v>4.2491297531547123E-2</v>
      </c>
      <c r="N97" s="3">
        <f>(Penalty[[#This Row],[disp_q4]]--0.0145666666666666)/-0.0145666666666666</f>
        <v>1.1613100910313562E-2</v>
      </c>
      <c r="O97" s="3">
        <f>(Penalty[[#This Row],[disp_q8]]--0.0145666666666666)/-0.0145666666666666</f>
        <v>4.5625412565082603E-2</v>
      </c>
    </row>
    <row r="98" spans="1:15" x14ac:dyDescent="0.3">
      <c r="A98">
        <v>5</v>
      </c>
      <c r="B98">
        <v>7</v>
      </c>
      <c r="C98">
        <f>Penalty[[#This Row],[nxi]]*3</f>
        <v>21</v>
      </c>
      <c r="D98">
        <v>384</v>
      </c>
      <c r="E98">
        <v>-1.42099047762157E-2</v>
      </c>
      <c r="F98">
        <v>618</v>
      </c>
      <c r="G98">
        <v>-1.5134181939012999E-2</v>
      </c>
      <c r="H98">
        <v>384</v>
      </c>
      <c r="I98">
        <v>-1.4680981721199301E-2</v>
      </c>
      <c r="J98">
        <v>618</v>
      </c>
      <c r="K98">
        <v>-1.51643203073091E-2</v>
      </c>
      <c r="L98" s="3">
        <f>(Penalty[[#This Row],[disp_t3]]--0.0145666666666666)/-0.0145666666666666</f>
        <v>-2.4491662960016088E-2</v>
      </c>
      <c r="M98" s="3">
        <f>(Penalty[[#This Row],[disp_t6]]--0.0145666666666666)/-0.0145666666666666</f>
        <v>3.8959858513483013E-2</v>
      </c>
      <c r="N98" s="3">
        <f>(Penalty[[#This Row],[disp_q4]]--0.0145666666666666)/-0.0145666666666666</f>
        <v>7.8477154141443056E-3</v>
      </c>
      <c r="O98" s="3">
        <f>(Penalty[[#This Row],[disp_q8]]--0.0145666666666666)/-0.0145666666666666</f>
        <v>4.1028854048684463E-2</v>
      </c>
    </row>
    <row r="99" spans="1:15" x14ac:dyDescent="0.3">
      <c r="A99">
        <v>5</v>
      </c>
      <c r="B99">
        <v>6</v>
      </c>
      <c r="C99">
        <f>Penalty[[#This Row],[nxi]]*3</f>
        <v>18</v>
      </c>
      <c r="D99">
        <v>336</v>
      </c>
      <c r="E99">
        <v>-1.40742366323343E-2</v>
      </c>
      <c r="F99">
        <v>538</v>
      </c>
      <c r="G99">
        <v>-1.50732487706263E-2</v>
      </c>
      <c r="H99">
        <v>336</v>
      </c>
      <c r="I99">
        <v>-1.4603286498827099E-2</v>
      </c>
      <c r="J99">
        <v>538</v>
      </c>
      <c r="K99">
        <v>-1.5089169190456201E-2</v>
      </c>
      <c r="L99" s="3">
        <f>(Penalty[[#This Row],[disp_t3]]--0.0145666666666666)/-0.0145666666666666</f>
        <v>-3.3805265514803319E-2</v>
      </c>
      <c r="M99" s="3">
        <f>(Penalty[[#This Row],[disp_t6]]--0.0145666666666666)/-0.0145666666666666</f>
        <v>3.4776803475494472E-2</v>
      </c>
      <c r="N99" s="3">
        <f>(Penalty[[#This Row],[disp_q4]]--0.0145666666666666)/-0.0145666666666666</f>
        <v>2.5139472879061983E-3</v>
      </c>
      <c r="O99" s="3">
        <f>(Penalty[[#This Row],[disp_q8]]--0.0145666666666666)/-0.0145666666666666</f>
        <v>3.5869738475258837E-2</v>
      </c>
    </row>
    <row r="100" spans="1:15" x14ac:dyDescent="0.3">
      <c r="A100">
        <v>5</v>
      </c>
      <c r="B100">
        <v>5</v>
      </c>
      <c r="C100">
        <f>Penalty[[#This Row],[nxi]]*3</f>
        <v>15</v>
      </c>
      <c r="D100">
        <v>288</v>
      </c>
      <c r="E100">
        <v>-1.38729617293695E-2</v>
      </c>
      <c r="F100">
        <v>458</v>
      </c>
      <c r="G100">
        <v>-1.49985931300935E-2</v>
      </c>
      <c r="H100">
        <v>288</v>
      </c>
      <c r="I100">
        <v>-1.44855047783697E-2</v>
      </c>
      <c r="J100">
        <v>458</v>
      </c>
      <c r="K100">
        <v>-1.5003211451340599E-2</v>
      </c>
      <c r="L100" s="3">
        <f>(Penalty[[#This Row],[disp_t3]]--0.0145666666666666)/-0.0145666666666666</f>
        <v>-4.7622764574171784E-2</v>
      </c>
      <c r="M100" s="3">
        <f>(Penalty[[#This Row],[disp_t6]]--0.0145666666666666)/-0.0145666666666666</f>
        <v>2.9651702294753009E-2</v>
      </c>
      <c r="N100" s="3">
        <f>(Penalty[[#This Row],[disp_q4]]--0.0145666666666666)/-0.0145666666666666</f>
        <v>-5.5717543453249214E-3</v>
      </c>
      <c r="O100" s="3">
        <f>(Penalty[[#This Row],[disp_q8]]--0.0145666666666666)/-0.0145666666666666</f>
        <v>2.9968749519954364E-2</v>
      </c>
    </row>
    <row r="101" spans="1:15" x14ac:dyDescent="0.3">
      <c r="A101">
        <v>5</v>
      </c>
      <c r="B101">
        <v>4</v>
      </c>
      <c r="C101">
        <f>Penalty[[#This Row],[nxi]]*3</f>
        <v>12</v>
      </c>
      <c r="D101">
        <v>240</v>
      </c>
      <c r="E101">
        <v>-1.3559017033522599E-2</v>
      </c>
      <c r="F101">
        <v>378</v>
      </c>
      <c r="G101">
        <v>-1.4902639819168499E-2</v>
      </c>
      <c r="H101">
        <v>240</v>
      </c>
      <c r="I101">
        <v>-1.42917139187132E-2</v>
      </c>
      <c r="J101">
        <v>378</v>
      </c>
      <c r="K101">
        <v>-1.4897054602008001E-2</v>
      </c>
      <c r="L101" s="3">
        <f>(Penalty[[#This Row],[disp_t3]]--0.0145666666666666)/-0.0145666666666666</f>
        <v>-6.9175032023615884E-2</v>
      </c>
      <c r="M101" s="3">
        <f>(Penalty[[#This Row],[disp_t6]]--0.0145666666666666)/-0.0145666666666666</f>
        <v>2.3064518478391399E-2</v>
      </c>
      <c r="N101" s="3">
        <f>(Penalty[[#This Row],[disp_q4]]--0.0145666666666666)/-0.0145666666666666</f>
        <v>-1.8875474687876453E-2</v>
      </c>
      <c r="O101" s="3">
        <f>(Penalty[[#This Row],[disp_q8]]--0.0145666666666666)/-0.0145666666666666</f>
        <v>2.2681093959364036E-2</v>
      </c>
    </row>
    <row r="102" spans="1:15" x14ac:dyDescent="0.3">
      <c r="A102">
        <v>5</v>
      </c>
      <c r="B102">
        <v>3</v>
      </c>
      <c r="C102">
        <f>Penalty[[#This Row],[nxi]]*3</f>
        <v>9</v>
      </c>
      <c r="D102">
        <v>192</v>
      </c>
      <c r="E102">
        <v>-1.30483471693885E-2</v>
      </c>
      <c r="F102">
        <v>298</v>
      </c>
      <c r="G102">
        <v>-1.4771314120856201E-2</v>
      </c>
      <c r="H102">
        <v>192</v>
      </c>
      <c r="I102">
        <v>-1.39400727877571E-2</v>
      </c>
      <c r="J102">
        <v>298</v>
      </c>
      <c r="K102">
        <v>-1.47673804926437E-2</v>
      </c>
      <c r="L102" s="3">
        <f>(Penalty[[#This Row],[disp_t3]]--0.0145666666666666)/-0.0145666666666666</f>
        <v>-0.10423245976737573</v>
      </c>
      <c r="M102" s="3">
        <f>(Penalty[[#This Row],[disp_t6]]--0.0145666666666666)/-0.0145666666666666</f>
        <v>1.4049024315075674E-2</v>
      </c>
      <c r="N102" s="3">
        <f>(Penalty[[#This Row],[disp_q4]]--0.0145666666666666)/-0.0145666666666666</f>
        <v>-4.3015598094473813E-2</v>
      </c>
      <c r="O102" s="3">
        <f>(Penalty[[#This Row],[disp_q8]]--0.0145666666666666)/-0.0145666666666666</f>
        <v>1.3778981188359391E-2</v>
      </c>
    </row>
    <row r="103" spans="1:15" x14ac:dyDescent="0.3">
      <c r="A103">
        <v>5</v>
      </c>
      <c r="B103">
        <v>2</v>
      </c>
      <c r="C103">
        <f>Penalty[[#This Row],[nxi]]*3</f>
        <v>6</v>
      </c>
      <c r="D103">
        <v>144</v>
      </c>
      <c r="E103">
        <v>-1.2235581606238E-2</v>
      </c>
      <c r="F103">
        <v>218</v>
      </c>
      <c r="G103">
        <v>-1.4595023729910599E-2</v>
      </c>
      <c r="H103">
        <v>144</v>
      </c>
      <c r="I103">
        <v>-1.3246272850725001E-2</v>
      </c>
      <c r="J103">
        <v>218</v>
      </c>
      <c r="K103">
        <v>-1.45799665398885E-2</v>
      </c>
      <c r="L103" s="3">
        <f>(Penalty[[#This Row],[disp_t3]]--0.0145666666666666)/-0.0145666666666666</f>
        <v>-0.16002872268388629</v>
      </c>
      <c r="M103" s="3">
        <f>(Penalty[[#This Row],[disp_t6]]--0.0145666666666666)/-0.0145666666666666</f>
        <v>1.946709147185364E-3</v>
      </c>
      <c r="N103" s="3">
        <f>(Penalty[[#This Row],[disp_q4]]--0.0145666666666666)/-0.0145666666666666</f>
        <v>-9.0644884389583846E-2</v>
      </c>
      <c r="O103" s="3">
        <f>(Penalty[[#This Row],[disp_q8]]--0.0145666666666666)/-0.0145666666666666</f>
        <v>9.1303477495885822E-4</v>
      </c>
    </row>
    <row r="104" spans="1:15" x14ac:dyDescent="0.3">
      <c r="A104">
        <v>4</v>
      </c>
      <c r="B104">
        <v>40</v>
      </c>
      <c r="C104">
        <f>Penalty[[#This Row],[nxi]]*3</f>
        <v>120</v>
      </c>
      <c r="D104">
        <v>1640</v>
      </c>
      <c r="E104">
        <v>-1.47376959875914E-2</v>
      </c>
      <c r="F104">
        <v>2688</v>
      </c>
      <c r="G104">
        <v>-1.5845815962147E-2</v>
      </c>
      <c r="H104">
        <v>1640</v>
      </c>
      <c r="I104">
        <v>-1.51531343425058E-2</v>
      </c>
      <c r="J104">
        <v>2688</v>
      </c>
      <c r="K104">
        <v>-1.6199252322062301E-2</v>
      </c>
      <c r="L104" s="3">
        <f>(Penalty[[#This Row],[disp_t3]]--0.0145666666666666)/-0.0145666666666666</f>
        <v>1.1741143312915403E-2</v>
      </c>
      <c r="M104" s="3">
        <f>(Penalty[[#This Row],[disp_t6]]--0.0145666666666666)/-0.0145666666666666</f>
        <v>8.7813452778975287E-2</v>
      </c>
      <c r="N104" s="3">
        <f>(Penalty[[#This Row],[disp_q4]]--0.0145666666666666)/-0.0145666666666666</f>
        <v>4.0260938844796583E-2</v>
      </c>
      <c r="O104" s="3">
        <f>(Penalty[[#This Row],[disp_q8]]--0.0145666666666666)/-0.0145666666666666</f>
        <v>0.11207681844821804</v>
      </c>
    </row>
    <row r="105" spans="1:15" x14ac:dyDescent="0.3">
      <c r="A105">
        <v>4</v>
      </c>
      <c r="B105">
        <v>34</v>
      </c>
      <c r="C105">
        <f>Penalty[[#This Row],[nxi]]*3</f>
        <v>102</v>
      </c>
      <c r="D105">
        <v>1400</v>
      </c>
      <c r="E105">
        <v>-1.47322002935431E-2</v>
      </c>
      <c r="F105">
        <v>2292</v>
      </c>
      <c r="G105">
        <v>-1.5859009342462201E-2</v>
      </c>
      <c r="H105">
        <v>1400</v>
      </c>
      <c r="I105">
        <v>-1.51524696840649E-2</v>
      </c>
      <c r="J105">
        <v>2292</v>
      </c>
      <c r="K105">
        <v>-1.6207408821798601E-2</v>
      </c>
      <c r="L105" s="3">
        <f>(Penalty[[#This Row],[disp_t3]]--0.0145666666666666)/-0.0145666666666666</f>
        <v>1.1363864545297607E-2</v>
      </c>
      <c r="M105" s="3">
        <f>(Penalty[[#This Row],[disp_t6]]--0.0145666666666666)/-0.0145666666666666</f>
        <v>8.8719176828073773E-2</v>
      </c>
      <c r="N105" s="3">
        <f>(Penalty[[#This Row],[disp_q4]]--0.0145666666666666)/-0.0145666666666666</f>
        <v>4.0215310118876677E-2</v>
      </c>
      <c r="O105" s="3">
        <f>(Penalty[[#This Row],[disp_q8]]--0.0145666666666666)/-0.0145666666666666</f>
        <v>0.11263676122187706</v>
      </c>
    </row>
    <row r="106" spans="1:15" x14ac:dyDescent="0.3">
      <c r="A106">
        <v>4</v>
      </c>
      <c r="B106">
        <v>29</v>
      </c>
      <c r="C106">
        <f>Penalty[[#This Row],[nxi]]*3</f>
        <v>87</v>
      </c>
      <c r="D106">
        <v>1200</v>
      </c>
      <c r="E106">
        <v>-1.47160147965064E-2</v>
      </c>
      <c r="F106">
        <v>1962</v>
      </c>
      <c r="G106">
        <v>-1.5857278122585E-2</v>
      </c>
      <c r="H106">
        <v>1200</v>
      </c>
      <c r="I106">
        <v>-1.51415533179738E-2</v>
      </c>
      <c r="J106">
        <v>1962</v>
      </c>
      <c r="K106">
        <v>-1.6195707525890401E-2</v>
      </c>
      <c r="L106" s="3">
        <f>(Penalty[[#This Row],[disp_t3]]--0.0145666666666666)/-0.0145666666666666</f>
        <v>1.025273202561567E-2</v>
      </c>
      <c r="M106" s="3">
        <f>(Penalty[[#This Row],[disp_t6]]--0.0145666666666666)/-0.0145666666666666</f>
        <v>8.8600328781583984E-2</v>
      </c>
      <c r="N106" s="3">
        <f>(Penalty[[#This Row],[disp_q4]]--0.0145666666666666)/-0.0145666666666666</f>
        <v>3.9465902835734805E-2</v>
      </c>
      <c r="O106" s="3">
        <f>(Penalty[[#This Row],[disp_q8]]--0.0145666666666666)/-0.0145666666666666</f>
        <v>0.11183346859660016</v>
      </c>
    </row>
    <row r="107" spans="1:15" x14ac:dyDescent="0.3">
      <c r="A107">
        <v>4</v>
      </c>
      <c r="B107">
        <v>24</v>
      </c>
      <c r="C107">
        <f>Penalty[[#This Row],[nxi]]*3</f>
        <v>72</v>
      </c>
      <c r="D107">
        <v>1000</v>
      </c>
      <c r="E107">
        <v>-1.4682097513047301E-2</v>
      </c>
      <c r="F107">
        <v>1632</v>
      </c>
      <c r="G107">
        <v>-1.58329843460145E-2</v>
      </c>
      <c r="H107">
        <v>1000</v>
      </c>
      <c r="I107">
        <v>-1.51145602593539E-2</v>
      </c>
      <c r="J107">
        <v>1632</v>
      </c>
      <c r="K107">
        <v>-1.61522895725922E-2</v>
      </c>
      <c r="L107" s="3">
        <f>(Penalty[[#This Row],[disp_t3]]--0.0145666666666666)/-0.0145666666666666</f>
        <v>7.9243143968445225E-3</v>
      </c>
      <c r="M107" s="3">
        <f>(Penalty[[#This Row],[disp_t6]]--0.0145666666666666)/-0.0145666666666666</f>
        <v>8.6932563799627424E-2</v>
      </c>
      <c r="N107" s="3">
        <f>(Penalty[[#This Row],[disp_q4]]--0.0145666666666666)/-0.0145666666666666</f>
        <v>3.7612832449929301E-2</v>
      </c>
      <c r="O107" s="3">
        <f>(Penalty[[#This Row],[disp_q8]]--0.0145666666666666)/-0.0145666666666666</f>
        <v>0.10885283107040784</v>
      </c>
    </row>
    <row r="108" spans="1:15" x14ac:dyDescent="0.3">
      <c r="A108">
        <v>4</v>
      </c>
      <c r="B108">
        <v>21</v>
      </c>
      <c r="C108">
        <f>Penalty[[#This Row],[nxi]]*3</f>
        <v>63</v>
      </c>
      <c r="D108">
        <v>880</v>
      </c>
      <c r="E108">
        <v>-1.46490872034881E-2</v>
      </c>
      <c r="F108">
        <v>1434</v>
      </c>
      <c r="G108">
        <v>-1.5800980376508199E-2</v>
      </c>
      <c r="H108">
        <v>880</v>
      </c>
      <c r="I108">
        <v>-1.50870381264237E-2</v>
      </c>
      <c r="J108">
        <v>1434</v>
      </c>
      <c r="K108">
        <v>-1.6102101558291799E-2</v>
      </c>
      <c r="L108" s="3">
        <f>(Penalty[[#This Row],[disp_t3]]--0.0145666666666666)/-0.0145666666666666</f>
        <v>5.6581604225286412E-3</v>
      </c>
      <c r="M108" s="3">
        <f>(Penalty[[#This Row],[disp_t6]]--0.0145666666666666)/-0.0145666666666666</f>
        <v>8.4735494954801274E-2</v>
      </c>
      <c r="N108" s="3">
        <f>(Penalty[[#This Row],[disp_q4]]--0.0145666666666666)/-0.0145666666666666</f>
        <v>3.5723441173256515E-2</v>
      </c>
      <c r="O108" s="3">
        <f>(Penalty[[#This Row],[disp_q8]]--0.0145666666666666)/-0.0145666666666666</f>
        <v>0.10540742963102105</v>
      </c>
    </row>
    <row r="109" spans="1:15" x14ac:dyDescent="0.3">
      <c r="A109">
        <v>4</v>
      </c>
      <c r="B109">
        <v>18</v>
      </c>
      <c r="C109">
        <f>Penalty[[#This Row],[nxi]]*3</f>
        <v>54</v>
      </c>
      <c r="D109">
        <v>760</v>
      </c>
      <c r="E109">
        <v>-1.46028259281253E-2</v>
      </c>
      <c r="F109">
        <v>1236</v>
      </c>
      <c r="G109">
        <v>-1.57503315700167E-2</v>
      </c>
      <c r="H109">
        <v>760</v>
      </c>
      <c r="I109">
        <v>-1.50482117605627E-2</v>
      </c>
      <c r="J109">
        <v>1236</v>
      </c>
      <c r="K109">
        <v>-1.6026166702749801E-2</v>
      </c>
      <c r="L109" s="3">
        <f>(Penalty[[#This Row],[disp_t3]]--0.0145666666666666)/-0.0145666666666666</f>
        <v>2.4823291619245694E-3</v>
      </c>
      <c r="M109" s="3">
        <f>(Penalty[[#This Row],[disp_t6]]--0.0145666666666666)/-0.0145666666666666</f>
        <v>8.1258460184217798E-2</v>
      </c>
      <c r="N109" s="3">
        <f>(Penalty[[#This Row],[disp_q4]]--0.0145666666666666)/-0.0145666666666666</f>
        <v>3.3058015599274813E-2</v>
      </c>
      <c r="O109" s="3">
        <f>(Penalty[[#This Row],[disp_q8]]--0.0145666666666666)/-0.0145666666666666</f>
        <v>0.10019451048626143</v>
      </c>
    </row>
    <row r="110" spans="1:15" x14ac:dyDescent="0.3">
      <c r="A110">
        <v>4</v>
      </c>
      <c r="B110">
        <v>15</v>
      </c>
      <c r="C110">
        <f>Penalty[[#This Row],[nxi]]*3</f>
        <v>45</v>
      </c>
      <c r="D110">
        <v>640</v>
      </c>
      <c r="E110">
        <v>-1.45384853331728E-2</v>
      </c>
      <c r="F110">
        <v>1038</v>
      </c>
      <c r="G110">
        <v>-1.56756446601603E-2</v>
      </c>
      <c r="H110">
        <v>640</v>
      </c>
      <c r="I110">
        <v>-1.49953085609607E-2</v>
      </c>
      <c r="J110">
        <v>1038</v>
      </c>
      <c r="K110">
        <v>-1.5916724928315799E-2</v>
      </c>
      <c r="L110" s="3">
        <f>(Penalty[[#This Row],[disp_t3]]--0.0145666666666666)/-0.0145666666666666</f>
        <v>-1.9346453199404392E-3</v>
      </c>
      <c r="M110" s="3">
        <f>(Penalty[[#This Row],[disp_t6]]--0.0145666666666666)/-0.0145666666666666</f>
        <v>7.613121236798899E-2</v>
      </c>
      <c r="N110" s="3">
        <f>(Penalty[[#This Row],[disp_q4]]--0.0145666666666666)/-0.0145666666666666</f>
        <v>2.9426216999595172E-2</v>
      </c>
      <c r="O110" s="3">
        <f>(Penalty[[#This Row],[disp_q8]]--0.0145666666666666)/-0.0145666666666666</f>
        <v>9.2681345193309353E-2</v>
      </c>
    </row>
    <row r="111" spans="1:15" x14ac:dyDescent="0.3">
      <c r="A111">
        <v>4</v>
      </c>
      <c r="B111">
        <v>13</v>
      </c>
      <c r="C111">
        <f>Penalty[[#This Row],[nxi]]*3</f>
        <v>39</v>
      </c>
      <c r="D111">
        <v>560</v>
      </c>
      <c r="E111">
        <v>-1.44812512684971E-2</v>
      </c>
      <c r="F111">
        <v>906</v>
      </c>
      <c r="G111">
        <v>-1.56095561105323E-2</v>
      </c>
      <c r="H111">
        <v>560</v>
      </c>
      <c r="I111">
        <v>-1.4950213609864999E-2</v>
      </c>
      <c r="J111">
        <v>906</v>
      </c>
      <c r="K111">
        <v>-1.5820641010591899E-2</v>
      </c>
      <c r="L111" s="3">
        <f>(Penalty[[#This Row],[disp_t3]]--0.0145666666666666)/-0.0145666666666666</f>
        <v>-5.8637573114072982E-3</v>
      </c>
      <c r="M111" s="3">
        <f>(Penalty[[#This Row],[disp_t6]]--0.0145666666666666)/-0.0145666666666666</f>
        <v>7.1594240997645719E-2</v>
      </c>
      <c r="N111" s="3">
        <f>(Penalty[[#This Row],[disp_q4]]--0.0145666666666666)/-0.0145666666666666</f>
        <v>2.633045376648066E-2</v>
      </c>
      <c r="O111" s="3">
        <f>(Penalty[[#This Row],[disp_q8]]--0.0145666666666666)/-0.0145666666666666</f>
        <v>8.6085195235146808E-2</v>
      </c>
    </row>
    <row r="112" spans="1:15" x14ac:dyDescent="0.3">
      <c r="A112">
        <v>4</v>
      </c>
      <c r="B112">
        <v>11</v>
      </c>
      <c r="C112">
        <f>Penalty[[#This Row],[nxi]]*3</f>
        <v>33</v>
      </c>
      <c r="D112">
        <v>480</v>
      </c>
      <c r="E112">
        <v>-1.44060891303619E-2</v>
      </c>
      <c r="F112">
        <v>774</v>
      </c>
      <c r="G112">
        <v>-1.5527910131833101E-2</v>
      </c>
      <c r="H112">
        <v>480</v>
      </c>
      <c r="I112">
        <v>-1.4894290561473501E-2</v>
      </c>
      <c r="J112">
        <v>774</v>
      </c>
      <c r="K112">
        <v>-1.5702237020167601E-2</v>
      </c>
      <c r="L112" s="3">
        <f>(Penalty[[#This Row],[disp_t3]]--0.0145666666666666)/-0.0145666666666666</f>
        <v>-1.1023629494601802E-2</v>
      </c>
      <c r="M112" s="3">
        <f>(Penalty[[#This Row],[disp_t6]]--0.0145666666666666)/-0.0145666666666666</f>
        <v>6.5989253901590786E-2</v>
      </c>
      <c r="N112" s="3">
        <f>(Penalty[[#This Row],[disp_q4]]--0.0145666666666666)/-0.0145666666666666</f>
        <v>2.249134289292239E-2</v>
      </c>
      <c r="O112" s="3">
        <f>(Penalty[[#This Row],[disp_q8]]--0.0145666666666666)/-0.0145666666666666</f>
        <v>7.7956774839886056E-2</v>
      </c>
    </row>
    <row r="113" spans="1:15" x14ac:dyDescent="0.3">
      <c r="A113">
        <v>4</v>
      </c>
      <c r="B113">
        <v>9</v>
      </c>
      <c r="C113">
        <f>Penalty[[#This Row],[nxi]]*3</f>
        <v>27</v>
      </c>
      <c r="D113">
        <v>400</v>
      </c>
      <c r="E113">
        <v>-1.42998265492117E-2</v>
      </c>
      <c r="F113">
        <v>642</v>
      </c>
      <c r="G113">
        <v>-1.5427178781536601E-2</v>
      </c>
      <c r="H113">
        <v>400</v>
      </c>
      <c r="I113">
        <v>-1.4820828658048801E-2</v>
      </c>
      <c r="J113">
        <v>642</v>
      </c>
      <c r="K113">
        <v>-1.55572488453275E-2</v>
      </c>
      <c r="L113" s="3">
        <f>(Penalty[[#This Row],[disp_t3]]--0.0145666666666666)/-0.0145666666666666</f>
        <v>-1.8318543532373017E-2</v>
      </c>
      <c r="M113" s="3">
        <f>(Penalty[[#This Row],[disp_t6]]--0.0145666666666666)/-0.0145666666666666</f>
        <v>5.9074058229062157E-2</v>
      </c>
      <c r="N113" s="3">
        <f>(Penalty[[#This Row],[disp_q4]]--0.0145666666666666)/-0.0145666666666666</f>
        <v>1.7448191628068821E-2</v>
      </c>
      <c r="O113" s="3">
        <f>(Penalty[[#This Row],[disp_q8]]--0.0145666666666666)/-0.0145666666666666</f>
        <v>6.8003353226149102E-2</v>
      </c>
    </row>
    <row r="114" spans="1:15" x14ac:dyDescent="0.3">
      <c r="A114">
        <v>4</v>
      </c>
      <c r="B114">
        <v>8</v>
      </c>
      <c r="C114">
        <f>Penalty[[#This Row],[nxi]]*3</f>
        <v>24</v>
      </c>
      <c r="D114">
        <v>360</v>
      </c>
      <c r="E114">
        <v>-1.42262235180138E-2</v>
      </c>
      <c r="F114">
        <v>576</v>
      </c>
      <c r="G114">
        <v>-1.53676206970003E-2</v>
      </c>
      <c r="H114">
        <v>360</v>
      </c>
      <c r="I114">
        <v>-1.4772609432454301E-2</v>
      </c>
      <c r="J114">
        <v>576</v>
      </c>
      <c r="K114">
        <v>-1.5472989463674E-2</v>
      </c>
      <c r="L114" s="3">
        <f>(Penalty[[#This Row],[disp_t3]]--0.0145666666666666)/-0.0145666666666666</f>
        <v>-2.3371383202709452E-2</v>
      </c>
      <c r="M114" s="3">
        <f>(Penalty[[#This Row],[disp_t6]]--0.0145666666666666)/-0.0145666666666666</f>
        <v>5.498540254007122E-2</v>
      </c>
      <c r="N114" s="3">
        <f>(Penalty[[#This Row],[disp_q4]]--0.0145666666666666)/-0.0145666666666666</f>
        <v>1.4137947308080242E-2</v>
      </c>
      <c r="O114" s="3">
        <f>(Penalty[[#This Row],[disp_q8]]--0.0145666666666666)/-0.0145666666666666</f>
        <v>6.2218956316297799E-2</v>
      </c>
    </row>
    <row r="115" spans="1:15" x14ac:dyDescent="0.3">
      <c r="A115">
        <v>4</v>
      </c>
      <c r="B115">
        <v>7</v>
      </c>
      <c r="C115">
        <f>Penalty[[#This Row],[nxi]]*3</f>
        <v>21</v>
      </c>
      <c r="D115">
        <v>320</v>
      </c>
      <c r="E115">
        <v>-1.4129434702651799E-2</v>
      </c>
      <c r="F115">
        <v>510</v>
      </c>
      <c r="G115">
        <v>-1.52999105733928E-2</v>
      </c>
      <c r="H115">
        <v>320</v>
      </c>
      <c r="I115">
        <v>-1.4711011868677E-2</v>
      </c>
      <c r="J115">
        <v>510</v>
      </c>
      <c r="K115">
        <v>-1.53794941476898E-2</v>
      </c>
      <c r="L115" s="3">
        <f>(Penalty[[#This Row],[disp_t3]]--0.0145666666666666)/-0.0145666666666666</f>
        <v>-3.0015924303075654E-2</v>
      </c>
      <c r="M115" s="3">
        <f>(Penalty[[#This Row],[disp_t6]]--0.0145666666666666)/-0.0145666666666666</f>
        <v>5.0337110301570079E-2</v>
      </c>
      <c r="N115" s="3">
        <f>(Penalty[[#This Row],[disp_q4]]--0.0145666666666666)/-0.0145666666666666</f>
        <v>9.9092816025446902E-3</v>
      </c>
      <c r="O115" s="3">
        <f>(Penalty[[#This Row],[disp_q8]]--0.0145666666666666)/-0.0145666666666666</f>
        <v>5.5800513571387038E-2</v>
      </c>
    </row>
    <row r="116" spans="1:15" x14ac:dyDescent="0.3">
      <c r="A116">
        <v>4</v>
      </c>
      <c r="B116">
        <v>6</v>
      </c>
      <c r="C116">
        <f>Penalty[[#This Row],[nxi]]*3</f>
        <v>18</v>
      </c>
      <c r="D116">
        <v>280</v>
      </c>
      <c r="E116">
        <v>-1.39957441938462E-2</v>
      </c>
      <c r="F116">
        <v>444</v>
      </c>
      <c r="G116">
        <v>-1.52213511637055E-2</v>
      </c>
      <c r="H116">
        <v>280</v>
      </c>
      <c r="I116">
        <v>-1.4627222675424699E-2</v>
      </c>
      <c r="J116">
        <v>444</v>
      </c>
      <c r="K116">
        <v>-1.5275021575825699E-2</v>
      </c>
      <c r="L116" s="3">
        <f>(Penalty[[#This Row],[disp_t3]]--0.0145666666666666)/-0.0145666666666666</f>
        <v>-3.9193762436183173E-2</v>
      </c>
      <c r="M116" s="3">
        <f>(Penalty[[#This Row],[disp_t6]]--0.0145666666666666)/-0.0145666666666666</f>
        <v>4.4944015815027702E-2</v>
      </c>
      <c r="N116" s="3">
        <f>(Penalty[[#This Row],[disp_q4]]--0.0145666666666666)/-0.0145666666666666</f>
        <v>4.1571630726384597E-3</v>
      </c>
      <c r="O116" s="3">
        <f>(Penalty[[#This Row],[disp_q8]]--0.0145666666666666)/-0.0145666666666666</f>
        <v>4.8628483466299999E-2</v>
      </c>
    </row>
    <row r="117" spans="1:15" x14ac:dyDescent="0.3">
      <c r="A117">
        <v>4</v>
      </c>
      <c r="B117">
        <v>5</v>
      </c>
      <c r="C117">
        <f>Penalty[[#This Row],[nxi]]*3</f>
        <v>15</v>
      </c>
      <c r="D117">
        <v>240</v>
      </c>
      <c r="E117">
        <v>-1.3800550047047701E-2</v>
      </c>
      <c r="F117">
        <v>378</v>
      </c>
      <c r="G117">
        <v>-1.51274056931834E-2</v>
      </c>
      <c r="H117">
        <v>240</v>
      </c>
      <c r="I117">
        <v>-1.4504093594077099E-2</v>
      </c>
      <c r="J117">
        <v>378</v>
      </c>
      <c r="K117">
        <v>-1.51573084490633E-2</v>
      </c>
      <c r="L117" s="3">
        <f>(Penalty[[#This Row],[disp_t3]]--0.0145666666666666)/-0.0145666666666666</f>
        <v>-5.2593818280473832E-2</v>
      </c>
      <c r="M117" s="3">
        <f>(Penalty[[#This Row],[disp_t6]]--0.0145666666666666)/-0.0145666666666666</f>
        <v>3.8494670012595163E-2</v>
      </c>
      <c r="N117" s="3">
        <f>(Penalty[[#This Row],[disp_q4]]--0.0145666666666666)/-0.0145666666666666</f>
        <v>-4.2956342738787508E-3</v>
      </c>
      <c r="O117" s="3">
        <f>(Penalty[[#This Row],[disp_q8]]--0.0145666666666666)/-0.0145666666666666</f>
        <v>4.054749078238238E-2</v>
      </c>
    </row>
    <row r="118" spans="1:15" x14ac:dyDescent="0.3">
      <c r="A118">
        <v>4</v>
      </c>
      <c r="B118">
        <v>4</v>
      </c>
      <c r="C118">
        <f>Penalty[[#This Row],[nxi]]*3</f>
        <v>12</v>
      </c>
      <c r="D118">
        <v>200</v>
      </c>
      <c r="E118">
        <v>-1.3498313330753299E-2</v>
      </c>
      <c r="F118">
        <v>312</v>
      </c>
      <c r="G118">
        <v>-1.50099997244834E-2</v>
      </c>
      <c r="H118">
        <v>200</v>
      </c>
      <c r="I118">
        <v>-1.4305607986707601E-2</v>
      </c>
      <c r="J118">
        <v>312</v>
      </c>
      <c r="K118">
        <v>-1.50171875249048E-2</v>
      </c>
      <c r="L118" s="3">
        <f>(Penalty[[#This Row],[disp_t3]]--0.0145666666666666)/-0.0145666666666666</f>
        <v>-7.3342334273224591E-2</v>
      </c>
      <c r="M118" s="3">
        <f>(Penalty[[#This Row],[disp_t6]]--0.0145666666666666)/-0.0145666666666666</f>
        <v>3.0434763694517343E-2</v>
      </c>
      <c r="N118" s="3">
        <f>(Penalty[[#This Row],[disp_q4]]--0.0145666666666666)/-0.0145666666666666</f>
        <v>-1.7921648509771154E-2</v>
      </c>
      <c r="O118" s="3">
        <f>(Penalty[[#This Row],[disp_q8]]--0.0145666666666666)/-0.0145666666666666</f>
        <v>3.0928205371043647E-2</v>
      </c>
    </row>
    <row r="119" spans="1:15" x14ac:dyDescent="0.3">
      <c r="A119">
        <v>4</v>
      </c>
      <c r="B119">
        <v>3</v>
      </c>
      <c r="C119">
        <f>Penalty[[#This Row],[nxi]]*3</f>
        <v>9</v>
      </c>
      <c r="D119">
        <v>160</v>
      </c>
      <c r="E119">
        <v>-1.3006020265357699E-2</v>
      </c>
      <c r="F119">
        <v>246</v>
      </c>
      <c r="G119">
        <v>-1.48543533007737E-2</v>
      </c>
      <c r="H119">
        <v>160</v>
      </c>
      <c r="I119">
        <v>-1.3949426436881501E-2</v>
      </c>
      <c r="J119">
        <v>246</v>
      </c>
      <c r="K119">
        <v>-1.4856285540659001E-2</v>
      </c>
      <c r="L119" s="3">
        <f>(Penalty[[#This Row],[disp_t3]]--0.0145666666666666)/-0.0145666666666666</f>
        <v>-0.107138196886195</v>
      </c>
      <c r="M119" s="3">
        <f>(Penalty[[#This Row],[disp_t6]]--0.0145666666666666)/-0.0145666666666666</f>
        <v>1.9749654515361696E-2</v>
      </c>
      <c r="N119" s="3">
        <f>(Penalty[[#This Row],[disp_q4]]--0.0145666666666666)/-0.0145666666666666</f>
        <v>-4.2373471152295304E-2</v>
      </c>
      <c r="O119" s="3">
        <f>(Penalty[[#This Row],[disp_q8]]--0.0145666666666666)/-0.0145666666666666</f>
        <v>1.9882302562407497E-2</v>
      </c>
    </row>
    <row r="120" spans="1:15" x14ac:dyDescent="0.3">
      <c r="A120">
        <v>4</v>
      </c>
      <c r="B120">
        <v>2</v>
      </c>
      <c r="C120">
        <f>Penalty[[#This Row],[nxi]]*3</f>
        <v>6</v>
      </c>
      <c r="D120">
        <v>120</v>
      </c>
      <c r="E120">
        <v>-1.2215604809524201E-2</v>
      </c>
      <c r="F120">
        <v>180</v>
      </c>
      <c r="G120">
        <v>-1.46503018117345E-2</v>
      </c>
      <c r="H120">
        <v>120</v>
      </c>
      <c r="I120">
        <v>-1.3250366531519999E-2</v>
      </c>
      <c r="J120">
        <v>180</v>
      </c>
      <c r="K120">
        <v>-1.46286858010181E-2</v>
      </c>
      <c r="L120" s="3">
        <f>(Penalty[[#This Row],[disp_t3]]--0.0145666666666666)/-0.0145666666666666</f>
        <v>-0.16140012749261393</v>
      </c>
      <c r="M120" s="3">
        <f>(Penalty[[#This Row],[disp_t6]]--0.0145666666666666)/-0.0145666666666666</f>
        <v>5.7415431396728436E-3</v>
      </c>
      <c r="N120" s="3">
        <f>(Penalty[[#This Row],[disp_q4]]--0.0145666666666666)/-0.0145666666666666</f>
        <v>-9.0363853671391714E-2</v>
      </c>
      <c r="O120" s="3">
        <f>(Penalty[[#This Row],[disp_q8]]--0.0145666666666666)/-0.0145666666666666</f>
        <v>4.2576064772197253E-3</v>
      </c>
    </row>
    <row r="121" spans="1:15" x14ac:dyDescent="0.3">
      <c r="A121">
        <v>3</v>
      </c>
      <c r="B121">
        <v>40</v>
      </c>
      <c r="C121">
        <f>Penalty[[#This Row],[nxi]]*3</f>
        <v>120</v>
      </c>
      <c r="D121">
        <v>1312</v>
      </c>
      <c r="E121">
        <v>-1.4631917105660801E-2</v>
      </c>
      <c r="F121">
        <v>2118</v>
      </c>
      <c r="G121">
        <v>-1.6174188757455701E-2</v>
      </c>
      <c r="H121">
        <v>1312</v>
      </c>
      <c r="I121">
        <v>-1.5304969632317899E-2</v>
      </c>
      <c r="J121">
        <v>2118</v>
      </c>
      <c r="K121">
        <v>-1.6579572750901099E-2</v>
      </c>
      <c r="L121" s="3">
        <f>(Penalty[[#This Row],[disp_t3]]--0.0145666666666666)/-0.0145666666666666</f>
        <v>4.4794351712266643E-3</v>
      </c>
      <c r="M121" s="3">
        <f>(Penalty[[#This Row],[disp_t6]]--0.0145666666666666)/-0.0145666666666666</f>
        <v>0.11035620760565969</v>
      </c>
      <c r="N121" s="3">
        <f>(Penalty[[#This Row],[disp_q4]]--0.0145666666666666)/-0.0145666666666666</f>
        <v>5.0684414117938448E-2</v>
      </c>
      <c r="O121" s="3">
        <f>(Penalty[[#This Row],[disp_q8]]--0.0145666666666666)/-0.0145666666666666</f>
        <v>0.13818577237307841</v>
      </c>
    </row>
    <row r="122" spans="1:15" x14ac:dyDescent="0.3">
      <c r="A122">
        <v>3</v>
      </c>
      <c r="B122">
        <v>34</v>
      </c>
      <c r="C122">
        <f>Penalty[[#This Row],[nxi]]*3</f>
        <v>102</v>
      </c>
      <c r="D122">
        <v>1120</v>
      </c>
      <c r="E122">
        <v>-1.4649294074446199E-2</v>
      </c>
      <c r="F122">
        <v>1806</v>
      </c>
      <c r="G122">
        <v>-1.6228651552842199E-2</v>
      </c>
      <c r="H122">
        <v>1120</v>
      </c>
      <c r="I122">
        <v>-1.5327449161223399E-2</v>
      </c>
      <c r="J122">
        <v>1806</v>
      </c>
      <c r="K122">
        <v>-1.6641812088289899E-2</v>
      </c>
      <c r="L122" s="3">
        <f>(Penalty[[#This Row],[disp_t3]]--0.0145666666666666)/-0.0145666666666666</f>
        <v>5.6723620901327539E-3</v>
      </c>
      <c r="M122" s="3">
        <f>(Penalty[[#This Row],[disp_t6]]--0.0145666666666666)/-0.0145666666666666</f>
        <v>0.11409507227750167</v>
      </c>
      <c r="N122" s="3">
        <f>(Penalty[[#This Row],[disp_q4]]--0.0145666666666666)/-0.0145666666666666</f>
        <v>5.2227631205272539E-2</v>
      </c>
      <c r="O122" s="3">
        <f>(Penalty[[#This Row],[disp_q8]]--0.0145666666666666)/-0.0145666666666666</f>
        <v>0.14245849576361388</v>
      </c>
    </row>
    <row r="123" spans="1:15" x14ac:dyDescent="0.3">
      <c r="A123">
        <v>3</v>
      </c>
      <c r="B123">
        <v>29</v>
      </c>
      <c r="C123">
        <f>Penalty[[#This Row],[nxi]]*3</f>
        <v>87</v>
      </c>
      <c r="D123">
        <v>960</v>
      </c>
      <c r="E123">
        <v>-1.4653953135169101E-2</v>
      </c>
      <c r="F123">
        <v>1546</v>
      </c>
      <c r="G123">
        <v>-1.6268987656880399E-2</v>
      </c>
      <c r="H123">
        <v>960</v>
      </c>
      <c r="I123">
        <v>-1.5338007489876E-2</v>
      </c>
      <c r="J123">
        <v>1546</v>
      </c>
      <c r="K123">
        <v>-1.66863218757267E-2</v>
      </c>
      <c r="L123" s="3">
        <f>(Penalty[[#This Row],[disp_t3]]--0.0145666666666666)/-0.0145666666666666</f>
        <v>5.9922060756866184E-3</v>
      </c>
      <c r="M123" s="3">
        <f>(Penalty[[#This Row],[disp_t6]]--0.0145666666666666)/-0.0145666666666666</f>
        <v>0.11686414120460924</v>
      </c>
      <c r="N123" s="3">
        <f>(Penalty[[#This Row],[disp_q4]]--0.0145666666666666)/-0.0145666666666666</f>
        <v>5.2952459259226828E-2</v>
      </c>
      <c r="O123" s="3">
        <f>(Penalty[[#This Row],[disp_q8]]--0.0145666666666666)/-0.0145666666666666</f>
        <v>0.14551408757849729</v>
      </c>
    </row>
    <row r="124" spans="1:15" x14ac:dyDescent="0.3">
      <c r="A124">
        <v>3</v>
      </c>
      <c r="B124">
        <v>24</v>
      </c>
      <c r="C124">
        <f>Penalty[[#This Row],[nxi]]*3</f>
        <v>72</v>
      </c>
      <c r="D124">
        <v>800</v>
      </c>
      <c r="E124">
        <v>-1.46388225363358E-2</v>
      </c>
      <c r="F124">
        <v>1286</v>
      </c>
      <c r="G124">
        <v>-1.62905107458261E-2</v>
      </c>
      <c r="H124">
        <v>800</v>
      </c>
      <c r="I124">
        <v>-1.5330847879653201E-2</v>
      </c>
      <c r="J124">
        <v>1286</v>
      </c>
      <c r="K124">
        <v>-1.67056723943921E-2</v>
      </c>
      <c r="L124" s="3">
        <f>(Penalty[[#This Row],[disp_t3]]--0.0145666666666666)/-0.0145666666666666</f>
        <v>4.9534921969702972E-3</v>
      </c>
      <c r="M124" s="3">
        <f>(Penalty[[#This Row],[disp_t6]]--0.0145666666666666)/-0.0145666666666666</f>
        <v>0.11834169879813559</v>
      </c>
      <c r="N124" s="3">
        <f>(Penalty[[#This Row],[disp_q4]]--0.0145666666666666)/-0.0145666666666666</f>
        <v>5.2460952836609044E-2</v>
      </c>
      <c r="O124" s="3">
        <f>(Penalty[[#This Row],[disp_q8]]--0.0145666666666666)/-0.0145666666666666</f>
        <v>0.14684249847085887</v>
      </c>
    </row>
    <row r="125" spans="1:15" x14ac:dyDescent="0.3">
      <c r="A125">
        <v>3</v>
      </c>
      <c r="B125">
        <v>21</v>
      </c>
      <c r="C125">
        <f>Penalty[[#This Row],[nxi]]*3</f>
        <v>63</v>
      </c>
      <c r="D125">
        <v>704</v>
      </c>
      <c r="E125">
        <v>-1.4612736710831801E-2</v>
      </c>
      <c r="F125">
        <v>1130</v>
      </c>
      <c r="G125">
        <v>-1.62832623032069E-2</v>
      </c>
      <c r="H125">
        <v>704</v>
      </c>
      <c r="I125">
        <v>-1.5310876722458899E-2</v>
      </c>
      <c r="J125">
        <v>1130</v>
      </c>
      <c r="K125">
        <v>-1.6690822914546901E-2</v>
      </c>
      <c r="L125" s="3">
        <f>(Penalty[[#This Row],[disp_t3]]--0.0145666666666666)/-0.0145666666666666</f>
        <v>3.162703260768996E-3</v>
      </c>
      <c r="M125" s="3">
        <f>(Penalty[[#This Row],[disp_t6]]--0.0145666666666666)/-0.0145666666666666</f>
        <v>0.1178440940416688</v>
      </c>
      <c r="N125" s="3">
        <f>(Penalty[[#This Row],[disp_q4]]--0.0145666666666666)/-0.0145666666666666</f>
        <v>5.1089935180249658E-2</v>
      </c>
      <c r="O125" s="3">
        <f>(Penalty[[#This Row],[disp_q8]]--0.0145666666666666)/-0.0145666666666666</f>
        <v>0.14582308337851108</v>
      </c>
    </row>
    <row r="126" spans="1:15" x14ac:dyDescent="0.3">
      <c r="A126">
        <v>3</v>
      </c>
      <c r="B126">
        <v>18</v>
      </c>
      <c r="C126">
        <f>Penalty[[#This Row],[nxi]]*3</f>
        <v>54</v>
      </c>
      <c r="D126">
        <v>608</v>
      </c>
      <c r="E126">
        <v>-1.4566438219299999E-2</v>
      </c>
      <c r="F126">
        <v>974</v>
      </c>
      <c r="G126">
        <v>-1.62490101823996E-2</v>
      </c>
      <c r="H126">
        <v>608</v>
      </c>
      <c r="I126">
        <v>-1.52721351606034E-2</v>
      </c>
      <c r="J126">
        <v>974</v>
      </c>
      <c r="K126">
        <v>-1.6640933292297499E-2</v>
      </c>
      <c r="L126" s="3">
        <f>(Penalty[[#This Row],[disp_t3]]--0.0145666666666666)/-0.0145666666666666</f>
        <v>-1.5682885578950778E-5</v>
      </c>
      <c r="M126" s="3">
        <f>(Penalty[[#This Row],[disp_t6]]--0.0145666666666666)/-0.0145666666666666</f>
        <v>0.1154926898672546</v>
      </c>
      <c r="N126" s="3">
        <f>(Penalty[[#This Row],[disp_q4]]--0.0145666666666666)/-0.0145666666666666</f>
        <v>4.8430331391542569E-2</v>
      </c>
      <c r="O126" s="3">
        <f>(Penalty[[#This Row],[disp_q8]]--0.0145666666666666)/-0.0145666666666666</f>
        <v>0.14239816651928439</v>
      </c>
    </row>
    <row r="127" spans="1:15" x14ac:dyDescent="0.3">
      <c r="A127">
        <v>3</v>
      </c>
      <c r="B127">
        <v>15</v>
      </c>
      <c r="C127">
        <f>Penalty[[#This Row],[nxi]]*3</f>
        <v>45</v>
      </c>
      <c r="D127">
        <v>512</v>
      </c>
      <c r="E127">
        <v>-1.44910941043918E-2</v>
      </c>
      <c r="F127">
        <v>818</v>
      </c>
      <c r="G127">
        <v>-1.6173660770231298E-2</v>
      </c>
      <c r="H127">
        <v>512</v>
      </c>
      <c r="I127">
        <v>-1.5206786930682E-2</v>
      </c>
      <c r="J127">
        <v>818</v>
      </c>
      <c r="K127">
        <v>-1.6538276602086999E-2</v>
      </c>
      <c r="L127" s="3">
        <f>(Penalty[[#This Row],[disp_t3]]--0.0145666666666666)/-0.0145666666666666</f>
        <v>-5.1880477534187253E-3</v>
      </c>
      <c r="M127" s="3">
        <f>(Penalty[[#This Row],[disp_t6]]--0.0145666666666666)/-0.0145666666666666</f>
        <v>0.11031996134311485</v>
      </c>
      <c r="N127" s="3">
        <f>(Penalty[[#This Row],[disp_q4]]--0.0145666666666666)/-0.0145666666666666</f>
        <v>4.3944182884352659E-2</v>
      </c>
      <c r="O127" s="3">
        <f>(Penalty[[#This Row],[disp_q8]]--0.0145666666666666)/-0.0145666666666666</f>
        <v>0.13535079648195028</v>
      </c>
    </row>
    <row r="128" spans="1:15" x14ac:dyDescent="0.3">
      <c r="A128">
        <v>3</v>
      </c>
      <c r="B128">
        <v>13</v>
      </c>
      <c r="C128">
        <f>Penalty[[#This Row],[nxi]]*3</f>
        <v>39</v>
      </c>
      <c r="D128">
        <v>448</v>
      </c>
      <c r="E128">
        <v>-1.44187040963646E-2</v>
      </c>
      <c r="F128">
        <v>714</v>
      </c>
      <c r="G128">
        <v>-1.60920704422528E-2</v>
      </c>
      <c r="H128">
        <v>448</v>
      </c>
      <c r="I128">
        <v>-1.51436781448498E-2</v>
      </c>
      <c r="J128">
        <v>714</v>
      </c>
      <c r="K128">
        <v>-1.6429922500571799E-2</v>
      </c>
      <c r="L128" s="3">
        <f>(Penalty[[#This Row],[disp_t3]]--0.0145666666666666)/-0.0145666666666666</f>
        <v>-1.0157613521876465E-2</v>
      </c>
      <c r="M128" s="3">
        <f>(Penalty[[#This Row],[disp_t6]]--0.0145666666666666)/-0.0145666666666666</f>
        <v>0.10471879466266874</v>
      </c>
      <c r="N128" s="3">
        <f>(Penalty[[#This Row],[disp_q4]]--0.0145666666666666)/-0.0145666666666666</f>
        <v>3.9611771957656944E-2</v>
      </c>
      <c r="O128" s="3">
        <f>(Penalty[[#This Row],[disp_q8]]--0.0145666666666666)/-0.0145666666666666</f>
        <v>0.12791229981042618</v>
      </c>
    </row>
    <row r="129" spans="1:15" x14ac:dyDescent="0.3">
      <c r="A129">
        <v>3</v>
      </c>
      <c r="B129">
        <v>11</v>
      </c>
      <c r="C129">
        <f>Penalty[[#This Row],[nxi]]*3</f>
        <v>33</v>
      </c>
      <c r="D129">
        <v>384</v>
      </c>
      <c r="E129">
        <v>-1.43221140390452E-2</v>
      </c>
      <c r="F129">
        <v>610</v>
      </c>
      <c r="G129">
        <v>-1.5978844819314299E-2</v>
      </c>
      <c r="H129">
        <v>384</v>
      </c>
      <c r="I129">
        <v>-1.50606359588969E-2</v>
      </c>
      <c r="J129">
        <v>610</v>
      </c>
      <c r="K129">
        <v>-1.6281269945975702E-2</v>
      </c>
      <c r="L129" s="3">
        <f>(Penalty[[#This Row],[disp_t3]]--0.0145666666666666)/-0.0145666666666666</f>
        <v>-1.6788509905359319E-2</v>
      </c>
      <c r="M129" s="3">
        <f>(Penalty[[#This Row],[disp_t6]]--0.0145666666666666)/-0.0145666666666666</f>
        <v>9.6945868602817384E-2</v>
      </c>
      <c r="N129" s="3">
        <f>(Penalty[[#This Row],[disp_q4]]--0.0145666666666666)/-0.0145666666666666</f>
        <v>3.3910935393384668E-2</v>
      </c>
      <c r="O129" s="3">
        <f>(Penalty[[#This Row],[disp_q8]]--0.0145666666666666)/-0.0145666666666666</f>
        <v>0.11770731894570551</v>
      </c>
    </row>
    <row r="130" spans="1:15" x14ac:dyDescent="0.3">
      <c r="A130">
        <v>3</v>
      </c>
      <c r="B130">
        <v>9</v>
      </c>
      <c r="C130">
        <f>Penalty[[#This Row],[nxi]]*3</f>
        <v>27</v>
      </c>
      <c r="D130">
        <v>320</v>
      </c>
      <c r="E130">
        <v>-1.4190731509759399E-2</v>
      </c>
      <c r="F130">
        <v>506</v>
      </c>
      <c r="G130">
        <v>-1.5828203567565601E-2</v>
      </c>
      <c r="H130">
        <v>320</v>
      </c>
      <c r="I130">
        <v>-1.49514678472025E-2</v>
      </c>
      <c r="J130">
        <v>506</v>
      </c>
      <c r="K130">
        <v>-1.6083833923832402E-2</v>
      </c>
      <c r="L130" s="3">
        <f>(Penalty[[#This Row],[disp_t3]]--0.0145666666666666)/-0.0145666666666666</f>
        <v>-2.5807905508503544E-2</v>
      </c>
      <c r="M130" s="3">
        <f>(Penalty[[#This Row],[disp_t6]]--0.0145666666666666)/-0.0145666666666666</f>
        <v>8.6604363906110371E-2</v>
      </c>
      <c r="N130" s="3">
        <f>(Penalty[[#This Row],[disp_q4]]--0.0145666666666666)/-0.0145666666666666</f>
        <v>2.6416557016194702E-2</v>
      </c>
      <c r="O130" s="3">
        <f>(Penalty[[#This Row],[disp_q8]]--0.0145666666666666)/-0.0145666666666666</f>
        <v>0.10415335861550179</v>
      </c>
    </row>
    <row r="131" spans="1:15" x14ac:dyDescent="0.3">
      <c r="A131">
        <v>3</v>
      </c>
      <c r="B131">
        <v>8</v>
      </c>
      <c r="C131">
        <f>Penalty[[#This Row],[nxi]]*3</f>
        <v>24</v>
      </c>
      <c r="D131">
        <v>288</v>
      </c>
      <c r="E131">
        <v>-1.41052536640315E-2</v>
      </c>
      <c r="F131">
        <v>454</v>
      </c>
      <c r="G131">
        <v>-1.57368467331402E-2</v>
      </c>
      <c r="H131">
        <v>288</v>
      </c>
      <c r="I131">
        <v>-1.4883119961814101E-2</v>
      </c>
      <c r="J131">
        <v>454</v>
      </c>
      <c r="K131">
        <v>-1.5963289486109099E-2</v>
      </c>
      <c r="L131" s="3">
        <f>(Penalty[[#This Row],[disp_t3]]--0.0145666666666666)/-0.0145666666666666</f>
        <v>-3.167594983765E-2</v>
      </c>
      <c r="M131" s="3">
        <f>(Penalty[[#This Row],[disp_t6]]--0.0145666666666666)/-0.0145666666666666</f>
        <v>8.0332727675533608E-2</v>
      </c>
      <c r="N131" s="3">
        <f>(Penalty[[#This Row],[disp_q4]]--0.0145666666666666)/-0.0145666666666666</f>
        <v>2.1724482504405233E-2</v>
      </c>
      <c r="O131" s="3">
        <f>(Penalty[[#This Row],[disp_q8]]--0.0145666666666666)/-0.0145666666666666</f>
        <v>9.5877996758066811E-2</v>
      </c>
    </row>
    <row r="132" spans="1:15" x14ac:dyDescent="0.3">
      <c r="A132">
        <v>3</v>
      </c>
      <c r="B132">
        <v>7</v>
      </c>
      <c r="C132">
        <f>Penalty[[#This Row],[nxi]]*3</f>
        <v>21</v>
      </c>
      <c r="D132">
        <v>256</v>
      </c>
      <c r="E132">
        <v>-1.39990992841583E-2</v>
      </c>
      <c r="F132">
        <v>402</v>
      </c>
      <c r="G132">
        <v>-1.56332939995317E-2</v>
      </c>
      <c r="H132">
        <v>256</v>
      </c>
      <c r="I132">
        <v>-1.4800875352071001E-2</v>
      </c>
      <c r="J132">
        <v>402</v>
      </c>
      <c r="K132">
        <v>-1.58255045112401E-2</v>
      </c>
      <c r="L132" s="3">
        <f>(Penalty[[#This Row],[disp_t3]]--0.0145666666666666)/-0.0145666666666666</f>
        <v>-3.8963435870135128E-2</v>
      </c>
      <c r="M132" s="3">
        <f>(Penalty[[#This Row],[disp_t6]]--0.0145666666666666)/-0.0145666666666666</f>
        <v>7.3223844361448895E-2</v>
      </c>
      <c r="N132" s="3">
        <f>(Penalty[[#This Row],[disp_q4]]--0.0145666666666666)/-0.0145666666666666</f>
        <v>1.6078399455679796E-2</v>
      </c>
      <c r="O132" s="3">
        <f>(Penalty[[#This Row],[disp_q8]]--0.0145666666666666)/-0.0145666666666666</f>
        <v>8.641907399818119E-2</v>
      </c>
    </row>
    <row r="133" spans="1:15" x14ac:dyDescent="0.3">
      <c r="A133">
        <v>3</v>
      </c>
      <c r="B133">
        <v>6</v>
      </c>
      <c r="C133">
        <f>Penalty[[#This Row],[nxi]]*3</f>
        <v>18</v>
      </c>
      <c r="D133">
        <v>224</v>
      </c>
      <c r="E133">
        <v>-1.38609603315154E-2</v>
      </c>
      <c r="F133">
        <v>350</v>
      </c>
      <c r="G133">
        <v>-1.5515542913925E-2</v>
      </c>
      <c r="H133">
        <v>224</v>
      </c>
      <c r="I133">
        <v>-1.46969764973347E-2</v>
      </c>
      <c r="J133">
        <v>350</v>
      </c>
      <c r="K133">
        <v>-1.5667773609507E-2</v>
      </c>
      <c r="L133" s="3">
        <f>(Penalty[[#This Row],[disp_t3]]--0.0145666666666666)/-0.0145666666666666</f>
        <v>-4.8446659163698086E-2</v>
      </c>
      <c r="M133" s="3">
        <f>(Penalty[[#This Row],[disp_t6]]--0.0145666666666666)/-0.0145666666666666</f>
        <v>6.5140245807213171E-2</v>
      </c>
      <c r="N133" s="3">
        <f>(Penalty[[#This Row],[disp_q4]]--0.0145666666666666)/-0.0145666666666666</f>
        <v>8.9457549657735377E-3</v>
      </c>
      <c r="O133" s="3">
        <f>(Penalty[[#This Row],[disp_q8]]--0.0145666666666666)/-0.0145666666666666</f>
        <v>7.559086564121778E-2</v>
      </c>
    </row>
    <row r="134" spans="1:15" x14ac:dyDescent="0.3">
      <c r="A134">
        <v>3</v>
      </c>
      <c r="B134">
        <v>5</v>
      </c>
      <c r="C134">
        <f>Penalty[[#This Row],[nxi]]*3</f>
        <v>15</v>
      </c>
      <c r="D134">
        <v>192</v>
      </c>
      <c r="E134">
        <v>-1.3669521450504299E-2</v>
      </c>
      <c r="F134">
        <v>298</v>
      </c>
      <c r="G134">
        <v>-1.5379784808664299E-2</v>
      </c>
      <c r="H134">
        <v>192</v>
      </c>
      <c r="I134">
        <v>-1.4555426861714901E-2</v>
      </c>
      <c r="J134">
        <v>298</v>
      </c>
      <c r="K134">
        <v>-1.54870104599818E-2</v>
      </c>
      <c r="L134" s="3">
        <f>(Penalty[[#This Row],[disp_t3]]--0.0145666666666666)/-0.0145666666666666</f>
        <v>-6.1588916441348118E-2</v>
      </c>
      <c r="M134" s="3">
        <f>(Penalty[[#This Row],[disp_t6]]--0.0145666666666666)/-0.0145666666666666</f>
        <v>5.5820467414029996E-2</v>
      </c>
      <c r="N134" s="3">
        <f>(Penalty[[#This Row],[disp_q4]]--0.0145666666666666)/-0.0145666666666666</f>
        <v>-7.7161132391524885E-4</v>
      </c>
      <c r="O134" s="3">
        <f>(Penalty[[#This Row],[disp_q8]]--0.0145666666666666)/-0.0145666666666666</f>
        <v>6.3181496108595289E-2</v>
      </c>
    </row>
    <row r="135" spans="1:15" x14ac:dyDescent="0.3">
      <c r="A135">
        <v>3</v>
      </c>
      <c r="B135">
        <v>4</v>
      </c>
      <c r="C135">
        <f>Penalty[[#This Row],[nxi]]*3</f>
        <v>12</v>
      </c>
      <c r="D135">
        <v>160</v>
      </c>
      <c r="E135">
        <v>-1.33832845229607E-2</v>
      </c>
      <c r="F135">
        <v>246</v>
      </c>
      <c r="G135">
        <v>-1.52182228855758E-2</v>
      </c>
      <c r="H135">
        <v>160</v>
      </c>
      <c r="I135">
        <v>-1.43410630860884E-2</v>
      </c>
      <c r="J135">
        <v>246</v>
      </c>
      <c r="K135">
        <v>-1.52759120563082E-2</v>
      </c>
      <c r="L135" s="3">
        <f>(Penalty[[#This Row],[disp_t3]]--0.0145666666666666)/-0.0145666666666666</f>
        <v>-8.1239048766995781E-2</v>
      </c>
      <c r="M135" s="3">
        <f>(Penalty[[#This Row],[disp_t6]]--0.0145666666666666)/-0.0145666666666666</f>
        <v>4.4729259879350378E-2</v>
      </c>
      <c r="N135" s="3">
        <f>(Penalty[[#This Row],[disp_q4]]--0.0145666666666666)/-0.0145666666666666</f>
        <v>-1.5487659993926822E-2</v>
      </c>
      <c r="O135" s="3">
        <f>(Penalty[[#This Row],[disp_q8]]--0.0145666666666666)/-0.0145666666666666</f>
        <v>4.868961484953805E-2</v>
      </c>
    </row>
    <row r="136" spans="1:15" x14ac:dyDescent="0.3">
      <c r="A136">
        <v>3</v>
      </c>
      <c r="B136">
        <v>3</v>
      </c>
      <c r="C136">
        <f>Penalty[[#This Row],[nxi]]*3</f>
        <v>9</v>
      </c>
      <c r="D136">
        <v>128</v>
      </c>
      <c r="E136">
        <v>-1.2922463856556E-2</v>
      </c>
      <c r="F136">
        <v>194</v>
      </c>
      <c r="G136">
        <v>-1.50151395134873E-2</v>
      </c>
      <c r="H136">
        <v>128</v>
      </c>
      <c r="I136">
        <v>-1.3971402046824E-2</v>
      </c>
      <c r="J136">
        <v>194</v>
      </c>
      <c r="K136">
        <v>-1.50438171966032E-2</v>
      </c>
      <c r="L136" s="3">
        <f>(Penalty[[#This Row],[disp_t3]]--0.0145666666666666)/-0.0145666666666666</f>
        <v>-0.11287433479020184</v>
      </c>
      <c r="M136" s="3">
        <f>(Penalty[[#This Row],[disp_t6]]--0.0145666666666666)/-0.0145666666666666</f>
        <v>3.0787609621558527E-2</v>
      </c>
      <c r="N136" s="3">
        <f>(Penalty[[#This Row],[disp_q4]]--0.0145666666666666)/-0.0145666666666666</f>
        <v>-4.0864848044114534E-2</v>
      </c>
      <c r="O136" s="3">
        <f>(Penalty[[#This Row],[disp_q8]]--0.0145666666666666)/-0.0145666666666666</f>
        <v>3.2756329286265644E-2</v>
      </c>
    </row>
    <row r="137" spans="1:15" x14ac:dyDescent="0.3">
      <c r="A137">
        <v>3</v>
      </c>
      <c r="B137">
        <v>2</v>
      </c>
      <c r="C137">
        <f>Penalty[[#This Row],[nxi]]*3</f>
        <v>6</v>
      </c>
      <c r="D137">
        <v>96</v>
      </c>
      <c r="E137">
        <v>-1.2175416908937E-2</v>
      </c>
      <c r="F137">
        <v>142</v>
      </c>
      <c r="G137">
        <v>-1.47588020370339E-2</v>
      </c>
      <c r="H137">
        <v>96</v>
      </c>
      <c r="I137">
        <v>-1.3260296359265299E-2</v>
      </c>
      <c r="J137">
        <v>142</v>
      </c>
      <c r="K137">
        <v>-1.4731058491889701E-2</v>
      </c>
      <c r="L137" s="3">
        <f>(Penalty[[#This Row],[disp_t3]]--0.0145666666666666)/-0.0145666666666666</f>
        <v>-0.16415902226976731</v>
      </c>
      <c r="M137" s="3">
        <f>(Penalty[[#This Row],[disp_t6]]--0.0145666666666666)/-0.0145666666666666</f>
        <v>1.319007119226326E-2</v>
      </c>
      <c r="N137" s="3">
        <f>(Penalty[[#This Row],[disp_q4]]--0.0145666666666666)/-0.0145666666666666</f>
        <v>-8.9682172132812765E-2</v>
      </c>
      <c r="O137" s="3">
        <f>(Penalty[[#This Row],[disp_q8]]--0.0145666666666666)/-0.0145666666666666</f>
        <v>1.1285479992432649E-2</v>
      </c>
    </row>
    <row r="138" spans="1:15" x14ac:dyDescent="0.3">
      <c r="A138">
        <v>2</v>
      </c>
      <c r="B138">
        <v>40</v>
      </c>
      <c r="C138">
        <f>Penalty[[#This Row],[nxi]]*3</f>
        <v>120</v>
      </c>
      <c r="D138">
        <v>984</v>
      </c>
      <c r="E138">
        <v>-1.42380980520111E-2</v>
      </c>
      <c r="F138">
        <v>1548</v>
      </c>
      <c r="G138">
        <v>-1.6424645124488199E-2</v>
      </c>
      <c r="H138">
        <v>984</v>
      </c>
      <c r="I138">
        <v>-1.5495731598060799E-2</v>
      </c>
      <c r="J138">
        <v>1548</v>
      </c>
      <c r="K138">
        <v>-1.6726524521295302E-2</v>
      </c>
      <c r="L138" s="3">
        <f>(Penalty[[#This Row],[disp_t3]]--0.0145666666666666)/-0.0145666666666666</f>
        <v>-2.2556197802437152E-2</v>
      </c>
      <c r="M138" s="3">
        <f>(Penalty[[#This Row],[disp_t6]]--0.0145666666666666)/-0.0145666666666666</f>
        <v>0.12755000854610585</v>
      </c>
      <c r="N138" s="3">
        <f>(Penalty[[#This Row],[disp_q4]]--0.0145666666666666)/-0.0145666666666666</f>
        <v>6.3780201239876724E-2</v>
      </c>
      <c r="O138" s="3">
        <f>(Penalty[[#This Row],[disp_q8]]--0.0145666666666666)/-0.0145666666666666</f>
        <v>0.14827399459693677</v>
      </c>
    </row>
    <row r="139" spans="1:15" x14ac:dyDescent="0.3">
      <c r="A139">
        <v>2</v>
      </c>
      <c r="B139">
        <v>34</v>
      </c>
      <c r="C139">
        <f>Penalty[[#This Row],[nxi]]*3</f>
        <v>102</v>
      </c>
      <c r="D139">
        <v>840</v>
      </c>
      <c r="E139">
        <v>-1.4313883627596301E-2</v>
      </c>
      <c r="F139">
        <v>1320</v>
      </c>
      <c r="G139">
        <v>-1.6554583902090601E-2</v>
      </c>
      <c r="H139">
        <v>840</v>
      </c>
      <c r="I139">
        <v>-1.55790760170419E-2</v>
      </c>
      <c r="J139">
        <v>1320</v>
      </c>
      <c r="K139">
        <v>-1.6868936638345201E-2</v>
      </c>
      <c r="L139" s="3">
        <f>(Penalty[[#This Row],[disp_t3]]--0.0145666666666666)/-0.0145666666666666</f>
        <v>-1.7353526709631559E-2</v>
      </c>
      <c r="M139" s="3">
        <f>(Penalty[[#This Row],[disp_t6]]--0.0145666666666666)/-0.0145666666666666</f>
        <v>0.13647029076137376</v>
      </c>
      <c r="N139" s="3">
        <f>(Penalty[[#This Row],[disp_q4]]--0.0145666666666666)/-0.0145666666666666</f>
        <v>6.9501786066954591E-2</v>
      </c>
      <c r="O139" s="3">
        <f>(Penalty[[#This Row],[disp_q8]]--0.0145666666666666)/-0.0145666666666666</f>
        <v>0.15805057013811982</v>
      </c>
    </row>
    <row r="140" spans="1:15" x14ac:dyDescent="0.3">
      <c r="A140">
        <v>2</v>
      </c>
      <c r="B140">
        <v>29</v>
      </c>
      <c r="C140">
        <f>Penalty[[#This Row],[nxi]]*3</f>
        <v>87</v>
      </c>
      <c r="D140">
        <v>720</v>
      </c>
      <c r="E140">
        <v>-1.43840523569839E-2</v>
      </c>
      <c r="F140">
        <v>1130</v>
      </c>
      <c r="G140">
        <v>-1.6690170489796201E-2</v>
      </c>
      <c r="H140">
        <v>720</v>
      </c>
      <c r="I140">
        <v>-1.5659757611964899E-2</v>
      </c>
      <c r="J140">
        <v>1130</v>
      </c>
      <c r="K140">
        <v>-1.7019814764096201E-2</v>
      </c>
      <c r="L140" s="3">
        <f>(Penalty[[#This Row],[disp_t3]]--0.0145666666666666)/-0.0145666666666666</f>
        <v>-1.2536451465631567E-2</v>
      </c>
      <c r="M140" s="3">
        <f>(Penalty[[#This Row],[disp_t6]]--0.0145666666666666)/-0.0145666666666666</f>
        <v>0.14577829449402366</v>
      </c>
      <c r="N140" s="3">
        <f>(Penalty[[#This Row],[disp_q4]]--0.0145666666666666)/-0.0145666666666666</f>
        <v>7.5040568327114726E-2</v>
      </c>
      <c r="O140" s="3">
        <f>(Penalty[[#This Row],[disp_q8]]--0.0145666666666666)/-0.0145666666666666</f>
        <v>0.16840833620798257</v>
      </c>
    </row>
    <row r="141" spans="1:15" x14ac:dyDescent="0.3">
      <c r="A141">
        <v>2</v>
      </c>
      <c r="B141">
        <v>24</v>
      </c>
      <c r="C141">
        <f>Penalty[[#This Row],[nxi]]*3</f>
        <v>72</v>
      </c>
      <c r="D141">
        <v>600</v>
      </c>
      <c r="E141">
        <v>-1.44522041308532E-2</v>
      </c>
      <c r="F141">
        <v>940</v>
      </c>
      <c r="G141">
        <v>-1.68513875990326E-2</v>
      </c>
      <c r="H141">
        <v>600</v>
      </c>
      <c r="I141">
        <v>-1.57448142186488E-2</v>
      </c>
      <c r="J141">
        <v>940</v>
      </c>
      <c r="K141">
        <v>-1.7203720719119301E-2</v>
      </c>
      <c r="L141" s="3">
        <f>(Penalty[[#This Row],[disp_t3]]--0.0145666666666666)/-0.0145666666666666</f>
        <v>-7.8578399871899532E-3</v>
      </c>
      <c r="M141" s="3">
        <f>(Penalty[[#This Row],[disp_t6]]--0.0145666666666666)/-0.0145666666666666</f>
        <v>0.15684583059720902</v>
      </c>
      <c r="N141" s="3">
        <f>(Penalty[[#This Row],[disp_q4]]--0.0145666666666666)/-0.0145666666666666</f>
        <v>8.0879694644087355E-2</v>
      </c>
      <c r="O141" s="3">
        <f>(Penalty[[#This Row],[disp_q8]]--0.0145666666666666)/-0.0145666666666666</f>
        <v>0.18103345897844716</v>
      </c>
    </row>
    <row r="142" spans="1:15" x14ac:dyDescent="0.3">
      <c r="A142">
        <v>2</v>
      </c>
      <c r="B142">
        <v>21</v>
      </c>
      <c r="C142">
        <f>Penalty[[#This Row],[nxi]]*3</f>
        <v>63</v>
      </c>
      <c r="D142">
        <v>528</v>
      </c>
      <c r="E142">
        <v>-1.4482428156102799E-2</v>
      </c>
      <c r="F142">
        <v>826</v>
      </c>
      <c r="G142">
        <v>-1.6954234408889601E-2</v>
      </c>
      <c r="H142">
        <v>528</v>
      </c>
      <c r="I142">
        <v>-1.5789396871600199E-2</v>
      </c>
      <c r="J142">
        <v>826</v>
      </c>
      <c r="K142">
        <v>-1.73255582403559E-2</v>
      </c>
      <c r="L142" s="3">
        <f>(Penalty[[#This Row],[disp_t3]]--0.0145666666666666)/-0.0145666666666666</f>
        <v>-5.7829641119313728E-3</v>
      </c>
      <c r="M142" s="3">
        <f>(Penalty[[#This Row],[disp_t6]]--0.0145666666666666)/-0.0145666666666666</f>
        <v>0.16390625232652264</v>
      </c>
      <c r="N142" s="3">
        <f>(Penalty[[#This Row],[disp_q4]]--0.0145666666666666)/-0.0145666666666666</f>
        <v>8.3940288668210891E-2</v>
      </c>
      <c r="O142" s="3">
        <f>(Penalty[[#This Row],[disp_q8]]--0.0145666666666666)/-0.0145666666666666</f>
        <v>0.1893975908711199</v>
      </c>
    </row>
    <row r="143" spans="1:15" x14ac:dyDescent="0.3">
      <c r="A143">
        <v>2</v>
      </c>
      <c r="B143">
        <v>18</v>
      </c>
      <c r="C143">
        <f>Penalty[[#This Row],[nxi]]*3</f>
        <v>54</v>
      </c>
      <c r="D143">
        <v>456</v>
      </c>
      <c r="E143">
        <v>-1.4490518487959399E-2</v>
      </c>
      <c r="F143">
        <v>712</v>
      </c>
      <c r="G143">
        <v>-1.7046794012046899E-2</v>
      </c>
      <c r="H143">
        <v>456</v>
      </c>
      <c r="I143">
        <v>-1.5815099250733801E-2</v>
      </c>
      <c r="J143">
        <v>712</v>
      </c>
      <c r="K143">
        <v>-1.7442600846645201E-2</v>
      </c>
      <c r="L143" s="3">
        <f>(Penalty[[#This Row],[disp_t3]]--0.0145666666666666)/-0.0145666666666666</f>
        <v>-5.2275637556430396E-3</v>
      </c>
      <c r="M143" s="3">
        <f>(Penalty[[#This Row],[disp_t6]]--0.0145666666666666)/-0.0145666666666666</f>
        <v>0.17026045849292751</v>
      </c>
      <c r="N143" s="3">
        <f>(Penalty[[#This Row],[disp_q4]]--0.0145666666666666)/-0.0145666666666666</f>
        <v>8.5704754054957019E-2</v>
      </c>
      <c r="O143" s="3">
        <f>(Penalty[[#This Row],[disp_q8]]--0.0145666666666666)/-0.0145666666666666</f>
        <v>0.19743255240127791</v>
      </c>
    </row>
    <row r="144" spans="1:15" x14ac:dyDescent="0.3">
      <c r="A144">
        <v>2</v>
      </c>
      <c r="B144">
        <v>15</v>
      </c>
      <c r="C144">
        <f>Penalty[[#This Row],[nxi]]*3</f>
        <v>45</v>
      </c>
      <c r="D144">
        <v>384</v>
      </c>
      <c r="E144">
        <v>-1.44538167221385E-2</v>
      </c>
      <c r="F144">
        <v>598</v>
      </c>
      <c r="G144">
        <v>-1.7097439895476001E-2</v>
      </c>
      <c r="H144">
        <v>384</v>
      </c>
      <c r="I144">
        <v>-1.57973214080805E-2</v>
      </c>
      <c r="J144">
        <v>598</v>
      </c>
      <c r="K144">
        <v>-1.75238437794819E-2</v>
      </c>
      <c r="L144" s="3">
        <f>(Penalty[[#This Row],[disp_t3]]--0.0145666666666666)/-0.0145666666666666</f>
        <v>-7.7471357799611179E-3</v>
      </c>
      <c r="M144" s="3">
        <f>(Penalty[[#This Row],[disp_t6]]--0.0145666666666666)/-0.0145666666666666</f>
        <v>0.17373729259561194</v>
      </c>
      <c r="N144" s="3">
        <f>(Penalty[[#This Row],[disp_q4]]--0.0145666666666666)/-0.0145666666666666</f>
        <v>8.4484307190885982E-2</v>
      </c>
      <c r="O144" s="3">
        <f>(Penalty[[#This Row],[disp_q8]]--0.0145666666666666)/-0.0145666666666666</f>
        <v>0.20300987044498725</v>
      </c>
    </row>
    <row r="145" spans="1:15" x14ac:dyDescent="0.3">
      <c r="A145">
        <v>2</v>
      </c>
      <c r="B145">
        <v>13</v>
      </c>
      <c r="C145">
        <f>Penalty[[#This Row],[nxi]]*3</f>
        <v>39</v>
      </c>
      <c r="D145">
        <v>336</v>
      </c>
      <c r="E145">
        <v>-1.43866968829573E-2</v>
      </c>
      <c r="F145">
        <v>522</v>
      </c>
      <c r="G145">
        <v>-1.7077909409237101E-2</v>
      </c>
      <c r="H145">
        <v>336</v>
      </c>
      <c r="I145">
        <v>-1.57407557339443E-2</v>
      </c>
      <c r="J145">
        <v>522</v>
      </c>
      <c r="K145">
        <v>-1.75270155440592E-2</v>
      </c>
      <c r="L145" s="3">
        <f>(Penalty[[#This Row],[disp_t3]]--0.0145666666666666)/-0.0145666666666666</f>
        <v>-1.2354905060135011E-2</v>
      </c>
      <c r="M145" s="3">
        <f>(Penalty[[#This Row],[disp_t6]]--0.0145666666666666)/-0.0145666666666666</f>
        <v>0.17239652694992083</v>
      </c>
      <c r="N145" s="3">
        <f>(Penalty[[#This Row],[disp_q4]]--0.0145666666666666)/-0.0145666666666666</f>
        <v>8.0601080133480954E-2</v>
      </c>
      <c r="O145" s="3">
        <f>(Penalty[[#This Row],[disp_q8]]--0.0145666666666666)/-0.0145666666666666</f>
        <v>0.20322761172031681</v>
      </c>
    </row>
    <row r="146" spans="1:15" x14ac:dyDescent="0.3">
      <c r="A146">
        <v>2</v>
      </c>
      <c r="B146">
        <v>11</v>
      </c>
      <c r="C146">
        <f>Penalty[[#This Row],[nxi]]*3</f>
        <v>33</v>
      </c>
      <c r="D146">
        <v>288</v>
      </c>
      <c r="E146">
        <v>-1.4268410328092399E-2</v>
      </c>
      <c r="F146">
        <v>446</v>
      </c>
      <c r="G146">
        <v>-1.69821739520995E-2</v>
      </c>
      <c r="H146">
        <v>288</v>
      </c>
      <c r="I146">
        <v>-1.5627799071486901E-2</v>
      </c>
      <c r="J146">
        <v>446</v>
      </c>
      <c r="K146">
        <v>-1.7452132899498599E-2</v>
      </c>
      <c r="L146" s="3">
        <f>(Penalty[[#This Row],[disp_t3]]--0.0145666666666666)/-0.0145666666666666</f>
        <v>-2.047526351767974E-2</v>
      </c>
      <c r="M146" s="3">
        <f>(Penalty[[#This Row],[disp_t6]]--0.0145666666666666)/-0.0145666666666666</f>
        <v>0.16582429877113808</v>
      </c>
      <c r="N146" s="3">
        <f>(Penalty[[#This Row],[disp_q4]]--0.0145666666666666)/-0.0145666666666666</f>
        <v>7.2846618179883749E-2</v>
      </c>
      <c r="O146" s="3">
        <f>(Penalty[[#This Row],[disp_q8]]--0.0145666666666666)/-0.0145666666666666</f>
        <v>0.19808692673903983</v>
      </c>
    </row>
    <row r="147" spans="1:15" x14ac:dyDescent="0.3">
      <c r="A147">
        <v>2</v>
      </c>
      <c r="B147">
        <v>9</v>
      </c>
      <c r="C147">
        <f>Penalty[[#This Row],[nxi]]*3</f>
        <v>27</v>
      </c>
      <c r="D147">
        <v>240</v>
      </c>
      <c r="E147">
        <v>-1.4082233778896501E-2</v>
      </c>
      <c r="F147">
        <v>370</v>
      </c>
      <c r="G147">
        <v>-1.6774480259482399E-2</v>
      </c>
      <c r="H147">
        <v>240</v>
      </c>
      <c r="I147">
        <v>-1.54382782182458E-2</v>
      </c>
      <c r="J147">
        <v>370</v>
      </c>
      <c r="K147">
        <v>-1.7254027789388601E-2</v>
      </c>
      <c r="L147" s="3">
        <f>(Penalty[[#This Row],[disp_t3]]--0.0145666666666666)/-0.0145666666666666</f>
        <v>-3.3256262318313565E-2</v>
      </c>
      <c r="M147" s="3">
        <f>(Penalty[[#This Row],[disp_t6]]--0.0145666666666666)/-0.0145666666666666</f>
        <v>0.15156615053655442</v>
      </c>
      <c r="N147" s="3">
        <f>(Penalty[[#This Row],[disp_q4]]--0.0145666666666666)/-0.0145666666666666</f>
        <v>5.9836033289190224E-2</v>
      </c>
      <c r="O147" s="3">
        <f>(Penalty[[#This Row],[disp_q8]]--0.0145666666666666)/-0.0145666666666666</f>
        <v>0.18448703359647695</v>
      </c>
    </row>
    <row r="148" spans="1:15" x14ac:dyDescent="0.3">
      <c r="A148">
        <v>2</v>
      </c>
      <c r="B148">
        <v>8</v>
      </c>
      <c r="C148">
        <f>Penalty[[#This Row],[nxi]]*3</f>
        <v>24</v>
      </c>
      <c r="D148">
        <v>216</v>
      </c>
      <c r="E148">
        <v>-1.39584291094556E-2</v>
      </c>
      <c r="F148">
        <v>332</v>
      </c>
      <c r="G148">
        <v>-1.6619028844770501E-2</v>
      </c>
      <c r="H148">
        <v>216</v>
      </c>
      <c r="I148">
        <v>-1.53091629385812E-2</v>
      </c>
      <c r="J148">
        <v>332</v>
      </c>
      <c r="K148">
        <v>-1.7092857520778701E-2</v>
      </c>
      <c r="L148" s="3">
        <f>(Penalty[[#This Row],[disp_t3]]--0.0145666666666666)/-0.0145666666666666</f>
        <v>-4.1755438710137413E-2</v>
      </c>
      <c r="M148" s="3">
        <f>(Penalty[[#This Row],[disp_t6]]--0.0145666666666666)/-0.0145666666666666</f>
        <v>0.14089442870278565</v>
      </c>
      <c r="N148" s="3">
        <f>(Penalty[[#This Row],[disp_q4]]--0.0145666666666666)/-0.0145666666666666</f>
        <v>5.097228411313072E-2</v>
      </c>
      <c r="O148" s="3">
        <f>(Penalty[[#This Row],[disp_q8]]--0.0145666666666666)/-0.0145666666666666</f>
        <v>0.17342271309694141</v>
      </c>
    </row>
    <row r="149" spans="1:15" x14ac:dyDescent="0.3">
      <c r="A149">
        <v>2</v>
      </c>
      <c r="B149">
        <v>7</v>
      </c>
      <c r="C149">
        <f>Penalty[[#This Row],[nxi]]*3</f>
        <v>21</v>
      </c>
      <c r="D149">
        <v>192</v>
      </c>
      <c r="E149">
        <v>-1.3810857666355101E-2</v>
      </c>
      <c r="F149">
        <v>294</v>
      </c>
      <c r="G149">
        <v>-1.6427221528782399E-2</v>
      </c>
      <c r="H149">
        <v>192</v>
      </c>
      <c r="I149">
        <v>-1.5154536082349899E-2</v>
      </c>
      <c r="J149">
        <v>294</v>
      </c>
      <c r="K149">
        <v>-1.6882290263883101E-2</v>
      </c>
      <c r="L149" s="3">
        <f>(Penalty[[#This Row],[disp_t3]]--0.0145666666666666)/-0.0145666666666666</f>
        <v>-5.1886201394382304E-2</v>
      </c>
      <c r="M149" s="3">
        <f>(Penalty[[#This Row],[disp_t6]]--0.0145666666666666)/-0.0145666666666666</f>
        <v>0.12772687840611954</v>
      </c>
      <c r="N149" s="3">
        <f>(Penalty[[#This Row],[disp_q4]]--0.0145666666666666)/-0.0145666666666666</f>
        <v>4.0357168124711844E-2</v>
      </c>
      <c r="O149" s="3">
        <f>(Penalty[[#This Row],[disp_q8]]--0.0145666666666666)/-0.0145666666666666</f>
        <v>0.15896729500342188</v>
      </c>
    </row>
    <row r="150" spans="1:15" x14ac:dyDescent="0.3">
      <c r="A150">
        <v>2</v>
      </c>
      <c r="B150">
        <v>6</v>
      </c>
      <c r="C150">
        <f>Penalty[[#This Row],[nxi]]*3</f>
        <v>18</v>
      </c>
      <c r="D150">
        <v>168</v>
      </c>
      <c r="E150">
        <v>-1.3634904229737E-2</v>
      </c>
      <c r="F150">
        <v>256</v>
      </c>
      <c r="G150">
        <v>-1.6201003391776599E-2</v>
      </c>
      <c r="H150">
        <v>168</v>
      </c>
      <c r="I150">
        <v>-1.4971150417001901E-2</v>
      </c>
      <c r="J150">
        <v>256</v>
      </c>
      <c r="K150">
        <v>-1.66175647358674E-2</v>
      </c>
      <c r="L150" s="3">
        <f>(Penalty[[#This Row],[disp_t3]]--0.0145666666666666)/-0.0145666666666666</f>
        <v>-6.3965384686242813E-2</v>
      </c>
      <c r="M150" s="3">
        <f>(Penalty[[#This Row],[disp_t6]]--0.0145666666666666)/-0.0145666666666666</f>
        <v>0.11219702918375338</v>
      </c>
      <c r="N150" s="3">
        <f>(Penalty[[#This Row],[disp_q4]]--0.0145666666666666)/-0.0145666666666666</f>
        <v>2.7767763180913271E-2</v>
      </c>
      <c r="O150" s="3">
        <f>(Penalty[[#This Row],[disp_q8]]--0.0145666666666666)/-0.0145666666666666</f>
        <v>0.14079391779410594</v>
      </c>
    </row>
    <row r="151" spans="1:15" x14ac:dyDescent="0.3">
      <c r="A151">
        <v>2</v>
      </c>
      <c r="B151">
        <v>5</v>
      </c>
      <c r="C151">
        <f>Penalty[[#This Row],[nxi]]*3</f>
        <v>15</v>
      </c>
      <c r="D151">
        <v>144</v>
      </c>
      <c r="E151">
        <v>-1.3419770272428E-2</v>
      </c>
      <c r="F151">
        <v>218</v>
      </c>
      <c r="G151">
        <v>-1.5944707139322199E-2</v>
      </c>
      <c r="H151">
        <v>144</v>
      </c>
      <c r="I151">
        <v>-1.47500098180971E-2</v>
      </c>
      <c r="J151">
        <v>218</v>
      </c>
      <c r="K151">
        <v>-1.62956089747926E-2</v>
      </c>
      <c r="L151" s="3">
        <f>(Penalty[[#This Row],[disp_t3]]--0.0145666666666666)/-0.0145666666666666</f>
        <v>-7.8734306240636501E-2</v>
      </c>
      <c r="M151" s="3">
        <f>(Penalty[[#This Row],[disp_t6]]--0.0145666666666666)/-0.0145666666666666</f>
        <v>9.4602320777272694E-2</v>
      </c>
      <c r="N151" s="3">
        <f>(Penalty[[#This Row],[disp_q4]]--0.0145666666666666)/-0.0145666666666666</f>
        <v>1.258648636822666E-2</v>
      </c>
      <c r="O151" s="3">
        <f>(Penalty[[#This Row],[disp_q8]]--0.0145666666666666)/-0.0145666666666666</f>
        <v>0.11869169163336447</v>
      </c>
    </row>
    <row r="152" spans="1:15" x14ac:dyDescent="0.3">
      <c r="A152">
        <v>2</v>
      </c>
      <c r="B152">
        <v>4</v>
      </c>
      <c r="C152">
        <f>Penalty[[#This Row],[nxi]]*3</f>
        <v>12</v>
      </c>
      <c r="D152">
        <v>120</v>
      </c>
      <c r="E152">
        <v>-1.31384595091218E-2</v>
      </c>
      <c r="F152">
        <v>180</v>
      </c>
      <c r="G152">
        <v>-1.5661553583831499E-2</v>
      </c>
      <c r="H152">
        <v>120</v>
      </c>
      <c r="I152">
        <v>-1.4464423807859599E-2</v>
      </c>
      <c r="J152">
        <v>180</v>
      </c>
      <c r="K152">
        <v>-1.59157465942537E-2</v>
      </c>
      <c r="L152" s="3">
        <f>(Penalty[[#This Row],[disp_t3]]--0.0145666666666666)/-0.0145666666666666</f>
        <v>-9.8046257955020991E-2</v>
      </c>
      <c r="M152" s="3">
        <f>(Penalty[[#This Row],[disp_t6]]--0.0145666666666666)/-0.0145666666666666</f>
        <v>7.5163861590268041E-2</v>
      </c>
      <c r="N152" s="3">
        <f>(Penalty[[#This Row],[disp_q4]]--0.0145666666666666)/-0.0145666666666666</f>
        <v>-7.0189605588329932E-3</v>
      </c>
      <c r="O152" s="3">
        <f>(Penalty[[#This Row],[disp_q8]]--0.0145666666666666)/-0.0145666666666666</f>
        <v>9.2614182671883746E-2</v>
      </c>
    </row>
    <row r="153" spans="1:15" x14ac:dyDescent="0.3">
      <c r="A153">
        <v>2</v>
      </c>
      <c r="B153">
        <v>3</v>
      </c>
      <c r="C153">
        <f>Penalty[[#This Row],[nxi]]*3</f>
        <v>9</v>
      </c>
      <c r="D153">
        <v>96</v>
      </c>
      <c r="E153">
        <v>-1.27268597329323E-2</v>
      </c>
      <c r="F153">
        <v>142</v>
      </c>
      <c r="G153">
        <v>-1.53451228420331E-2</v>
      </c>
      <c r="H153">
        <v>96</v>
      </c>
      <c r="I153">
        <v>-1.4038647934934E-2</v>
      </c>
      <c r="J153">
        <v>142</v>
      </c>
      <c r="K153">
        <v>-1.54928710900104E-2</v>
      </c>
      <c r="L153" s="3">
        <f>(Penalty[[#This Row],[disp_t3]]--0.0145666666666666)/-0.0145666666666666</f>
        <v>-0.12630253549663439</v>
      </c>
      <c r="M153" s="3">
        <f>(Penalty[[#This Row],[disp_t6]]--0.0145666666666666)/-0.0145666666666666</f>
        <v>5.3440927370698263E-2</v>
      </c>
      <c r="N153" s="3">
        <f>(Penalty[[#This Row],[disp_q4]]--0.0145666666666666)/-0.0145666666666666</f>
        <v>-3.6248425519400607E-2</v>
      </c>
      <c r="O153" s="3">
        <f>(Penalty[[#This Row],[disp_q8]]--0.0145666666666666)/-0.0145666666666666</f>
        <v>6.3583827689506073E-2</v>
      </c>
    </row>
    <row r="154" spans="1:15" x14ac:dyDescent="0.3">
      <c r="A154">
        <v>2</v>
      </c>
      <c r="B154">
        <v>2</v>
      </c>
      <c r="C154">
        <f>Penalty[[#This Row],[nxi]]*3</f>
        <v>6</v>
      </c>
      <c r="D154">
        <v>72</v>
      </c>
      <c r="E154">
        <v>-1.2079009577756501E-2</v>
      </c>
      <c r="F154">
        <v>104</v>
      </c>
      <c r="G154">
        <v>-1.4987901184178601E-2</v>
      </c>
      <c r="H154">
        <v>72</v>
      </c>
      <c r="I154">
        <v>-1.32936965795544E-2</v>
      </c>
      <c r="J154">
        <v>104</v>
      </c>
      <c r="K154">
        <v>-1.4986964681520099E-2</v>
      </c>
      <c r="L154" s="3">
        <f>(Penalty[[#This Row],[disp_t3]]--0.0145666666666666)/-0.0145666666666666</f>
        <v>-0.17077737452472153</v>
      </c>
      <c r="M154" s="3">
        <f>(Penalty[[#This Row],[disp_t6]]--0.0145666666666666)/-0.0145666666666666</f>
        <v>2.8917701431029987E-2</v>
      </c>
      <c r="N154" s="3">
        <f>(Penalty[[#This Row],[disp_q4]]--0.0145666666666666)/-0.0145666666666666</f>
        <v>-8.7389250831501508E-2</v>
      </c>
      <c r="O154" s="3">
        <f>(Penalty[[#This Row],[disp_q8]]--0.0145666666666666)/-0.0145666666666666</f>
        <v>2.8853410630675182E-2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32A39-C7EF-4884-A0CC-F6A9F098A484}">
  <dimension ref="A1:O154"/>
  <sheetViews>
    <sheetView workbookViewId="0">
      <selection activeCell="B1" sqref="B1:C1"/>
    </sheetView>
  </sheetViews>
  <sheetFormatPr defaultRowHeight="14.4" x14ac:dyDescent="0.3"/>
  <cols>
    <col min="4" max="7" width="9" customWidth="1"/>
    <col min="8" max="11" width="9.5546875" customWidth="1"/>
    <col min="12" max="12" width="9.88671875" bestFit="1" customWidth="1"/>
    <col min="13" max="15" width="10.77734375" bestFit="1" customWidth="1"/>
  </cols>
  <sheetData>
    <row r="1" spans="1:15" x14ac:dyDescent="0.3">
      <c r="A1" t="s">
        <v>0</v>
      </c>
      <c r="B1" t="s">
        <v>24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3" t="s">
        <v>16</v>
      </c>
      <c r="M1" s="3" t="s">
        <v>17</v>
      </c>
      <c r="N1" s="3" t="s">
        <v>18</v>
      </c>
      <c r="O1" s="3" t="s">
        <v>19</v>
      </c>
    </row>
    <row r="2" spans="1:15" x14ac:dyDescent="0.3">
      <c r="A2">
        <v>20</v>
      </c>
      <c r="B2">
        <v>40</v>
      </c>
      <c r="C2">
        <f>Lagrange[[#This Row],[nxi]]*3</f>
        <v>120</v>
      </c>
      <c r="D2">
        <v>6888</v>
      </c>
      <c r="E2">
        <v>-1.48832226908839E-2</v>
      </c>
      <c r="F2">
        <v>11808</v>
      </c>
      <c r="G2">
        <v>-1.5007788774389399E-2</v>
      </c>
      <c r="H2">
        <v>6888</v>
      </c>
      <c r="I2">
        <v>-1.49109520152758E-2</v>
      </c>
      <c r="J2">
        <v>11808</v>
      </c>
      <c r="K2">
        <v>-1.50202049366659E-2</v>
      </c>
      <c r="L2" s="3">
        <f>(Lagrange[[#This Row],[disp_t3]]--0.0145666666666666)/-0.0145666666666666</f>
        <v>2.1731534843293068E-2</v>
      </c>
      <c r="M2" s="3">
        <f>(Lagrange[[#This Row],[disp_t6]]--0.0145666666666666)/-0.0145666666666666</f>
        <v>3.028298222353331E-2</v>
      </c>
      <c r="N2" s="3">
        <f>(Lagrange[[#This Row],[disp_q4]]--0.0145666666666666)/-0.0145666666666666</f>
        <v>2.3635149790105392E-2</v>
      </c>
      <c r="O2" s="3">
        <f>(Lagrange[[#This Row],[disp_q8]]--0.0145666666666666)/-0.0145666666666666</f>
        <v>3.1135350343201553E-2</v>
      </c>
    </row>
    <row r="3" spans="1:15" x14ac:dyDescent="0.3">
      <c r="A3">
        <v>20</v>
      </c>
      <c r="B3">
        <v>34</v>
      </c>
      <c r="C3">
        <f>Lagrange[[#This Row],[nxi]]*3</f>
        <v>102</v>
      </c>
      <c r="D3">
        <v>5880</v>
      </c>
      <c r="E3">
        <v>-1.48746050881988E-2</v>
      </c>
      <c r="F3">
        <v>10068</v>
      </c>
      <c r="G3">
        <v>-1.4996907074013599E-2</v>
      </c>
      <c r="H3">
        <v>5880</v>
      </c>
      <c r="I3">
        <v>-1.49057181967957E-2</v>
      </c>
      <c r="J3">
        <v>10068</v>
      </c>
      <c r="K3">
        <v>-1.50042712348023E-2</v>
      </c>
      <c r="L3" s="3">
        <f>(Lagrange[[#This Row],[disp_t3]]--0.0145666666666666)/-0.0145666666666666</f>
        <v>2.1139937404956649E-2</v>
      </c>
      <c r="M3" s="3">
        <f>(Lagrange[[#This Row],[disp_t6]]--0.0145666666666666)/-0.0145666666666666</f>
        <v>2.9535954737780458E-2</v>
      </c>
      <c r="N3" s="3">
        <f>(Lagrange[[#This Row],[disp_q4]]--0.0145666666666666)/-0.0145666666666666</f>
        <v>2.3275848750281592E-2</v>
      </c>
      <c r="O3" s="3">
        <f>(Lagrange[[#This Row],[disp_q8]]--0.0145666666666666)/-0.0145666666666666</f>
        <v>3.0041503533343464E-2</v>
      </c>
    </row>
    <row r="4" spans="1:15" x14ac:dyDescent="0.3">
      <c r="A4">
        <v>20</v>
      </c>
      <c r="B4">
        <v>29</v>
      </c>
      <c r="C4">
        <f>Lagrange[[#This Row],[nxi]]*3</f>
        <v>87</v>
      </c>
      <c r="D4">
        <v>5040</v>
      </c>
      <c r="E4">
        <v>-1.4863264623100499E-2</v>
      </c>
      <c r="F4">
        <v>8618</v>
      </c>
      <c r="G4">
        <v>-1.4984944745295299E-2</v>
      </c>
      <c r="H4">
        <v>5040</v>
      </c>
      <c r="I4">
        <v>-1.4898965616190699E-2</v>
      </c>
      <c r="J4">
        <v>8618</v>
      </c>
      <c r="K4">
        <v>-1.49884143079157E-2</v>
      </c>
      <c r="L4" s="3">
        <f>(Lagrange[[#This Row],[disp_t3]]--0.0145666666666666)/-0.0145666666666666</f>
        <v>2.036141577349437E-2</v>
      </c>
      <c r="M4" s="3">
        <f>(Lagrange[[#This Row],[disp_t6]]--0.0145666666666666)/-0.0145666666666666</f>
        <v>2.8714742239956664E-2</v>
      </c>
      <c r="N4" s="3">
        <f>(Lagrange[[#This Row],[disp_q4]]--0.0145666666666666)/-0.0145666666666666</f>
        <v>2.2812284864354791E-2</v>
      </c>
      <c r="O4" s="3">
        <f>(Lagrange[[#This Row],[disp_q8]]--0.0145666666666666)/-0.0145666666666666</f>
        <v>2.8952927316872042E-2</v>
      </c>
    </row>
    <row r="5" spans="1:15" x14ac:dyDescent="0.3">
      <c r="A5">
        <v>20</v>
      </c>
      <c r="B5">
        <v>24</v>
      </c>
      <c r="C5">
        <f>Lagrange[[#This Row],[nxi]]*3</f>
        <v>72</v>
      </c>
      <c r="D5">
        <v>4200</v>
      </c>
      <c r="E5">
        <v>-1.48448361394884E-2</v>
      </c>
      <c r="F5">
        <v>7168</v>
      </c>
      <c r="G5">
        <v>-1.4969145955766301E-2</v>
      </c>
      <c r="H5">
        <v>4200</v>
      </c>
      <c r="I5">
        <v>-1.48882695196386E-2</v>
      </c>
      <c r="J5">
        <v>7168</v>
      </c>
      <c r="K5">
        <v>-1.4969320254391001E-2</v>
      </c>
      <c r="L5" s="3">
        <f>(Lagrange[[#This Row],[disp_t3]]--0.0145666666666666)/-0.0145666666666666</f>
        <v>1.9096302482045909E-2</v>
      </c>
      <c r="M5" s="3">
        <f>(Lagrange[[#This Row],[disp_t6]]--0.0145666666666666)/-0.0145666666666666</f>
        <v>2.7630157146432726E-2</v>
      </c>
      <c r="N5" s="3">
        <f>(Lagrange[[#This Row],[disp_q4]]--0.0145666666666666)/-0.0145666666666666</f>
        <v>2.2077999059862873E-2</v>
      </c>
      <c r="O5" s="3">
        <f>(Lagrange[[#This Row],[disp_q8]]--0.0145666666666666)/-0.0145666666666666</f>
        <v>2.7642122727075745E-2</v>
      </c>
    </row>
    <row r="6" spans="1:15" x14ac:dyDescent="0.3">
      <c r="A6">
        <v>20</v>
      </c>
      <c r="B6">
        <v>21</v>
      </c>
      <c r="C6">
        <f>Lagrange[[#This Row],[nxi]]*3</f>
        <v>63</v>
      </c>
      <c r="D6">
        <v>3696</v>
      </c>
      <c r="E6">
        <v>-1.4827705846674E-2</v>
      </c>
      <c r="F6">
        <v>6298</v>
      </c>
      <c r="G6">
        <v>-1.49570915721704E-2</v>
      </c>
      <c r="H6">
        <v>3696</v>
      </c>
      <c r="I6">
        <v>-1.4878603953746201E-2</v>
      </c>
      <c r="J6">
        <v>6298</v>
      </c>
      <c r="K6">
        <v>-1.4955715796252499E-2</v>
      </c>
      <c r="L6" s="3">
        <f>(Lagrange[[#This Row],[disp_t3]]--0.0145666666666666)/-0.0145666666666666</f>
        <v>1.7920309840325076E-2</v>
      </c>
      <c r="M6" s="3">
        <f>(Lagrange[[#This Row],[disp_t6]]--0.0145666666666666)/-0.0145666666666666</f>
        <v>2.6802625091794225E-2</v>
      </c>
      <c r="N6" s="3">
        <f>(Lagrange[[#This Row],[disp_q4]]--0.0145666666666666)/-0.0145666666666666</f>
        <v>2.1414459067249623E-2</v>
      </c>
      <c r="O6" s="3">
        <f>(Lagrange[[#This Row],[disp_q8]]--0.0145666666666666)/-0.0145666666666666</f>
        <v>2.670817823244177E-2</v>
      </c>
    </row>
    <row r="7" spans="1:15" x14ac:dyDescent="0.3">
      <c r="A7">
        <v>20</v>
      </c>
      <c r="B7">
        <v>18</v>
      </c>
      <c r="C7">
        <f>Lagrange[[#This Row],[nxi]]*3</f>
        <v>54</v>
      </c>
      <c r="D7">
        <v>3192</v>
      </c>
      <c r="E7">
        <v>-1.4802500914325599E-2</v>
      </c>
      <c r="F7">
        <v>5428</v>
      </c>
      <c r="G7">
        <v>-1.49423460559695E-2</v>
      </c>
      <c r="H7">
        <v>3192</v>
      </c>
      <c r="I7">
        <v>-1.4864786285205701E-2</v>
      </c>
      <c r="J7">
        <v>5428</v>
      </c>
      <c r="K7">
        <v>-1.49398260653424E-2</v>
      </c>
      <c r="L7" s="3">
        <f>(Lagrange[[#This Row],[disp_t3]]--0.0145666666666666)/-0.0145666666666666</f>
        <v>1.6189994118466892E-2</v>
      </c>
      <c r="M7" s="3">
        <f>(Lagrange[[#This Row],[disp_t6]]--0.0145666666666666)/-0.0145666666666666</f>
        <v>2.579034709173245E-2</v>
      </c>
      <c r="N7" s="3">
        <f>(Lagrange[[#This Row],[disp_q4]]--0.0145666666666666)/-0.0145666666666666</f>
        <v>2.0465877702913231E-2</v>
      </c>
      <c r="O7" s="3">
        <f>(Lagrange[[#This Row],[disp_q8]]--0.0145666666666666)/-0.0145666666666666</f>
        <v>2.5617350023510441E-2</v>
      </c>
    </row>
    <row r="8" spans="1:15" x14ac:dyDescent="0.3">
      <c r="A8">
        <v>20</v>
      </c>
      <c r="B8">
        <v>15</v>
      </c>
      <c r="C8">
        <f>Lagrange[[#This Row],[nxi]]*3</f>
        <v>45</v>
      </c>
      <c r="D8">
        <v>2688</v>
      </c>
      <c r="E8">
        <v>-1.4763010580279699E-2</v>
      </c>
      <c r="F8">
        <v>4558</v>
      </c>
      <c r="G8">
        <v>-1.49237899395217E-2</v>
      </c>
      <c r="H8">
        <v>2688</v>
      </c>
      <c r="I8">
        <v>-1.4843858056145401E-2</v>
      </c>
      <c r="J8">
        <v>4558</v>
      </c>
      <c r="K8">
        <v>-1.4920587133810901E-2</v>
      </c>
      <c r="L8" s="3">
        <f>(Lagrange[[#This Row],[disp_t3]]--0.0145666666666666)/-0.0145666666666666</f>
        <v>1.3478987204560701E-2</v>
      </c>
      <c r="M8" s="3">
        <f>(Lagrange[[#This Row],[disp_t6]]--0.0145666666666666)/-0.0145666666666666</f>
        <v>2.4516471820716392E-2</v>
      </c>
      <c r="N8" s="3">
        <f>(Lagrange[[#This Row],[disp_q4]]--0.0145666666666666)/-0.0145666666666666</f>
        <v>1.9029157172457834E-2</v>
      </c>
      <c r="O8" s="3">
        <f>(Lagrange[[#This Row],[disp_q8]]--0.0145666666666666)/-0.0145666666666666</f>
        <v>2.429659957512377E-2</v>
      </c>
    </row>
    <row r="9" spans="1:15" x14ac:dyDescent="0.3">
      <c r="A9">
        <v>20</v>
      </c>
      <c r="B9">
        <v>13</v>
      </c>
      <c r="C9">
        <f>Lagrange[[#This Row],[nxi]]*3</f>
        <v>39</v>
      </c>
      <c r="D9">
        <v>2352</v>
      </c>
      <c r="E9">
        <v>-1.4722463078505299E-2</v>
      </c>
      <c r="F9">
        <v>3978</v>
      </c>
      <c r="G9">
        <v>-1.49082859637675E-2</v>
      </c>
      <c r="H9">
        <v>2352</v>
      </c>
      <c r="I9">
        <v>-1.4822983487099799E-2</v>
      </c>
      <c r="J9">
        <v>3978</v>
      </c>
      <c r="K9">
        <v>-1.49049012178068E-2</v>
      </c>
      <c r="L9" s="3">
        <f>(Lagrange[[#This Row],[disp_t3]]--0.0145666666666666)/-0.0145666666666666</f>
        <v>1.0695405847050393E-2</v>
      </c>
      <c r="M9" s="3">
        <f>(Lagrange[[#This Row],[disp_t6]]--0.0145666666666666)/-0.0145666666666666</f>
        <v>2.3452125659100848E-2</v>
      </c>
      <c r="N9" s="3">
        <f>(Lagrange[[#This Row],[disp_q4]]--0.0145666666666666)/-0.0145666666666666</f>
        <v>1.7596120395871936E-2</v>
      </c>
      <c r="O9" s="3">
        <f>(Lagrange[[#This Row],[disp_q8]]--0.0145666666666666)/-0.0145666666666666</f>
        <v>2.3219763236169508E-2</v>
      </c>
    </row>
    <row r="10" spans="1:15" x14ac:dyDescent="0.3">
      <c r="A10">
        <v>20</v>
      </c>
      <c r="B10">
        <v>11</v>
      </c>
      <c r="C10">
        <f>Lagrange[[#This Row],[nxi]]*3</f>
        <v>33</v>
      </c>
      <c r="D10">
        <v>2016</v>
      </c>
      <c r="E10">
        <v>-1.46612224379002E-2</v>
      </c>
      <c r="F10">
        <v>3398</v>
      </c>
      <c r="G10">
        <v>-1.4888877200699001E-2</v>
      </c>
      <c r="H10">
        <v>2016</v>
      </c>
      <c r="I10">
        <v>-1.47921429694415E-2</v>
      </c>
      <c r="J10">
        <v>3398</v>
      </c>
      <c r="K10">
        <v>-1.48855320865483E-2</v>
      </c>
      <c r="L10" s="3">
        <f>(Lagrange[[#This Row],[disp_t3]]--0.0145666666666666)/-0.0145666666666666</f>
        <v>6.4912428764486059E-3</v>
      </c>
      <c r="M10" s="3">
        <f>(Lagrange[[#This Row],[disp_t6]]--0.0145666666666666)/-0.0145666666666666</f>
        <v>2.211971629513064E-2</v>
      </c>
      <c r="N10" s="3">
        <f>(Lagrange[[#This Row],[disp_q4]]--0.0145666666666666)/-0.0145666666666666</f>
        <v>1.5478922387293056E-2</v>
      </c>
      <c r="O10" s="3">
        <f>(Lagrange[[#This Row],[disp_q8]]--0.0145666666666666)/-0.0145666666666666</f>
        <v>2.1890074591421178E-2</v>
      </c>
    </row>
    <row r="11" spans="1:15" x14ac:dyDescent="0.3">
      <c r="A11">
        <v>20</v>
      </c>
      <c r="B11">
        <v>9</v>
      </c>
      <c r="C11">
        <f>Lagrange[[#This Row],[nxi]]*3</f>
        <v>27</v>
      </c>
      <c r="D11">
        <v>1680</v>
      </c>
      <c r="E11">
        <v>-1.4561679551664E-2</v>
      </c>
      <c r="F11">
        <v>2818</v>
      </c>
      <c r="G11">
        <v>-1.4863066547825999E-2</v>
      </c>
      <c r="H11">
        <v>1680</v>
      </c>
      <c r="I11">
        <v>-1.47428031150688E-2</v>
      </c>
      <c r="J11">
        <v>2818</v>
      </c>
      <c r="K11">
        <v>-1.48599781330979E-2</v>
      </c>
      <c r="L11" s="3">
        <f>(Lagrange[[#This Row],[disp_t3]]--0.0145666666666666)/-0.0145666666666666</f>
        <v>-3.4236487432030984E-4</v>
      </c>
      <c r="M11" s="3">
        <f>(Lagrange[[#This Row],[disp_t6]]--0.0145666666666666)/-0.0145666666666666</f>
        <v>2.0347817928563019E-2</v>
      </c>
      <c r="N11" s="3">
        <f>(Lagrange[[#This Row],[disp_q4]]--0.0145666666666666)/-0.0145666666666666</f>
        <v>1.2091747029899447E-2</v>
      </c>
      <c r="O11" s="3">
        <f>(Lagrange[[#This Row],[disp_q8]]--0.0145666666666666)/-0.0145666666666666</f>
        <v>2.0135798610844542E-2</v>
      </c>
    </row>
    <row r="12" spans="1:15" x14ac:dyDescent="0.3">
      <c r="A12">
        <v>20</v>
      </c>
      <c r="B12">
        <v>8</v>
      </c>
      <c r="C12">
        <f>Lagrange[[#This Row],[nxi]]*3</f>
        <v>24</v>
      </c>
      <c r="D12">
        <v>1512</v>
      </c>
      <c r="E12">
        <v>-1.4486498377502099E-2</v>
      </c>
      <c r="F12">
        <v>2528</v>
      </c>
      <c r="G12">
        <v>-1.48462514051562E-2</v>
      </c>
      <c r="H12">
        <v>1512</v>
      </c>
      <c r="I12">
        <v>-1.470567450907E-2</v>
      </c>
      <c r="J12">
        <v>2528</v>
      </c>
      <c r="K12">
        <v>-1.4843368888523299E-2</v>
      </c>
      <c r="L12" s="3">
        <f>(Lagrange[[#This Row],[disp_t3]]--0.0145666666666666)/-0.0145666666666666</f>
        <v>-5.503543878569812E-3</v>
      </c>
      <c r="M12" s="3">
        <f>(Lagrange[[#This Row],[disp_t6]]--0.0145666666666666)/-0.0145666666666666</f>
        <v>1.9193460308210647E-2</v>
      </c>
      <c r="N12" s="3">
        <f>(Lagrange[[#This Row],[disp_q4]]--0.0145666666666666)/-0.0145666666666666</f>
        <v>9.5428724762060303E-3</v>
      </c>
      <c r="O12" s="3">
        <f>(Lagrange[[#This Row],[disp_q8]]--0.0145666666666666)/-0.0145666666666666</f>
        <v>1.8995575871169415E-2</v>
      </c>
    </row>
    <row r="13" spans="1:15" x14ac:dyDescent="0.3">
      <c r="A13">
        <v>20</v>
      </c>
      <c r="B13">
        <v>7</v>
      </c>
      <c r="C13">
        <f>Lagrange[[#This Row],[nxi]]*3</f>
        <v>21</v>
      </c>
      <c r="D13">
        <v>1344</v>
      </c>
      <c r="E13">
        <v>-1.4382957653761901E-2</v>
      </c>
      <c r="F13">
        <v>2238</v>
      </c>
      <c r="G13">
        <v>-1.4825303461035499E-2</v>
      </c>
      <c r="H13">
        <v>1344</v>
      </c>
      <c r="I13">
        <v>-1.4654262482596899E-2</v>
      </c>
      <c r="J13">
        <v>2238</v>
      </c>
      <c r="K13">
        <v>-1.4822684392822E-2</v>
      </c>
      <c r="L13" s="3">
        <f>(Lagrange[[#This Row],[disp_t3]]--0.0145666666666666)/-0.0145666666666666</f>
        <v>-1.261160271656977E-2</v>
      </c>
      <c r="M13" s="3">
        <f>(Lagrange[[#This Row],[disp_t6]]--0.0145666666666666)/-0.0145666666666666</f>
        <v>1.7755386341114506E-2</v>
      </c>
      <c r="N13" s="3">
        <f>(Lagrange[[#This Row],[disp_q4]]--0.0145666666666666)/-0.0145666666666666</f>
        <v>6.0134427412105607E-3</v>
      </c>
      <c r="O13" s="3">
        <f>(Lagrange[[#This Row],[disp_q8]]--0.0145666666666666)/-0.0145666666666666</f>
        <v>1.757558760792231E-2</v>
      </c>
    </row>
    <row r="14" spans="1:15" x14ac:dyDescent="0.3">
      <c r="A14">
        <v>20</v>
      </c>
      <c r="B14">
        <v>6</v>
      </c>
      <c r="C14">
        <f>Lagrange[[#This Row],[nxi]]*3</f>
        <v>18</v>
      </c>
      <c r="D14">
        <v>1176</v>
      </c>
      <c r="E14">
        <v>-1.4235178392608201E-2</v>
      </c>
      <c r="F14">
        <v>1948</v>
      </c>
      <c r="G14">
        <v>-1.4798103200611999E-2</v>
      </c>
      <c r="H14">
        <v>1176</v>
      </c>
      <c r="I14">
        <v>-1.45796835392115E-2</v>
      </c>
      <c r="J14">
        <v>1948</v>
      </c>
      <c r="K14">
        <v>-1.4795786010665E-2</v>
      </c>
      <c r="L14" s="3">
        <f>(Lagrange[[#This Row],[disp_t3]]--0.0145666666666666)/-0.0145666666666666</f>
        <v>-2.2756632086389041E-2</v>
      </c>
      <c r="M14" s="3">
        <f>(Lagrange[[#This Row],[disp_t6]]--0.0145666666666666)/-0.0145666666666666</f>
        <v>1.5888091575199149E-2</v>
      </c>
      <c r="N14" s="3">
        <f>(Lagrange[[#This Row],[disp_q4]]--0.0145666666666666)/-0.0145666666666666</f>
        <v>8.9360681086272432E-4</v>
      </c>
      <c r="O14" s="3">
        <f>(Lagrange[[#This Row],[disp_q8]]--0.0145666666666666)/-0.0145666666666666</f>
        <v>1.5729016750462371E-2</v>
      </c>
    </row>
    <row r="15" spans="1:15" x14ac:dyDescent="0.3">
      <c r="A15">
        <v>20</v>
      </c>
      <c r="B15">
        <v>5</v>
      </c>
      <c r="C15">
        <f>Lagrange[[#This Row],[nxi]]*3</f>
        <v>15</v>
      </c>
      <c r="D15">
        <v>1008</v>
      </c>
      <c r="E15">
        <v>-1.40154783221541E-2</v>
      </c>
      <c r="F15">
        <v>1658</v>
      </c>
      <c r="G15">
        <v>-1.47608655963454E-2</v>
      </c>
      <c r="H15">
        <v>1008</v>
      </c>
      <c r="I15">
        <v>-1.44649206517222E-2</v>
      </c>
      <c r="J15">
        <v>1658</v>
      </c>
      <c r="K15">
        <v>-1.47589765457861E-2</v>
      </c>
      <c r="L15" s="3">
        <f>(Lagrange[[#This Row],[disp_t3]]--0.0145666666666666)/-0.0145666666666666</f>
        <v>-3.7839016785755283E-2</v>
      </c>
      <c r="M15" s="3">
        <f>(Lagrange[[#This Row],[disp_t6]]--0.0145666666666666)/-0.0145666666666666</f>
        <v>1.3331734302892547E-2</v>
      </c>
      <c r="N15" s="3">
        <f>(Lagrange[[#This Row],[disp_q4]]--0.0145666666666666)/-0.0145666666666666</f>
        <v>-6.9848522845125955E-3</v>
      </c>
      <c r="O15" s="3">
        <f>(Lagrange[[#This Row],[disp_q8]]--0.0145666666666666)/-0.0145666666666666</f>
        <v>1.3202051198135143E-2</v>
      </c>
    </row>
    <row r="16" spans="1:15" x14ac:dyDescent="0.3">
      <c r="A16">
        <v>20</v>
      </c>
      <c r="B16">
        <v>4</v>
      </c>
      <c r="C16">
        <f>Lagrange[[#This Row],[nxi]]*3</f>
        <v>12</v>
      </c>
      <c r="D16">
        <v>840</v>
      </c>
      <c r="E16">
        <v>-1.36743699588289E-2</v>
      </c>
      <c r="F16">
        <v>1368</v>
      </c>
      <c r="G16">
        <v>-1.47064111613002E-2</v>
      </c>
      <c r="H16">
        <v>840</v>
      </c>
      <c r="I16">
        <v>-1.4274456792180701E-2</v>
      </c>
      <c r="J16">
        <v>1368</v>
      </c>
      <c r="K16">
        <v>-1.47049098141026E-2</v>
      </c>
      <c r="L16" s="3">
        <f>(Lagrange[[#This Row],[disp_t3]]--0.0145666666666666)/-0.0145666666666666</f>
        <v>-6.1256066899613479E-2</v>
      </c>
      <c r="M16" s="3">
        <f>(Lagrange[[#This Row],[disp_t6]]--0.0145666666666666)/-0.0145666666666666</f>
        <v>9.5934435675240973E-3</v>
      </c>
      <c r="N16" s="3">
        <f>(Lagrange[[#This Row],[disp_q4]]--0.0145666666666666)/-0.0145666666666666</f>
        <v>-2.0060174449832942E-2</v>
      </c>
      <c r="O16" s="3">
        <f>(Lagrange[[#This Row],[disp_q8]]--0.0145666666666666)/-0.0145666666666666</f>
        <v>9.4903762541877282E-3</v>
      </c>
    </row>
    <row r="17" spans="1:15" x14ac:dyDescent="0.3">
      <c r="A17">
        <v>20</v>
      </c>
      <c r="B17">
        <v>3</v>
      </c>
      <c r="C17">
        <f>Lagrange[[#This Row],[nxi]]*3</f>
        <v>9</v>
      </c>
      <c r="D17">
        <v>672</v>
      </c>
      <c r="E17">
        <v>-1.31262058998624E-2</v>
      </c>
      <c r="F17">
        <v>1078</v>
      </c>
      <c r="G17">
        <v>-1.4621054840123399E-2</v>
      </c>
      <c r="H17">
        <v>672</v>
      </c>
      <c r="I17">
        <v>-1.3927248864336999E-2</v>
      </c>
      <c r="J17">
        <v>1078</v>
      </c>
      <c r="K17">
        <v>-1.46208262796965E-2</v>
      </c>
      <c r="L17" s="3">
        <f>(Lagrange[[#This Row],[disp_t3]]--0.0145666666666666)/-0.0145666666666666</f>
        <v>-9.888746682866402E-2</v>
      </c>
      <c r="M17" s="3">
        <f>(Lagrange[[#This Row],[disp_t6]]--0.0145666666666666)/-0.0145666666666666</f>
        <v>3.733741884906194E-3</v>
      </c>
      <c r="N17" s="3">
        <f>(Lagrange[[#This Row],[disp_q4]]--0.0145666666666666)/-0.0145666666666666</f>
        <v>-4.3895958969995631E-2</v>
      </c>
      <c r="O17" s="3">
        <f>(Lagrange[[#This Row],[disp_q8]]--0.0145666666666666)/-0.0145666666666666</f>
        <v>3.7180512377506547E-3</v>
      </c>
    </row>
    <row r="18" spans="1:15" x14ac:dyDescent="0.3">
      <c r="A18">
        <v>20</v>
      </c>
      <c r="B18">
        <v>2</v>
      </c>
      <c r="C18">
        <f>Lagrange[[#This Row],[nxi]]*3</f>
        <v>6</v>
      </c>
      <c r="D18">
        <v>504</v>
      </c>
      <c r="E18">
        <v>-1.22709504184142E-2</v>
      </c>
      <c r="F18">
        <v>788</v>
      </c>
      <c r="G18">
        <v>-1.4495529157741801E-2</v>
      </c>
      <c r="H18">
        <v>504</v>
      </c>
      <c r="I18">
        <v>-1.32402929483392E-2</v>
      </c>
      <c r="J18">
        <v>788</v>
      </c>
      <c r="K18">
        <v>-1.44973623731678E-2</v>
      </c>
      <c r="L18" s="3">
        <f>(Lagrange[[#This Row],[disp_t3]]--0.0145666666666666)/-0.0145666666666666</f>
        <v>-0.15760065777476498</v>
      </c>
      <c r="M18" s="3">
        <f>(Lagrange[[#This Row],[disp_t6]]--0.0145666666666666)/-0.0145666666666666</f>
        <v>-4.8835818483843772E-3</v>
      </c>
      <c r="N18" s="3">
        <f>(Lagrange[[#This Row],[disp_q4]]--0.0145666666666666)/-0.0145666666666666</f>
        <v>-9.105540400416974E-2</v>
      </c>
      <c r="O18" s="3">
        <f>(Lagrange[[#This Row],[disp_q8]]--0.0145666666666666)/-0.0145666666666666</f>
        <v>-4.757731819139549E-3</v>
      </c>
    </row>
    <row r="19" spans="1:15" x14ac:dyDescent="0.3">
      <c r="A19">
        <v>15</v>
      </c>
      <c r="B19">
        <v>40</v>
      </c>
      <c r="C19">
        <f>Lagrange[[#This Row],[nxi]]*3</f>
        <v>120</v>
      </c>
      <c r="D19">
        <v>5248</v>
      </c>
      <c r="E19">
        <v>-1.48640433640302E-2</v>
      </c>
      <c r="F19">
        <v>8958</v>
      </c>
      <c r="G19">
        <v>-1.5051048740578299E-2</v>
      </c>
      <c r="H19">
        <v>5248</v>
      </c>
      <c r="I19">
        <v>-1.4906189749604899E-2</v>
      </c>
      <c r="J19">
        <v>8958</v>
      </c>
      <c r="K19">
        <v>-1.50839989225114E-2</v>
      </c>
      <c r="L19" s="3">
        <f>(Lagrange[[#This Row],[disp_t3]]--0.0145666666666666)/-0.0145666666666666</f>
        <v>2.0414876249217562E-2</v>
      </c>
      <c r="M19" s="3">
        <f>(Lagrange[[#This Row],[disp_t6]]--0.0145666666666666)/-0.0145666666666666</f>
        <v>3.3252773952748428E-2</v>
      </c>
      <c r="N19" s="3">
        <f>(Lagrange[[#This Row],[disp_q4]]--0.0145666666666666)/-0.0145666666666666</f>
        <v>2.3308220796679734E-2</v>
      </c>
      <c r="O19" s="3">
        <f>(Lagrange[[#This Row],[disp_q8]]--0.0145666666666666)/-0.0145666666666666</f>
        <v>3.5514800172412118E-2</v>
      </c>
    </row>
    <row r="20" spans="1:15" x14ac:dyDescent="0.3">
      <c r="A20">
        <v>15</v>
      </c>
      <c r="B20">
        <v>34</v>
      </c>
      <c r="C20">
        <f>Lagrange[[#This Row],[nxi]]*3</f>
        <v>102</v>
      </c>
      <c r="D20">
        <v>4480</v>
      </c>
      <c r="E20">
        <v>-1.48554448038753E-2</v>
      </c>
      <c r="F20">
        <v>7638</v>
      </c>
      <c r="G20">
        <v>-1.5038760989731901E-2</v>
      </c>
      <c r="H20">
        <v>4480</v>
      </c>
      <c r="I20">
        <v>-1.49008265442138E-2</v>
      </c>
      <c r="J20">
        <v>7638</v>
      </c>
      <c r="K20">
        <v>-1.5062795281890201E-2</v>
      </c>
      <c r="L20" s="3">
        <f>(Lagrange[[#This Row],[disp_t3]]--0.0145666666666666)/-0.0145666666666666</f>
        <v>1.9824586078400614E-2</v>
      </c>
      <c r="M20" s="3">
        <f>(Lagrange[[#This Row],[disp_t6]]--0.0145666666666666)/-0.0145666666666666</f>
        <v>3.2409221263064308E-2</v>
      </c>
      <c r="N20" s="3">
        <f>(Lagrange[[#This Row],[disp_q4]]--0.0145666666666666)/-0.0145666666666666</f>
        <v>2.2940037360219812E-2</v>
      </c>
      <c r="O20" s="3">
        <f>(Lagrange[[#This Row],[disp_q8]]--0.0145666666666666)/-0.0145666666666666</f>
        <v>3.4059172669812614E-2</v>
      </c>
    </row>
    <row r="21" spans="1:15" x14ac:dyDescent="0.3">
      <c r="A21">
        <v>15</v>
      </c>
      <c r="B21">
        <v>29</v>
      </c>
      <c r="C21">
        <f>Lagrange[[#This Row],[nxi]]*3</f>
        <v>87</v>
      </c>
      <c r="D21">
        <v>3840</v>
      </c>
      <c r="E21">
        <v>-1.48445961943825E-2</v>
      </c>
      <c r="F21">
        <v>6538</v>
      </c>
      <c r="G21">
        <v>-1.5025300722026499E-2</v>
      </c>
      <c r="H21">
        <v>3840</v>
      </c>
      <c r="I21">
        <v>-1.48944170010429E-2</v>
      </c>
      <c r="J21">
        <v>6538</v>
      </c>
      <c r="K21">
        <v>-1.5041554276985499E-2</v>
      </c>
      <c r="L21" s="3">
        <f>(Lagrange[[#This Row],[disp_t3]]--0.0145666666666666)/-0.0145666666666666</f>
        <v>1.9079830277979506E-2</v>
      </c>
      <c r="M21" s="3">
        <f>(Lagrange[[#This Row],[disp_t6]]--0.0145666666666666)/-0.0145666666666666</f>
        <v>3.1485175425164914E-2</v>
      </c>
      <c r="N21" s="3">
        <f>(Lagrange[[#This Row],[disp_q4]]--0.0145666666666666)/-0.0145666666666666</f>
        <v>2.2500022954894901E-2</v>
      </c>
      <c r="O21" s="3">
        <f>(Lagrange[[#This Row],[disp_q8]]--0.0145666666666666)/-0.0145666666666666</f>
        <v>3.260098011342577E-2</v>
      </c>
    </row>
    <row r="22" spans="1:15" x14ac:dyDescent="0.3">
      <c r="A22">
        <v>15</v>
      </c>
      <c r="B22">
        <v>24</v>
      </c>
      <c r="C22">
        <f>Lagrange[[#This Row],[nxi]]*3</f>
        <v>72</v>
      </c>
      <c r="D22">
        <v>3200</v>
      </c>
      <c r="E22">
        <v>-1.4827156219321E-2</v>
      </c>
      <c r="F22">
        <v>5438</v>
      </c>
      <c r="G22">
        <v>-1.50073938867473E-2</v>
      </c>
      <c r="H22">
        <v>3200</v>
      </c>
      <c r="I22">
        <v>-1.4884522321284101E-2</v>
      </c>
      <c r="J22">
        <v>5438</v>
      </c>
      <c r="K22">
        <v>-1.5016042410001601E-2</v>
      </c>
      <c r="L22" s="3">
        <f>(Lagrange[[#This Row],[disp_t3]]--0.0145666666666666)/-0.0145666666666666</f>
        <v>1.7882577985428041E-2</v>
      </c>
      <c r="M22" s="3">
        <f>(Lagrange[[#This Row],[disp_t6]]--0.0145666666666666)/-0.0145666666666666</f>
        <v>3.025587323208483E-2</v>
      </c>
      <c r="N22" s="3">
        <f>(Lagrange[[#This Row],[disp_q4]]--0.0145666666666666)/-0.0145666666666666</f>
        <v>2.1820754321567704E-2</v>
      </c>
      <c r="O22" s="3">
        <f>(Lagrange[[#This Row],[disp_q8]]--0.0145666666666666)/-0.0145666666666666</f>
        <v>3.0849593363959042E-2</v>
      </c>
    </row>
    <row r="23" spans="1:15" x14ac:dyDescent="0.3">
      <c r="A23">
        <v>15</v>
      </c>
      <c r="B23">
        <v>21</v>
      </c>
      <c r="C23">
        <f>Lagrange[[#This Row],[nxi]]*3</f>
        <v>63</v>
      </c>
      <c r="D23">
        <v>2816</v>
      </c>
      <c r="E23">
        <v>-1.48108351135898E-2</v>
      </c>
      <c r="F23">
        <v>4778</v>
      </c>
      <c r="G23">
        <v>-1.4993545691192999E-2</v>
      </c>
      <c r="H23">
        <v>2816</v>
      </c>
      <c r="I23">
        <v>-1.4875519836792601E-2</v>
      </c>
      <c r="J23">
        <v>4778</v>
      </c>
      <c r="K23">
        <v>-1.4998028101607001E-2</v>
      </c>
      <c r="L23" s="3">
        <f>(Lagrange[[#This Row],[disp_t3]]--0.0145666666666666)/-0.0145666666666666</f>
        <v>1.6762135944384589E-2</v>
      </c>
      <c r="M23" s="3">
        <f>(Lagrange[[#This Row],[disp_t6]]--0.0145666666666666)/-0.0145666666666666</f>
        <v>2.9305196191743828E-2</v>
      </c>
      <c r="N23" s="3">
        <f>(Lagrange[[#This Row],[disp_q4]]--0.0145666666666666)/-0.0145666666666666</f>
        <v>2.1202734791258775E-2</v>
      </c>
      <c r="O23" s="3">
        <f>(Lagrange[[#This Row],[disp_q8]]--0.0145666666666666)/-0.0145666666666666</f>
        <v>2.9612913153803429E-2</v>
      </c>
    </row>
    <row r="24" spans="1:15" x14ac:dyDescent="0.3">
      <c r="A24">
        <v>15</v>
      </c>
      <c r="B24">
        <v>18</v>
      </c>
      <c r="C24">
        <f>Lagrange[[#This Row],[nxi]]*3</f>
        <v>54</v>
      </c>
      <c r="D24">
        <v>2432</v>
      </c>
      <c r="E24">
        <v>-1.4786557715824E-2</v>
      </c>
      <c r="F24">
        <v>4118</v>
      </c>
      <c r="G24">
        <v>-1.4976389009888199E-2</v>
      </c>
      <c r="H24">
        <v>2432</v>
      </c>
      <c r="I24">
        <v>-1.48624359663869E-2</v>
      </c>
      <c r="J24">
        <v>4118</v>
      </c>
      <c r="K24">
        <v>-1.49772653869155E-2</v>
      </c>
      <c r="L24" s="3">
        <f>(Lagrange[[#This Row],[disp_t3]]--0.0145666666666666)/-0.0145666666666666</f>
        <v>1.5095495365496652E-2</v>
      </c>
      <c r="M24" s="3">
        <f>(Lagrange[[#This Row],[disp_t6]]--0.0145666666666666)/-0.0145666666666666</f>
        <v>2.812739198317633E-2</v>
      </c>
      <c r="N24" s="3">
        <f>(Lagrange[[#This Row],[disp_q4]]--0.0145666666666666)/-0.0145666666666666</f>
        <v>2.0304528584917728E-2</v>
      </c>
      <c r="O24" s="3">
        <f>(Lagrange[[#This Row],[disp_q8]]--0.0145666666666666)/-0.0145666666666666</f>
        <v>2.8187555165828528E-2</v>
      </c>
    </row>
    <row r="25" spans="1:15" x14ac:dyDescent="0.3">
      <c r="A25">
        <v>15</v>
      </c>
      <c r="B25">
        <v>15</v>
      </c>
      <c r="C25">
        <f>Lagrange[[#This Row],[nxi]]*3</f>
        <v>45</v>
      </c>
      <c r="D25">
        <v>2048</v>
      </c>
      <c r="E25">
        <v>-1.47480739112831E-2</v>
      </c>
      <c r="F25">
        <v>3458</v>
      </c>
      <c r="G25">
        <v>-1.4954592968417699E-2</v>
      </c>
      <c r="H25">
        <v>2048</v>
      </c>
      <c r="I25">
        <v>-1.48422328060012E-2</v>
      </c>
      <c r="J25">
        <v>3458</v>
      </c>
      <c r="K25">
        <v>-1.4952662733158199E-2</v>
      </c>
      <c r="L25" s="3">
        <f>(Lagrange[[#This Row],[disp_t3]]--0.0145666666666666)/-0.0145666666666666</f>
        <v>1.2453586586945167E-2</v>
      </c>
      <c r="M25" s="3">
        <f>(Lagrange[[#This Row],[disp_t6]]--0.0145666666666666)/-0.0145666666666666</f>
        <v>2.6631096230052758E-2</v>
      </c>
      <c r="N25" s="3">
        <f>(Lagrange[[#This Row],[disp_q4]]--0.0145666666666666)/-0.0145666666666666</f>
        <v>1.8917583936013872E-2</v>
      </c>
      <c r="O25" s="3">
        <f>(Lagrange[[#This Row],[disp_q8]]--0.0145666666666666)/-0.0145666666666666</f>
        <v>2.6498585800338793E-2</v>
      </c>
    </row>
    <row r="26" spans="1:15" x14ac:dyDescent="0.3">
      <c r="A26">
        <v>15</v>
      </c>
      <c r="B26">
        <v>13</v>
      </c>
      <c r="C26">
        <f>Lagrange[[#This Row],[nxi]]*3</f>
        <v>39</v>
      </c>
      <c r="D26">
        <v>1792</v>
      </c>
      <c r="E26">
        <v>-1.47082392469975E-2</v>
      </c>
      <c r="F26">
        <v>3018</v>
      </c>
      <c r="G26">
        <v>-1.49363713098723E-2</v>
      </c>
      <c r="H26">
        <v>1792</v>
      </c>
      <c r="I26">
        <v>-1.4821794611847801E-2</v>
      </c>
      <c r="J26">
        <v>3018</v>
      </c>
      <c r="K26">
        <v>-1.49331257004271E-2</v>
      </c>
      <c r="L26" s="3">
        <f>(Lagrange[[#This Row],[disp_t3]]--0.0145666666666666)/-0.0145666666666666</f>
        <v>9.7189414414806576E-3</v>
      </c>
      <c r="M26" s="3">
        <f>(Lagrange[[#This Row],[disp_t6]]--0.0145666666666666)/-0.0145666666666666</f>
        <v>2.5380181455769046E-2</v>
      </c>
      <c r="N26" s="3">
        <f>(Lagrange[[#This Row],[disp_q4]]--0.0145666666666666)/-0.0145666666666666</f>
        <v>1.7514504245849154E-2</v>
      </c>
      <c r="O26" s="3">
        <f>(Lagrange[[#This Row],[disp_q8]]--0.0145666666666666)/-0.0145666666666666</f>
        <v>2.5157370738707271E-2</v>
      </c>
    </row>
    <row r="27" spans="1:15" x14ac:dyDescent="0.3">
      <c r="A27">
        <v>15</v>
      </c>
      <c r="B27">
        <v>11</v>
      </c>
      <c r="C27">
        <f>Lagrange[[#This Row],[nxi]]*3</f>
        <v>33</v>
      </c>
      <c r="D27">
        <v>1536</v>
      </c>
      <c r="E27">
        <v>-1.46477765837908E-2</v>
      </c>
      <c r="F27">
        <v>2578</v>
      </c>
      <c r="G27">
        <v>-1.49137507443057E-2</v>
      </c>
      <c r="H27">
        <v>1536</v>
      </c>
      <c r="I27">
        <v>-1.4791326925131E-2</v>
      </c>
      <c r="J27">
        <v>2578</v>
      </c>
      <c r="K27">
        <v>-1.4909695682487E-2</v>
      </c>
      <c r="L27" s="3">
        <f>(Lagrange[[#This Row],[disp_t3]]--0.0145666666666666)/-0.0145666666666666</f>
        <v>5.5681865302655122E-3</v>
      </c>
      <c r="M27" s="3">
        <f>(Lagrange[[#This Row],[disp_t6]]--0.0145666666666666)/-0.0145666666666666</f>
        <v>2.3827282217787363E-2</v>
      </c>
      <c r="N27" s="3">
        <f>(Lagrange[[#This Row],[disp_q4]]--0.0145666666666666)/-0.0145666666666666</f>
        <v>1.5422901038746115E-2</v>
      </c>
      <c r="O27" s="3">
        <f>(Lagrange[[#This Row],[disp_q8]]--0.0145666666666666)/-0.0145666666666666</f>
        <v>2.3548902687899453E-2</v>
      </c>
    </row>
    <row r="28" spans="1:15" x14ac:dyDescent="0.3">
      <c r="A28">
        <v>15</v>
      </c>
      <c r="B28">
        <v>9</v>
      </c>
      <c r="C28">
        <f>Lagrange[[#This Row],[nxi]]*3</f>
        <v>27</v>
      </c>
      <c r="D28">
        <v>1280</v>
      </c>
      <c r="E28">
        <v>-1.4549164492866799E-2</v>
      </c>
      <c r="F28">
        <v>2138</v>
      </c>
      <c r="G28">
        <v>-1.4884221329194499E-2</v>
      </c>
      <c r="H28">
        <v>1280</v>
      </c>
      <c r="I28">
        <v>-1.4742280305659701E-2</v>
      </c>
      <c r="J28">
        <v>2138</v>
      </c>
      <c r="K28">
        <v>-1.4879893114508699E-2</v>
      </c>
      <c r="L28" s="3">
        <f>(Lagrange[[#This Row],[disp_t3]]--0.0145666666666666)/-0.0145666666666666</f>
        <v>-1.2015222288192303E-3</v>
      </c>
      <c r="M28" s="3">
        <f>(Lagrange[[#This Row],[disp_t6]]--0.0145666666666666)/-0.0145666666666666</f>
        <v>2.180009124905502E-2</v>
      </c>
      <c r="N28" s="3">
        <f>(Lagrange[[#This Row],[disp_q4]]--0.0145666666666666)/-0.0145666666666666</f>
        <v>1.2055856223782753E-2</v>
      </c>
      <c r="O28" s="3">
        <f>(Lagrange[[#This Row],[disp_q8]]--0.0145666666666666)/-0.0145666666666666</f>
        <v>2.1502959806093919E-2</v>
      </c>
    </row>
    <row r="29" spans="1:15" x14ac:dyDescent="0.3">
      <c r="A29">
        <v>15</v>
      </c>
      <c r="B29">
        <v>8</v>
      </c>
      <c r="C29">
        <f>Lagrange[[#This Row],[nxi]]*3</f>
        <v>24</v>
      </c>
      <c r="D29">
        <v>1152</v>
      </c>
      <c r="E29">
        <v>-1.4474564149147299E-2</v>
      </c>
      <c r="F29">
        <v>1918</v>
      </c>
      <c r="G29">
        <v>-1.4865361757682299E-2</v>
      </c>
      <c r="H29">
        <v>1152</v>
      </c>
      <c r="I29">
        <v>-1.47052651392604E-2</v>
      </c>
      <c r="J29">
        <v>1918</v>
      </c>
      <c r="K29">
        <v>-1.4861098504197E-2</v>
      </c>
      <c r="L29" s="3">
        <f>(Lagrange[[#This Row],[disp_t3]]--0.0145666666666666)/-0.0145666666666666</f>
        <v>-6.3228272896545014E-3</v>
      </c>
      <c r="M29" s="3">
        <f>(Lagrange[[#This Row],[disp_t6]]--0.0145666666666666)/-0.0145666666666666</f>
        <v>2.0505383822588198E-2</v>
      </c>
      <c r="N29" s="3">
        <f>(Lagrange[[#This Row],[disp_q4]]--0.0145666666666666)/-0.0145666666666666</f>
        <v>9.5147692856156797E-3</v>
      </c>
      <c r="O29" s="3">
        <f>(Lagrange[[#This Row],[disp_q8]]--0.0145666666666666)/-0.0145666666666666</f>
        <v>2.0212711958608819E-2</v>
      </c>
    </row>
    <row r="30" spans="1:15" x14ac:dyDescent="0.3">
      <c r="A30">
        <v>15</v>
      </c>
      <c r="B30">
        <v>7</v>
      </c>
      <c r="C30">
        <f>Lagrange[[#This Row],[nxi]]*3</f>
        <v>21</v>
      </c>
      <c r="D30">
        <v>1024</v>
      </c>
      <c r="E30">
        <v>-1.43717388917216E-2</v>
      </c>
      <c r="F30">
        <v>1698</v>
      </c>
      <c r="G30">
        <v>-1.4842253264737501E-2</v>
      </c>
      <c r="H30">
        <v>1024</v>
      </c>
      <c r="I30">
        <v>-1.4653943077066399E-2</v>
      </c>
      <c r="J30">
        <v>1698</v>
      </c>
      <c r="K30">
        <v>-1.4838199173663399E-2</v>
      </c>
      <c r="L30" s="3">
        <f>(Lagrange[[#This Row],[disp_t3]]--0.0145666666666666)/-0.0145666666666666</f>
        <v>-1.3381769447025219E-2</v>
      </c>
      <c r="M30" s="3">
        <f>(Lagrange[[#This Row],[disp_t6]]--0.0145666666666666)/-0.0145666666666666</f>
        <v>1.8918988425920089E-2</v>
      </c>
      <c r="N30" s="3">
        <f>(Lagrange[[#This Row],[disp_q4]]--0.0145666666666666)/-0.0145666666666666</f>
        <v>5.9915155880869795E-3</v>
      </c>
      <c r="O30" s="3">
        <f>(Lagrange[[#This Row],[disp_q8]]--0.0145666666666666)/-0.0145666666666666</f>
        <v>1.8640675537537853E-2</v>
      </c>
    </row>
    <row r="31" spans="1:15" x14ac:dyDescent="0.3">
      <c r="A31">
        <v>15</v>
      </c>
      <c r="B31">
        <v>6</v>
      </c>
      <c r="C31">
        <f>Lagrange[[#This Row],[nxi]]*3</f>
        <v>18</v>
      </c>
      <c r="D31">
        <v>896</v>
      </c>
      <c r="E31">
        <v>-1.42248828367327E-2</v>
      </c>
      <c r="F31">
        <v>1478</v>
      </c>
      <c r="G31">
        <v>-1.48127847181773E-2</v>
      </c>
      <c r="H31">
        <v>896</v>
      </c>
      <c r="I31">
        <v>-1.45794295397521E-2</v>
      </c>
      <c r="J31">
        <v>1478</v>
      </c>
      <c r="K31">
        <v>-1.4809045945207501E-2</v>
      </c>
      <c r="L31" s="3">
        <f>(Lagrange[[#This Row],[disp_t3]]--0.0145666666666666)/-0.0145666666666666</f>
        <v>-2.3463420819260936E-2</v>
      </c>
      <c r="M31" s="3">
        <f>(Lagrange[[#This Row],[disp_t6]]--0.0145666666666666)/-0.0145666666666666</f>
        <v>1.6895976076249524E-2</v>
      </c>
      <c r="N31" s="3">
        <f>(Lagrange[[#This Row],[disp_q4]]--0.0145666666666666)/-0.0145666666666666</f>
        <v>8.7616977703668336E-4</v>
      </c>
      <c r="O31" s="3">
        <f>(Lagrange[[#This Row],[disp_q8]]--0.0145666666666666)/-0.0145666666666666</f>
        <v>1.6639309739650051E-2</v>
      </c>
    </row>
    <row r="32" spans="1:15" x14ac:dyDescent="0.3">
      <c r="A32">
        <v>15</v>
      </c>
      <c r="B32">
        <v>5</v>
      </c>
      <c r="C32">
        <f>Lagrange[[#This Row],[nxi]]*3</f>
        <v>15</v>
      </c>
      <c r="D32">
        <v>768</v>
      </c>
      <c r="E32">
        <v>-1.4006424296386001E-2</v>
      </c>
      <c r="F32">
        <v>1258</v>
      </c>
      <c r="G32">
        <v>-1.47731826446181E-2</v>
      </c>
      <c r="H32">
        <v>768</v>
      </c>
      <c r="I32">
        <v>-1.44647067699076E-2</v>
      </c>
      <c r="J32">
        <v>1258</v>
      </c>
      <c r="K32">
        <v>-1.4770004162948E-2</v>
      </c>
      <c r="L32" s="3">
        <f>(Lagrange[[#This Row],[disp_t3]]--0.0145666666666666)/-0.0145666666666666</f>
        <v>-3.8460574618805574E-2</v>
      </c>
      <c r="M32" s="3">
        <f>(Lagrange[[#This Row],[disp_t6]]--0.0145666666666666)/-0.0145666666666666</f>
        <v>1.4177298257540123E-2</v>
      </c>
      <c r="N32" s="3">
        <f>(Lagrange[[#This Row],[disp_q4]]--0.0145666666666666)/-0.0145666666666666</f>
        <v>-6.9995352466132414E-3</v>
      </c>
      <c r="O32" s="3">
        <f>(Lagrange[[#This Row],[disp_q8]]--0.0145666666666666)/-0.0145666666666666</f>
        <v>1.3959095854558486E-2</v>
      </c>
    </row>
    <row r="33" spans="1:15" x14ac:dyDescent="0.3">
      <c r="A33">
        <v>15</v>
      </c>
      <c r="B33">
        <v>4</v>
      </c>
      <c r="C33">
        <f>Lagrange[[#This Row],[nxi]]*3</f>
        <v>12</v>
      </c>
      <c r="D33">
        <v>640</v>
      </c>
      <c r="E33">
        <v>-1.36670253848836E-2</v>
      </c>
      <c r="F33">
        <v>1038</v>
      </c>
      <c r="G33">
        <v>-1.4716283834810599E-2</v>
      </c>
      <c r="H33">
        <v>640</v>
      </c>
      <c r="I33">
        <v>-1.42742581022138E-2</v>
      </c>
      <c r="J33">
        <v>1038</v>
      </c>
      <c r="K33">
        <v>-1.4713566161558399E-2</v>
      </c>
      <c r="L33" s="3">
        <f>(Lagrange[[#This Row],[disp_t3]]--0.0145666666666666)/-0.0145666666666666</f>
        <v>-6.1760271060618092E-2</v>
      </c>
      <c r="M33" s="3">
        <f>(Lagrange[[#This Row],[disp_t6]]--0.0145666666666666)/-0.0145666666666666</f>
        <v>1.0271201474416517E-2</v>
      </c>
      <c r="N33" s="3">
        <f>(Lagrange[[#This Row],[disp_q4]]--0.0145666666666666)/-0.0145666666666666</f>
        <v>-2.0073814493327301E-2</v>
      </c>
      <c r="O33" s="3">
        <f>(Lagrange[[#This Row],[disp_q8]]--0.0145666666666666)/-0.0145666666666666</f>
        <v>1.0084633516599596E-2</v>
      </c>
    </row>
    <row r="34" spans="1:15" x14ac:dyDescent="0.3">
      <c r="A34">
        <v>15</v>
      </c>
      <c r="B34">
        <v>3</v>
      </c>
      <c r="C34">
        <f>Lagrange[[#This Row],[nxi]]*3</f>
        <v>9</v>
      </c>
      <c r="D34">
        <v>512</v>
      </c>
      <c r="E34">
        <v>-1.31211471764533E-2</v>
      </c>
      <c r="F34">
        <v>818</v>
      </c>
      <c r="G34">
        <v>-1.46284166114932E-2</v>
      </c>
      <c r="H34">
        <v>512</v>
      </c>
      <c r="I34">
        <v>-1.39270345794254E-2</v>
      </c>
      <c r="J34">
        <v>818</v>
      </c>
      <c r="K34">
        <v>-1.4627497146561299E-2</v>
      </c>
      <c r="L34" s="3">
        <f>(Lagrange[[#This Row],[disp_t3]]--0.0145666666666666)/-0.0145666666666666</f>
        <v>-9.9234747611897475E-2</v>
      </c>
      <c r="M34" s="3">
        <f>(Lagrange[[#This Row],[disp_t6]]--0.0145666666666666)/-0.0145666666666666</f>
        <v>4.2391266471350636E-3</v>
      </c>
      <c r="N34" s="3">
        <f>(Lagrange[[#This Row],[disp_q4]]--0.0145666666666666)/-0.0145666666666666</f>
        <v>-4.3910669604659225E-2</v>
      </c>
      <c r="O34" s="3">
        <f>(Lagrange[[#This Row],[disp_q8]]--0.0145666666666666)/-0.0145666666666666</f>
        <v>4.1760054847620283E-3</v>
      </c>
    </row>
    <row r="35" spans="1:15" x14ac:dyDescent="0.3">
      <c r="A35">
        <v>15</v>
      </c>
      <c r="B35">
        <v>2</v>
      </c>
      <c r="C35">
        <f>Lagrange[[#This Row],[nxi]]*3</f>
        <v>6</v>
      </c>
      <c r="D35">
        <v>384</v>
      </c>
      <c r="E35">
        <v>-1.22684139115385E-2</v>
      </c>
      <c r="F35">
        <v>598</v>
      </c>
      <c r="G35">
        <v>-1.4500248267410001E-2</v>
      </c>
      <c r="H35">
        <v>384</v>
      </c>
      <c r="I35">
        <v>-1.32399398142412E-2</v>
      </c>
      <c r="J35">
        <v>598</v>
      </c>
      <c r="K35">
        <v>-1.45010098974328E-2</v>
      </c>
      <c r="L35" s="3">
        <f>(Lagrange[[#This Row],[disp_t3]]--0.0145666666666666)/-0.0145666666666666</f>
        <v>-0.15777478868156364</v>
      </c>
      <c r="M35" s="3">
        <f>(Lagrange[[#This Row],[disp_t6]]--0.0145666666666666)/-0.0145666666666666</f>
        <v>-4.5596155096063358E-3</v>
      </c>
      <c r="N35" s="3">
        <f>(Lagrange[[#This Row],[disp_q4]]--0.0145666666666666)/-0.0145666666666666</f>
        <v>-9.1079646619593072E-2</v>
      </c>
      <c r="O35" s="3">
        <f>(Lagrange[[#This Row],[disp_q8]]--0.0145666666666666)/-0.0145666666666666</f>
        <v>-4.5073296956841579E-3</v>
      </c>
    </row>
    <row r="36" spans="1:15" x14ac:dyDescent="0.3">
      <c r="A36">
        <v>11</v>
      </c>
      <c r="B36">
        <v>40</v>
      </c>
      <c r="C36">
        <f>Lagrange[[#This Row],[nxi]]*3</f>
        <v>120</v>
      </c>
      <c r="D36">
        <v>3936</v>
      </c>
      <c r="E36">
        <v>-1.48397274375506E-2</v>
      </c>
      <c r="F36">
        <v>6678</v>
      </c>
      <c r="G36">
        <v>-1.5128553840071999E-2</v>
      </c>
      <c r="H36">
        <v>3936</v>
      </c>
      <c r="I36">
        <v>-1.4910009045052301E-2</v>
      </c>
      <c r="J36">
        <v>6678</v>
      </c>
      <c r="K36">
        <v>-1.52014372954207E-2</v>
      </c>
      <c r="L36" s="3">
        <f>(Lagrange[[#This Row],[disp_t3]]--0.0145666666666666)/-0.0145666666666666</f>
        <v>1.8745590678535626E-2</v>
      </c>
      <c r="M36" s="3">
        <f>(Lagrange[[#This Row],[disp_t6]]--0.0145666666666666)/-0.0145666666666666</f>
        <v>3.8573490165130606E-2</v>
      </c>
      <c r="N36" s="3">
        <f>(Lagrange[[#This Row],[disp_q4]]--0.0145666666666666)/-0.0145666666666666</f>
        <v>2.357041499215351E-2</v>
      </c>
      <c r="O36" s="3">
        <f>(Lagrange[[#This Row],[disp_q8]]--0.0145666666666666)/-0.0145666666666666</f>
        <v>4.3576931035750818E-2</v>
      </c>
    </row>
    <row r="37" spans="1:15" x14ac:dyDescent="0.3">
      <c r="A37">
        <v>11</v>
      </c>
      <c r="B37">
        <v>34</v>
      </c>
      <c r="C37">
        <f>Lagrange[[#This Row],[nxi]]*3</f>
        <v>102</v>
      </c>
      <c r="D37">
        <v>3360</v>
      </c>
      <c r="E37">
        <v>-1.48291077771429E-2</v>
      </c>
      <c r="F37">
        <v>5694</v>
      </c>
      <c r="G37">
        <v>-1.5113401104733901E-2</v>
      </c>
      <c r="H37">
        <v>3360</v>
      </c>
      <c r="I37">
        <v>-1.4902369600658801E-2</v>
      </c>
      <c r="J37">
        <v>5694</v>
      </c>
      <c r="K37">
        <v>-1.51731721988821E-2</v>
      </c>
      <c r="L37" s="3">
        <f>(Lagrange[[#This Row],[disp_t3]]--0.0145666666666666)/-0.0145666666666666</f>
        <v>1.8016552206611094E-2</v>
      </c>
      <c r="M37" s="3">
        <f>(Lagrange[[#This Row],[disp_t6]]--0.0145666666666666)/-0.0145666666666666</f>
        <v>3.753325661789271E-2</v>
      </c>
      <c r="N37" s="3">
        <f>(Lagrange[[#This Row],[disp_q4]]--0.0145666666666666)/-0.0145666666666666</f>
        <v>2.3045968008618058E-2</v>
      </c>
      <c r="O37" s="3">
        <f>(Lagrange[[#This Row],[disp_q8]]--0.0145666666666666)/-0.0145666666666666</f>
        <v>4.1636535392368688E-2</v>
      </c>
    </row>
    <row r="38" spans="1:15" x14ac:dyDescent="0.3">
      <c r="A38">
        <v>11</v>
      </c>
      <c r="B38">
        <v>29</v>
      </c>
      <c r="C38">
        <f>Lagrange[[#This Row],[nxi]]*3</f>
        <v>87</v>
      </c>
      <c r="D38">
        <v>2880</v>
      </c>
      <c r="E38">
        <v>-1.4816831665949E-2</v>
      </c>
      <c r="F38">
        <v>4874</v>
      </c>
      <c r="G38">
        <v>-1.5096767863387201E-2</v>
      </c>
      <c r="H38">
        <v>2880</v>
      </c>
      <c r="I38">
        <v>-1.48942360275183E-2</v>
      </c>
      <c r="J38">
        <v>4874</v>
      </c>
      <c r="K38">
        <v>-1.5143735513042199E-2</v>
      </c>
      <c r="L38" s="3">
        <f>(Lagrange[[#This Row],[disp_t3]]--0.0145666666666666)/-0.0145666666666666</f>
        <v>1.7173798577739246E-2</v>
      </c>
      <c r="M38" s="3">
        <f>(Lagrange[[#This Row],[disp_t6]]--0.0145666666666666)/-0.0145666666666666</f>
        <v>3.6391386502558618E-2</v>
      </c>
      <c r="N38" s="3">
        <f>(Lagrange[[#This Row],[disp_q4]]--0.0145666666666666)/-0.0145666666666666</f>
        <v>2.2487599143137454E-2</v>
      </c>
      <c r="O38" s="3">
        <f>(Lagrange[[#This Row],[disp_q8]]--0.0145666666666666)/-0.0145666666666666</f>
        <v>3.9615710277501319E-2</v>
      </c>
    </row>
    <row r="39" spans="1:15" x14ac:dyDescent="0.3">
      <c r="A39">
        <v>11</v>
      </c>
      <c r="B39">
        <v>24</v>
      </c>
      <c r="C39">
        <f>Lagrange[[#This Row],[nxi]]*3</f>
        <v>72</v>
      </c>
      <c r="D39">
        <v>2400</v>
      </c>
      <c r="E39">
        <v>-1.4798610838412499E-2</v>
      </c>
      <c r="F39">
        <v>4054</v>
      </c>
      <c r="G39">
        <v>-1.5074830334429501E-2</v>
      </c>
      <c r="H39">
        <v>2400</v>
      </c>
      <c r="I39">
        <v>-1.48831654337664E-2</v>
      </c>
      <c r="J39">
        <v>4054</v>
      </c>
      <c r="K39">
        <v>-1.5107480818349501E-2</v>
      </c>
      <c r="L39" s="3">
        <f>(Lagrange[[#This Row],[disp_t3]]--0.0145666666666666)/-0.0145666666666666</f>
        <v>1.5922940852121356E-2</v>
      </c>
      <c r="M39" s="3">
        <f>(Lagrange[[#This Row],[disp_t6]]--0.0145666666666666)/-0.0145666666666666</f>
        <v>3.488537764962725E-2</v>
      </c>
      <c r="N39" s="3">
        <f>(Lagrange[[#This Row],[disp_q4]]--0.0145666666666666)/-0.0145666666666666</f>
        <v>2.1727604148727823E-2</v>
      </c>
      <c r="O39" s="3">
        <f>(Lagrange[[#This Row],[disp_q8]]--0.0145666666666666)/-0.0145666666666666</f>
        <v>3.7126829634981949E-2</v>
      </c>
    </row>
    <row r="40" spans="1:15" x14ac:dyDescent="0.3">
      <c r="A40">
        <v>11</v>
      </c>
      <c r="B40">
        <v>21</v>
      </c>
      <c r="C40">
        <f>Lagrange[[#This Row],[nxi]]*3</f>
        <v>63</v>
      </c>
      <c r="D40">
        <v>2112</v>
      </c>
      <c r="E40">
        <v>-1.47823117287665E-2</v>
      </c>
      <c r="F40">
        <v>3562</v>
      </c>
      <c r="G40">
        <v>-1.50579728068588E-2</v>
      </c>
      <c r="H40">
        <v>2112</v>
      </c>
      <c r="I40">
        <v>-1.48738765930666E-2</v>
      </c>
      <c r="J40">
        <v>3562</v>
      </c>
      <c r="K40">
        <v>-1.5081624467874401E-2</v>
      </c>
      <c r="L40" s="3">
        <f>(Lagrange[[#This Row],[disp_t3]]--0.0145666666666666)/-0.0145666666666666</f>
        <v>1.4804008839810158E-2</v>
      </c>
      <c r="M40" s="3">
        <f>(Lagrange[[#This Row],[disp_t6]]--0.0145666666666666)/-0.0145666666666666</f>
        <v>3.3728110310677517E-2</v>
      </c>
      <c r="N40" s="3">
        <f>(Lagrange[[#This Row],[disp_q4]]--0.0145666666666666)/-0.0145666666666666</f>
        <v>2.1089926297483012E-2</v>
      </c>
      <c r="O40" s="3">
        <f>(Lagrange[[#This Row],[disp_q8]]--0.0145666666666666)/-0.0145666666666666</f>
        <v>3.535179413325884E-2</v>
      </c>
    </row>
    <row r="41" spans="1:15" x14ac:dyDescent="0.3">
      <c r="A41">
        <v>11</v>
      </c>
      <c r="B41">
        <v>18</v>
      </c>
      <c r="C41">
        <f>Lagrange[[#This Row],[nxi]]*3</f>
        <v>54</v>
      </c>
      <c r="D41">
        <v>1824</v>
      </c>
      <c r="E41">
        <v>-1.4758513453857499E-2</v>
      </c>
      <c r="F41">
        <v>3070</v>
      </c>
      <c r="G41">
        <v>-1.5037092356602E-2</v>
      </c>
      <c r="H41">
        <v>1824</v>
      </c>
      <c r="I41">
        <v>-1.48608715931284E-2</v>
      </c>
      <c r="J41">
        <v>3070</v>
      </c>
      <c r="K41">
        <v>-1.5051876462041799E-2</v>
      </c>
      <c r="L41" s="3">
        <f>(Lagrange[[#This Row],[disp_t3]]--0.0145666666666666)/-0.0145666666666666</f>
        <v>1.3170259990222028E-2</v>
      </c>
      <c r="M41" s="3">
        <f>(Lagrange[[#This Row],[disp_t6]]--0.0145666666666666)/-0.0145666666666666</f>
        <v>3.2294669789615746E-2</v>
      </c>
      <c r="N41" s="3">
        <f>(Lagrange[[#This Row],[disp_q4]]--0.0145666666666666)/-0.0145666666666666</f>
        <v>2.0197134539711808E-2</v>
      </c>
      <c r="O41" s="3">
        <f>(Lagrange[[#This Row],[disp_q8]]--0.0145666666666666)/-0.0145666666666666</f>
        <v>3.3309596936512746E-2</v>
      </c>
    </row>
    <row r="42" spans="1:15" x14ac:dyDescent="0.3">
      <c r="A42">
        <v>11</v>
      </c>
      <c r="B42">
        <v>15</v>
      </c>
      <c r="C42">
        <f>Lagrange[[#This Row],[nxi]]*3</f>
        <v>45</v>
      </c>
      <c r="D42">
        <v>1536</v>
      </c>
      <c r="E42">
        <v>-1.4720999799496599E-2</v>
      </c>
      <c r="F42">
        <v>2578</v>
      </c>
      <c r="G42">
        <v>-1.5010452640314099E-2</v>
      </c>
      <c r="H42">
        <v>1536</v>
      </c>
      <c r="I42">
        <v>-1.48410725304373E-2</v>
      </c>
      <c r="J42">
        <v>2578</v>
      </c>
      <c r="K42">
        <v>-1.50170923287723E-2</v>
      </c>
      <c r="L42" s="3">
        <f>(Lagrange[[#This Row],[disp_t3]]--0.0145666666666666)/-0.0145666666666666</f>
        <v>1.0594951910526366E-2</v>
      </c>
      <c r="M42" s="3">
        <f>(Lagrange[[#This Row],[disp_t6]]--0.0145666666666666)/-0.0145666666666666</f>
        <v>3.0465856314473811E-2</v>
      </c>
      <c r="N42" s="3">
        <f>(Lagrange[[#This Row],[disp_q4]]--0.0145666666666666)/-0.0145666666666666</f>
        <v>1.8837931151306789E-2</v>
      </c>
      <c r="O42" s="3">
        <f>(Lagrange[[#This Row],[disp_q8]]--0.0145666666666666)/-0.0145666666666666</f>
        <v>3.0921670167439567E-2</v>
      </c>
    </row>
    <row r="43" spans="1:15" x14ac:dyDescent="0.3">
      <c r="A43">
        <v>11</v>
      </c>
      <c r="B43">
        <v>13</v>
      </c>
      <c r="C43">
        <f>Lagrange[[#This Row],[nxi]]*3</f>
        <v>39</v>
      </c>
      <c r="D43">
        <v>1344</v>
      </c>
      <c r="E43">
        <v>-1.4682098579140899E-2</v>
      </c>
      <c r="F43">
        <v>2250</v>
      </c>
      <c r="G43">
        <v>-1.4988102642202E-2</v>
      </c>
      <c r="H43">
        <v>1344</v>
      </c>
      <c r="I43">
        <v>-1.48210222735887E-2</v>
      </c>
      <c r="J43">
        <v>2250</v>
      </c>
      <c r="K43">
        <v>-1.4990097305187199E-2</v>
      </c>
      <c r="L43" s="3">
        <f>(Lagrange[[#This Row],[disp_t3]]--0.0145666666666666)/-0.0145666666666666</f>
        <v>7.9243875840481013E-3</v>
      </c>
      <c r="M43" s="3">
        <f>(Lagrange[[#This Row],[disp_t6]]--0.0145666666666666)/-0.0145666666666666</f>
        <v>2.8931531501286193E-2</v>
      </c>
      <c r="N43" s="3">
        <f>(Lagrange[[#This Row],[disp_q4]]--0.0145666666666666)/-0.0145666666666666</f>
        <v>1.7461483312730102E-2</v>
      </c>
      <c r="O43" s="3">
        <f>(Lagrange[[#This Row],[disp_q8]]--0.0145666666666666)/-0.0145666666666666</f>
        <v>2.9068464886997842E-2</v>
      </c>
    </row>
    <row r="44" spans="1:15" x14ac:dyDescent="0.3">
      <c r="A44">
        <v>11</v>
      </c>
      <c r="B44">
        <v>11</v>
      </c>
      <c r="C44">
        <f>Lagrange[[#This Row],[nxi]]*3</f>
        <v>33</v>
      </c>
      <c r="D44">
        <v>1152</v>
      </c>
      <c r="E44">
        <v>-1.4622843076107801E-2</v>
      </c>
      <c r="F44">
        <v>1922</v>
      </c>
      <c r="G44">
        <v>-1.49604150621676E-2</v>
      </c>
      <c r="H44">
        <v>1152</v>
      </c>
      <c r="I44">
        <v>-1.4790970944805099E-2</v>
      </c>
      <c r="J44">
        <v>1922</v>
      </c>
      <c r="K44">
        <v>-1.4958693151553199E-2</v>
      </c>
      <c r="L44" s="3">
        <f>(Lagrange[[#This Row],[disp_t3]]--0.0145666666666666)/-0.0145666666666666</f>
        <v>3.8565040806316808E-3</v>
      </c>
      <c r="M44" s="3">
        <f>(Lagrange[[#This Row],[disp_t6]]--0.0145666666666666)/-0.0145666666666666</f>
        <v>2.7030782299840014E-2</v>
      </c>
      <c r="N44" s="3">
        <f>(Lagrange[[#This Row],[disp_q4]]--0.0145666666666666)/-0.0145666666666666</f>
        <v>1.5398463030103039E-2</v>
      </c>
      <c r="O44" s="3">
        <f>(Lagrange[[#This Row],[disp_q8]]--0.0145666666666666)/-0.0145666666666666</f>
        <v>2.6912573333176312E-2</v>
      </c>
    </row>
    <row r="45" spans="1:15" x14ac:dyDescent="0.3">
      <c r="A45">
        <v>11</v>
      </c>
      <c r="B45">
        <v>9</v>
      </c>
      <c r="C45">
        <f>Lagrange[[#This Row],[nxi]]*3</f>
        <v>27</v>
      </c>
      <c r="D45">
        <v>960</v>
      </c>
      <c r="E45">
        <v>-1.4525848277085401E-2</v>
      </c>
      <c r="F45">
        <v>1594</v>
      </c>
      <c r="G45">
        <v>-1.49247144239652E-2</v>
      </c>
      <c r="H45">
        <v>960</v>
      </c>
      <c r="I45">
        <v>-1.4742304720982501E-2</v>
      </c>
      <c r="J45">
        <v>1594</v>
      </c>
      <c r="K45">
        <v>-1.4920448045692199E-2</v>
      </c>
      <c r="L45" s="3">
        <f>(Lagrange[[#This Row],[disp_t3]]--0.0145666666666666)/-0.0145666666666666</f>
        <v>-2.8021777744530098E-3</v>
      </c>
      <c r="M45" s="3">
        <f>(Lagrange[[#This Row],[disp_t6]]--0.0145666666666666)/-0.0145666666666666</f>
        <v>2.4579937571986437E-2</v>
      </c>
      <c r="N45" s="3">
        <f>(Lagrange[[#This Row],[disp_q4]]--0.0145666666666666)/-0.0145666666666666</f>
        <v>1.2057532332899456E-2</v>
      </c>
      <c r="O45" s="3">
        <f>(Lagrange[[#This Row],[disp_q8]]--0.0145666666666666)/-0.0145666666666666</f>
        <v>2.4287051191688901E-2</v>
      </c>
    </row>
    <row r="46" spans="1:15" x14ac:dyDescent="0.3">
      <c r="A46">
        <v>11</v>
      </c>
      <c r="B46">
        <v>8</v>
      </c>
      <c r="C46">
        <f>Lagrange[[#This Row],[nxi]]*3</f>
        <v>24</v>
      </c>
      <c r="D46">
        <v>864</v>
      </c>
      <c r="E46">
        <v>-1.4452309607252399E-2</v>
      </c>
      <c r="F46">
        <v>1430</v>
      </c>
      <c r="G46">
        <v>-1.4902320898615099E-2</v>
      </c>
      <c r="H46">
        <v>864</v>
      </c>
      <c r="I46">
        <v>-1.4705446091349999E-2</v>
      </c>
      <c r="J46">
        <v>1430</v>
      </c>
      <c r="K46">
        <v>-1.48972788803665E-2</v>
      </c>
      <c r="L46" s="3">
        <f>(Lagrange[[#This Row],[disp_t3]]--0.0145666666666666)/-0.0145666666666666</f>
        <v>-7.8505990444531215E-3</v>
      </c>
      <c r="M46" s="3">
        <f>(Lagrange[[#This Row],[disp_t6]]--0.0145666666666666)/-0.0145666666666666</f>
        <v>2.3042624618890253E-2</v>
      </c>
      <c r="N46" s="3">
        <f>(Lagrange[[#This Row],[disp_q4]]--0.0145666666666666)/-0.0145666666666666</f>
        <v>9.5271916258627375E-3</v>
      </c>
      <c r="O46" s="3">
        <f>(Lagrange[[#This Row],[disp_q8]]--0.0145666666666666)/-0.0145666666666666</f>
        <v>2.2696490643013885E-2</v>
      </c>
    </row>
    <row r="47" spans="1:15" x14ac:dyDescent="0.3">
      <c r="A47">
        <v>11</v>
      </c>
      <c r="B47">
        <v>7</v>
      </c>
      <c r="C47">
        <f>Lagrange[[#This Row],[nxi]]*3</f>
        <v>21</v>
      </c>
      <c r="D47">
        <v>768</v>
      </c>
      <c r="E47">
        <v>-1.4350818135678E-2</v>
      </c>
      <c r="F47">
        <v>1266</v>
      </c>
      <c r="G47">
        <v>-1.4875373268207899E-2</v>
      </c>
      <c r="H47">
        <v>768</v>
      </c>
      <c r="I47">
        <v>-1.46542465687459E-2</v>
      </c>
      <c r="J47">
        <v>1266</v>
      </c>
      <c r="K47">
        <v>-1.4869926108776001E-2</v>
      </c>
      <c r="L47" s="3">
        <f>(Lagrange[[#This Row],[disp_t3]]--0.0145666666666666)/-0.0145666666666666</f>
        <v>-1.4817976955739179E-2</v>
      </c>
      <c r="M47" s="3">
        <f>(Lagrange[[#This Row],[disp_t6]]--0.0145666666666666)/-0.0145666666666666</f>
        <v>2.1192672874688886E-2</v>
      </c>
      <c r="N47" s="3">
        <f>(Lagrange[[#This Row],[disp_q4]]--0.0145666666666666)/-0.0145666666666666</f>
        <v>6.0123502571602771E-3</v>
      </c>
      <c r="O47" s="3">
        <f>(Lagrange[[#This Row],[disp_q8]]--0.0145666666666666)/-0.0145666666666666</f>
        <v>2.0818726002933826E-2</v>
      </c>
    </row>
    <row r="48" spans="1:15" x14ac:dyDescent="0.3">
      <c r="A48">
        <v>11</v>
      </c>
      <c r="B48">
        <v>6</v>
      </c>
      <c r="C48">
        <f>Lagrange[[#This Row],[nxi]]*3</f>
        <v>18</v>
      </c>
      <c r="D48">
        <v>672</v>
      </c>
      <c r="E48">
        <v>-1.4205701840591301E-2</v>
      </c>
      <c r="F48">
        <v>1102</v>
      </c>
      <c r="G48">
        <v>-1.4841764360781299E-2</v>
      </c>
      <c r="H48">
        <v>672</v>
      </c>
      <c r="I48">
        <v>-1.45798107140774E-2</v>
      </c>
      <c r="J48">
        <v>1102</v>
      </c>
      <c r="K48">
        <v>-1.4836224053936101E-2</v>
      </c>
      <c r="L48" s="3">
        <f>(Lagrange[[#This Row],[disp_t3]]--0.0145666666666666)/-0.0145666666666666</f>
        <v>-2.4780194009746008E-2</v>
      </c>
      <c r="M48" s="3">
        <f>(Lagrange[[#This Row],[disp_t6]]--0.0145666666666666)/-0.0145666666666666</f>
        <v>1.8885425225265529E-2</v>
      </c>
      <c r="N48" s="3">
        <f>(Lagrange[[#This Row],[disp_q4]]--0.0145666666666666)/-0.0145666666666666</f>
        <v>9.0233735085588299E-4</v>
      </c>
      <c r="O48" s="3">
        <f>(Lagrange[[#This Row],[disp_q8]]--0.0145666666666666)/-0.0145666666666666</f>
        <v>1.8505083794245026E-2</v>
      </c>
    </row>
    <row r="49" spans="1:15" x14ac:dyDescent="0.3">
      <c r="A49">
        <v>11</v>
      </c>
      <c r="B49">
        <v>5</v>
      </c>
      <c r="C49">
        <f>Lagrange[[#This Row],[nxi]]*3</f>
        <v>15</v>
      </c>
      <c r="D49">
        <v>576</v>
      </c>
      <c r="E49">
        <v>-1.39895921663472E-2</v>
      </c>
      <c r="F49">
        <v>938</v>
      </c>
      <c r="G49">
        <v>-1.47977320075221E-2</v>
      </c>
      <c r="H49">
        <v>576</v>
      </c>
      <c r="I49">
        <v>-1.4465106435418399E-2</v>
      </c>
      <c r="J49">
        <v>938</v>
      </c>
      <c r="K49">
        <v>-1.4792653522035499E-2</v>
      </c>
      <c r="L49" s="3">
        <f>(Lagrange[[#This Row],[disp_t3]]--0.0145666666666666)/-0.0145666666666666</f>
        <v>-3.9616098420096231E-2</v>
      </c>
      <c r="M49" s="3">
        <f>(Lagrange[[#This Row],[disp_t6]]--0.0145666666666666)/-0.0145666666666666</f>
        <v>1.5862609212048188E-2</v>
      </c>
      <c r="N49" s="3">
        <f>(Lagrange[[#This Row],[disp_q4]]--0.0145666666666666)/-0.0145666666666666</f>
        <v>-6.9720982550252001E-3</v>
      </c>
      <c r="O49" s="3">
        <f>(Lagrange[[#This Row],[disp_q8]]--0.0145666666666666)/-0.0145666666666666</f>
        <v>1.5513971764455443E-2</v>
      </c>
    </row>
    <row r="50" spans="1:15" x14ac:dyDescent="0.3">
      <c r="A50">
        <v>11</v>
      </c>
      <c r="B50">
        <v>4</v>
      </c>
      <c r="C50">
        <f>Lagrange[[#This Row],[nxi]]*3</f>
        <v>12</v>
      </c>
      <c r="D50">
        <v>480</v>
      </c>
      <c r="E50">
        <v>-1.365342303731E-2</v>
      </c>
      <c r="F50">
        <v>774</v>
      </c>
      <c r="G50">
        <v>-1.47361314868666E-2</v>
      </c>
      <c r="H50">
        <v>480</v>
      </c>
      <c r="I50">
        <v>-1.42745967409769E-2</v>
      </c>
      <c r="J50">
        <v>774</v>
      </c>
      <c r="K50">
        <v>-1.47313876795526E-2</v>
      </c>
      <c r="L50" s="3">
        <f>(Lagrange[[#This Row],[disp_t3]]--0.0145666666666666)/-0.0145666666666666</f>
        <v>-6.2694070665213042E-2</v>
      </c>
      <c r="M50" s="3">
        <f>(Lagrange[[#This Row],[disp_t6]]--0.0145666666666666)/-0.0145666666666666</f>
        <v>1.1633740517162598E-2</v>
      </c>
      <c r="N50" s="3">
        <f>(Lagrange[[#This Row],[disp_q4]]--0.0145666666666666)/-0.0145666666666666</f>
        <v>-2.0050566980986308E-2</v>
      </c>
      <c r="O50" s="3">
        <f>(Lagrange[[#This Row],[disp_q8]]--0.0145666666666666)/-0.0145666666666666</f>
        <v>1.1308078687826201E-2</v>
      </c>
    </row>
    <row r="51" spans="1:15" x14ac:dyDescent="0.3">
      <c r="A51">
        <v>11</v>
      </c>
      <c r="B51">
        <v>3</v>
      </c>
      <c r="C51">
        <f>Lagrange[[#This Row],[nxi]]*3</f>
        <v>9</v>
      </c>
      <c r="D51">
        <v>384</v>
      </c>
      <c r="E51">
        <v>-1.31118441048003E-2</v>
      </c>
      <c r="F51">
        <v>610</v>
      </c>
      <c r="G51">
        <v>-1.4643305227304299E-2</v>
      </c>
      <c r="H51">
        <v>384</v>
      </c>
      <c r="I51">
        <v>-1.39271945907651E-2</v>
      </c>
      <c r="J51">
        <v>610</v>
      </c>
      <c r="K51">
        <v>-1.46412019326025E-2</v>
      </c>
      <c r="L51" s="3">
        <f>(Lagrange[[#This Row],[disp_t3]]--0.0145666666666666)/-0.0145666666666666</f>
        <v>-9.9873402416451248E-2</v>
      </c>
      <c r="M51" s="3">
        <f>(Lagrange[[#This Row],[disp_t6]]--0.0145666666666666)/-0.0145666666666666</f>
        <v>5.2612284190640879E-3</v>
      </c>
      <c r="N51" s="3">
        <f>(Lagrange[[#This Row],[disp_q4]]--0.0145666666666666)/-0.0145666666666666</f>
        <v>-4.3899684844496696E-2</v>
      </c>
      <c r="O51" s="3">
        <f>(Lagrange[[#This Row],[disp_q8]]--0.0145666666666666)/-0.0145666666666666</f>
        <v>5.1168374784371362E-3</v>
      </c>
    </row>
    <row r="52" spans="1:15" x14ac:dyDescent="0.3">
      <c r="A52">
        <v>11</v>
      </c>
      <c r="B52">
        <v>2</v>
      </c>
      <c r="C52">
        <f>Lagrange[[#This Row],[nxi]]*3</f>
        <v>6</v>
      </c>
      <c r="D52">
        <v>288</v>
      </c>
      <c r="E52">
        <v>-1.22639535559524E-2</v>
      </c>
      <c r="F52">
        <v>446</v>
      </c>
      <c r="G52">
        <v>-1.4509941409070901E-2</v>
      </c>
      <c r="H52">
        <v>288</v>
      </c>
      <c r="I52">
        <v>-1.32397510969055E-2</v>
      </c>
      <c r="J52">
        <v>446</v>
      </c>
      <c r="K52">
        <v>-1.4508661805556799E-2</v>
      </c>
      <c r="L52" s="3">
        <f>(Lagrange[[#This Row],[disp_t3]]--0.0145666666666666)/-0.0145666666666666</f>
        <v>-0.15808099158221123</v>
      </c>
      <c r="M52" s="3">
        <f>(Lagrange[[#This Row],[disp_t6]]--0.0145666666666666)/-0.0145666666666666</f>
        <v>-3.8941824436406658E-3</v>
      </c>
      <c r="N52" s="3">
        <f>(Lagrange[[#This Row],[disp_q4]]--0.0145666666666666)/-0.0145666666666666</f>
        <v>-9.1092602043096466E-2</v>
      </c>
      <c r="O52" s="3">
        <f>(Lagrange[[#This Row],[disp_q8]]--0.0145666666666666)/-0.0145666666666666</f>
        <v>-3.9820270784760026E-3</v>
      </c>
    </row>
    <row r="53" spans="1:15" x14ac:dyDescent="0.3">
      <c r="A53">
        <v>9</v>
      </c>
      <c r="B53">
        <v>40</v>
      </c>
      <c r="C53">
        <f>Lagrange[[#This Row],[nxi]]*3</f>
        <v>120</v>
      </c>
      <c r="D53">
        <v>3280</v>
      </c>
      <c r="E53">
        <v>-1.4823992079337199E-2</v>
      </c>
      <c r="F53">
        <v>5538</v>
      </c>
      <c r="G53">
        <v>-1.5205636123076001E-2</v>
      </c>
      <c r="H53">
        <v>3280</v>
      </c>
      <c r="I53">
        <v>-1.4923797705073299E-2</v>
      </c>
      <c r="J53">
        <v>5538</v>
      </c>
      <c r="K53">
        <v>-1.53166051179502E-2</v>
      </c>
      <c r="L53" s="3">
        <f>(Lagrange[[#This Row],[disp_t3]]--0.0145666666666666)/-0.0145666666666666</f>
        <v>1.7665360137569877E-2</v>
      </c>
      <c r="M53" s="3">
        <f>(Lagrange[[#This Row],[disp_t6]]--0.0145666666666666)/-0.0145666666666666</f>
        <v>4.3865180073872141E-2</v>
      </c>
      <c r="N53" s="3">
        <f>(Lagrange[[#This Row],[disp_q4]]--0.0145666666666666)/-0.0145666666666666</f>
        <v>2.4517004924945181E-2</v>
      </c>
      <c r="O53" s="3">
        <f>(Lagrange[[#This Row],[disp_q8]]--0.0145666666666666)/-0.0145666666666666</f>
        <v>5.1483188875304661E-2</v>
      </c>
    </row>
    <row r="54" spans="1:15" x14ac:dyDescent="0.3">
      <c r="A54">
        <v>9</v>
      </c>
      <c r="B54">
        <v>34</v>
      </c>
      <c r="C54">
        <f>Lagrange[[#This Row],[nxi]]*3</f>
        <v>102</v>
      </c>
      <c r="D54">
        <v>2800</v>
      </c>
      <c r="E54">
        <v>-1.4811023523866E-2</v>
      </c>
      <c r="F54">
        <v>4722</v>
      </c>
      <c r="G54">
        <v>-1.5188445623489E-2</v>
      </c>
      <c r="H54">
        <v>2800</v>
      </c>
      <c r="I54">
        <v>-1.4913662493179601E-2</v>
      </c>
      <c r="J54">
        <v>4722</v>
      </c>
      <c r="K54">
        <v>-1.5284295566491199E-2</v>
      </c>
      <c r="L54" s="3">
        <f>(Lagrange[[#This Row],[disp_t3]]--0.0145666666666666)/-0.0145666666666666</f>
        <v>1.6775070288288486E-2</v>
      </c>
      <c r="M54" s="3">
        <f>(Lagrange[[#This Row],[disp_t6]]--0.0145666666666666)/-0.0145666666666666</f>
        <v>4.2685054244100934E-2</v>
      </c>
      <c r="N54" s="3">
        <f>(Lagrange[[#This Row],[disp_q4]]--0.0145666666666666)/-0.0145666666666666</f>
        <v>2.3821223788078008E-2</v>
      </c>
      <c r="O54" s="3">
        <f>(Lagrange[[#This Row],[disp_q8]]--0.0145666666666666)/-0.0145666666666666</f>
        <v>4.9265141864389239E-2</v>
      </c>
    </row>
    <row r="55" spans="1:15" x14ac:dyDescent="0.3">
      <c r="A55">
        <v>9</v>
      </c>
      <c r="B55">
        <v>29</v>
      </c>
      <c r="C55">
        <f>Lagrange[[#This Row],[nxi]]*3</f>
        <v>87</v>
      </c>
      <c r="D55">
        <v>2400</v>
      </c>
      <c r="E55">
        <v>-1.4796366016056E-2</v>
      </c>
      <c r="F55">
        <v>4042</v>
      </c>
      <c r="G55">
        <v>-1.5168866428634501E-2</v>
      </c>
      <c r="H55">
        <v>2400</v>
      </c>
      <c r="I55">
        <v>-1.49028989647529E-2</v>
      </c>
      <c r="J55">
        <v>4042</v>
      </c>
      <c r="K55">
        <v>-1.5249027235700799E-2</v>
      </c>
      <c r="L55" s="3">
        <f>(Lagrange[[#This Row],[disp_t3]]--0.0145666666666666)/-0.0145666666666666</f>
        <v>1.5768834054192358E-2</v>
      </c>
      <c r="M55" s="3">
        <f>(Lagrange[[#This Row],[disp_t6]]--0.0145666666666666)/-0.0145666666666666</f>
        <v>4.1340944757522029E-2</v>
      </c>
      <c r="N55" s="3">
        <f>(Lagrange[[#This Row],[disp_q4]]--0.0145666666666666)/-0.0145666666666666</f>
        <v>2.3082308793110014E-2</v>
      </c>
      <c r="O55" s="3">
        <f>(Lagrange[[#This Row],[disp_q8]]--0.0145666666666666)/-0.0145666666666666</f>
        <v>4.6843974990906388E-2</v>
      </c>
    </row>
    <row r="56" spans="1:15" x14ac:dyDescent="0.3">
      <c r="A56">
        <v>9</v>
      </c>
      <c r="B56">
        <v>24</v>
      </c>
      <c r="C56">
        <f>Lagrange[[#This Row],[nxi]]*3</f>
        <v>72</v>
      </c>
      <c r="D56">
        <v>2000</v>
      </c>
      <c r="E56">
        <v>-1.4775719279703199E-2</v>
      </c>
      <c r="F56">
        <v>3362</v>
      </c>
      <c r="G56">
        <v>-1.5142704588382599E-2</v>
      </c>
      <c r="H56">
        <v>2000</v>
      </c>
      <c r="I56">
        <v>-1.48890049198185E-2</v>
      </c>
      <c r="J56">
        <v>3362</v>
      </c>
      <c r="K56">
        <v>-1.5203989359504601E-2</v>
      </c>
      <c r="L56" s="3">
        <f>(Lagrange[[#This Row],[disp_t3]]--0.0145666666666666)/-0.0145666666666666</f>
        <v>1.435143796589939E-2</v>
      </c>
      <c r="M56" s="3">
        <f>(Lagrange[[#This Row],[disp_t6]]--0.0145666666666666)/-0.0145666666666666</f>
        <v>3.954493741757456E-2</v>
      </c>
      <c r="N56" s="3">
        <f>(Lagrange[[#This Row],[disp_q4]]--0.0145666666666666)/-0.0145666666666666</f>
        <v>2.2128484198071084E-2</v>
      </c>
      <c r="O56" s="3">
        <f>(Lagrange[[#This Row],[disp_q8]]--0.0145666666666666)/-0.0145666666666666</f>
        <v>4.3752129943112429E-2</v>
      </c>
    </row>
    <row r="57" spans="1:15" x14ac:dyDescent="0.3">
      <c r="A57">
        <v>9</v>
      </c>
      <c r="B57">
        <v>21</v>
      </c>
      <c r="C57">
        <f>Lagrange[[#This Row],[nxi]]*3</f>
        <v>63</v>
      </c>
      <c r="D57">
        <v>1760</v>
      </c>
      <c r="E57">
        <v>-1.47581923576029E-2</v>
      </c>
      <c r="F57">
        <v>2954</v>
      </c>
      <c r="G57">
        <v>-1.5122646341653299E-2</v>
      </c>
      <c r="H57">
        <v>1760</v>
      </c>
      <c r="I57">
        <v>-1.4878155032521901E-2</v>
      </c>
      <c r="J57">
        <v>2954</v>
      </c>
      <c r="K57">
        <v>-1.51711200751039E-2</v>
      </c>
      <c r="L57" s="3">
        <f>(Lagrange[[#This Row],[disp_t3]]--0.0145666666666666)/-0.0145666666666666</f>
        <v>1.3148216769082503E-2</v>
      </c>
      <c r="M57" s="3">
        <f>(Lagrange[[#This Row],[disp_t6]]--0.0145666666666666)/-0.0145666666666666</f>
        <v>3.8167941074602009E-2</v>
      </c>
      <c r="N57" s="3">
        <f>(Lagrange[[#This Row],[disp_q4]]--0.0145666666666666)/-0.0145666666666666</f>
        <v>2.1383640676565407E-2</v>
      </c>
      <c r="O57" s="3">
        <f>(Lagrange[[#This Row],[disp_q8]]--0.0145666666666666)/-0.0145666666666666</f>
        <v>4.1495657329792018E-2</v>
      </c>
    </row>
    <row r="58" spans="1:15" x14ac:dyDescent="0.3">
      <c r="A58">
        <v>9</v>
      </c>
      <c r="B58">
        <v>18</v>
      </c>
      <c r="C58">
        <f>Lagrange[[#This Row],[nxi]]*3</f>
        <v>54</v>
      </c>
      <c r="D58">
        <v>1520</v>
      </c>
      <c r="E58">
        <v>-1.4733559927569201E-2</v>
      </c>
      <c r="F58">
        <v>2546</v>
      </c>
      <c r="G58">
        <v>-1.50979753886128E-2</v>
      </c>
      <c r="H58">
        <v>1520</v>
      </c>
      <c r="I58">
        <v>-1.4863876921417499E-2</v>
      </c>
      <c r="J58">
        <v>2546</v>
      </c>
      <c r="K58">
        <v>-1.51328397511694E-2</v>
      </c>
      <c r="L58" s="3">
        <f>(Lagrange[[#This Row],[disp_t3]]--0.0145666666666666)/-0.0145666666666666</f>
        <v>1.1457203265624846E-2</v>
      </c>
      <c r="M58" s="3">
        <f>(Lagrange[[#This Row],[disp_t6]]--0.0145666666666666)/-0.0145666666666666</f>
        <v>3.647428297113519E-2</v>
      </c>
      <c r="N58" s="3">
        <f>(Lagrange[[#This Row],[disp_q4]]--0.0145666666666666)/-0.0145666666666666</f>
        <v>2.0403449982899412E-2</v>
      </c>
      <c r="O58" s="3">
        <f>(Lagrange[[#This Row],[disp_q8]]--0.0145666666666666)/-0.0145666666666666</f>
        <v>3.8867717471588299E-2</v>
      </c>
    </row>
    <row r="59" spans="1:15" x14ac:dyDescent="0.3">
      <c r="A59">
        <v>9</v>
      </c>
      <c r="B59">
        <v>15</v>
      </c>
      <c r="C59">
        <f>Lagrange[[#This Row],[nxi]]*3</f>
        <v>45</v>
      </c>
      <c r="D59">
        <v>1280</v>
      </c>
      <c r="E59">
        <v>-1.4695813736249799E-2</v>
      </c>
      <c r="F59">
        <v>2138</v>
      </c>
      <c r="G59">
        <v>-1.50667340665466E-2</v>
      </c>
      <c r="H59">
        <v>1280</v>
      </c>
      <c r="I59">
        <v>-1.4843230065295501E-2</v>
      </c>
      <c r="J59">
        <v>2138</v>
      </c>
      <c r="K59">
        <v>-1.50878685591442E-2</v>
      </c>
      <c r="L59" s="3">
        <f>(Lagrange[[#This Row],[disp_t3]]--0.0145666666666666)/-0.0145666666666666</f>
        <v>8.8659315503341312E-3</v>
      </c>
      <c r="M59" s="3">
        <f>(Lagrange[[#This Row],[disp_t6]]--0.0145666666666666)/-0.0145666666666666</f>
        <v>3.4329569785812551E-2</v>
      </c>
      <c r="N59" s="3">
        <f>(Lagrange[[#This Row],[disp_q4]]--0.0145666666666666)/-0.0145666666666666</f>
        <v>1.8986045672464702E-2</v>
      </c>
      <c r="O59" s="3">
        <f>(Lagrange[[#This Row],[disp_q8]]--0.0145666666666666)/-0.0145666666666666</f>
        <v>3.5780450284503676E-2</v>
      </c>
    </row>
    <row r="60" spans="1:15" x14ac:dyDescent="0.3">
      <c r="A60">
        <v>9</v>
      </c>
      <c r="B60">
        <v>13</v>
      </c>
      <c r="C60">
        <f>Lagrange[[#This Row],[nxi]]*3</f>
        <v>39</v>
      </c>
      <c r="D60">
        <v>1120</v>
      </c>
      <c r="E60">
        <v>-1.46571957906989E-2</v>
      </c>
      <c r="F60">
        <v>1866</v>
      </c>
      <c r="G60">
        <v>-1.5040639699621199E-2</v>
      </c>
      <c r="H60">
        <v>1120</v>
      </c>
      <c r="I60">
        <v>-1.48228789097923E-2</v>
      </c>
      <c r="J60">
        <v>1866</v>
      </c>
      <c r="K60">
        <v>-1.50531354699959E-2</v>
      </c>
      <c r="L60" s="3">
        <f>(Lagrange[[#This Row],[disp_t3]]--0.0145666666666666)/-0.0145666666666666</f>
        <v>6.2148140067941277E-3</v>
      </c>
      <c r="M60" s="3">
        <f>(Lagrange[[#This Row],[disp_t6]]--0.0145666666666666)/-0.0145666666666666</f>
        <v>3.25381944820093E-2</v>
      </c>
      <c r="N60" s="3">
        <f>(Lagrange[[#This Row],[disp_q4]]--0.0145666666666666)/-0.0145666666666666</f>
        <v>1.7588941175677466E-2</v>
      </c>
      <c r="O60" s="3">
        <f>(Lagrange[[#This Row],[disp_q8]]--0.0145666666666666)/-0.0145666666666666</f>
        <v>3.3396027688510521E-2</v>
      </c>
    </row>
    <row r="61" spans="1:15" x14ac:dyDescent="0.3">
      <c r="A61">
        <v>9</v>
      </c>
      <c r="B61">
        <v>11</v>
      </c>
      <c r="C61">
        <f>Lagrange[[#This Row],[nxi]]*3</f>
        <v>33</v>
      </c>
      <c r="D61">
        <v>960</v>
      </c>
      <c r="E61">
        <v>-1.45986618453083E-2</v>
      </c>
      <c r="F61">
        <v>1594</v>
      </c>
      <c r="G61">
        <v>-1.5008408080130301E-2</v>
      </c>
      <c r="H61">
        <v>960</v>
      </c>
      <c r="I61">
        <v>-1.4792711879947001E-2</v>
      </c>
      <c r="J61">
        <v>1594</v>
      </c>
      <c r="K61">
        <v>-1.5013258270355699E-2</v>
      </c>
      <c r="L61" s="3">
        <f>(Lagrange[[#This Row],[disp_t3]]--0.0145666666666666)/-0.0145666666666666</f>
        <v>2.1964653529771496E-3</v>
      </c>
      <c r="M61" s="3">
        <f>(Lagrange[[#This Row],[disp_t6]]--0.0145666666666666)/-0.0145666666666666</f>
        <v>3.0325497491787427E-2</v>
      </c>
      <c r="N61" s="3">
        <f>(Lagrange[[#This Row],[disp_q4]]--0.0145666666666666)/-0.0145666666666666</f>
        <v>1.5517978028402914E-2</v>
      </c>
      <c r="O61" s="3">
        <f>(Lagrange[[#This Row],[disp_q8]]--0.0145666666666666)/-0.0145666666666666</f>
        <v>3.0658462495819369E-2</v>
      </c>
    </row>
    <row r="62" spans="1:15" x14ac:dyDescent="0.3">
      <c r="A62">
        <v>9</v>
      </c>
      <c r="B62">
        <v>9</v>
      </c>
      <c r="C62">
        <f>Lagrange[[#This Row],[nxi]]*3</f>
        <v>27</v>
      </c>
      <c r="D62">
        <v>800</v>
      </c>
      <c r="E62">
        <v>-1.45029710506777E-2</v>
      </c>
      <c r="F62">
        <v>1322</v>
      </c>
      <c r="G62">
        <v>-1.4967078128687901E-2</v>
      </c>
      <c r="H62">
        <v>800</v>
      </c>
      <c r="I62">
        <v>-1.4744049965013601E-2</v>
      </c>
      <c r="J62">
        <v>1322</v>
      </c>
      <c r="K62">
        <v>-1.49658693724465E-2</v>
      </c>
      <c r="L62" s="3">
        <f>(Lagrange[[#This Row],[disp_t3]]--0.0145666666666666)/-0.0145666666666666</f>
        <v>-4.3726967498100575E-3</v>
      </c>
      <c r="M62" s="3">
        <f>(Lagrange[[#This Row],[disp_t6]]--0.0145666666666666)/-0.0145666666666666</f>
        <v>2.7488201054094035E-2</v>
      </c>
      <c r="N62" s="3">
        <f>(Lagrange[[#This Row],[disp_q4]]--0.0145666666666666)/-0.0145666666666666</f>
        <v>1.2177343135949804E-2</v>
      </c>
      <c r="O62" s="3">
        <f>(Lagrange[[#This Row],[disp_q8]]--0.0145666666666666)/-0.0145666666666666</f>
        <v>2.7405220076423542E-2</v>
      </c>
    </row>
    <row r="63" spans="1:15" x14ac:dyDescent="0.3">
      <c r="A63">
        <v>9</v>
      </c>
      <c r="B63">
        <v>8</v>
      </c>
      <c r="C63">
        <f>Lagrange[[#This Row],[nxi]]*3</f>
        <v>24</v>
      </c>
      <c r="D63">
        <v>720</v>
      </c>
      <c r="E63">
        <v>-1.44303978816818E-2</v>
      </c>
      <c r="F63">
        <v>1186</v>
      </c>
      <c r="G63">
        <v>-1.4941371911778901E-2</v>
      </c>
      <c r="H63">
        <v>720</v>
      </c>
      <c r="I63">
        <v>-1.47072082441582E-2</v>
      </c>
      <c r="J63">
        <v>1186</v>
      </c>
      <c r="K63">
        <v>-1.4937908783435001E-2</v>
      </c>
      <c r="L63" s="3">
        <f>(Lagrange[[#This Row],[disp_t3]]--0.0145666666666666)/-0.0145666666666666</f>
        <v>-9.3548364978123678E-3</v>
      </c>
      <c r="M63" s="3">
        <f>(Lagrange[[#This Row],[disp_t6]]--0.0145666666666666)/-0.0145666666666666</f>
        <v>2.5723472204505941E-2</v>
      </c>
      <c r="N63" s="3">
        <f>(Lagrange[[#This Row],[disp_q4]]--0.0145666666666666)/-0.0145666666666666</f>
        <v>9.6481632145264049E-3</v>
      </c>
      <c r="O63" s="3">
        <f>(Lagrange[[#This Row],[disp_q8]]--0.0145666666666666)/-0.0145666666666666</f>
        <v>2.5485728839936134E-2</v>
      </c>
    </row>
    <row r="64" spans="1:15" x14ac:dyDescent="0.3">
      <c r="A64">
        <v>9</v>
      </c>
      <c r="B64">
        <v>7</v>
      </c>
      <c r="C64">
        <f>Lagrange[[#This Row],[nxi]]*3</f>
        <v>21</v>
      </c>
      <c r="D64">
        <v>640</v>
      </c>
      <c r="E64">
        <v>-1.4330181004001E-2</v>
      </c>
      <c r="F64">
        <v>1050</v>
      </c>
      <c r="G64">
        <v>-1.49107387560259E-2</v>
      </c>
      <c r="H64">
        <v>640</v>
      </c>
      <c r="I64">
        <v>-1.4656014368499601E-2</v>
      </c>
      <c r="J64">
        <v>1050</v>
      </c>
      <c r="K64">
        <v>-1.49056466384499E-2</v>
      </c>
      <c r="L64" s="3">
        <f>(Lagrange[[#This Row],[disp_t3]]--0.0145666666666666)/-0.0145666666666666</f>
        <v>-1.6234713684137328E-2</v>
      </c>
      <c r="M64" s="3">
        <f>(Lagrange[[#This Row],[disp_t6]]--0.0145666666666666)/-0.0145666666666666</f>
        <v>2.3620509567000129E-2</v>
      </c>
      <c r="N64" s="3">
        <f>(Lagrange[[#This Row],[disp_q4]]--0.0145666666666666)/-0.0145666666666666</f>
        <v>6.1337095079863997E-3</v>
      </c>
      <c r="O64" s="3">
        <f>(Lagrange[[#This Row],[disp_q8]]--0.0145666666666666)/-0.0145666666666666</f>
        <v>2.3270936278029928E-2</v>
      </c>
    </row>
    <row r="65" spans="1:15" x14ac:dyDescent="0.3">
      <c r="A65">
        <v>9</v>
      </c>
      <c r="B65">
        <v>6</v>
      </c>
      <c r="C65">
        <f>Lagrange[[#This Row],[nxi]]*3</f>
        <v>18</v>
      </c>
      <c r="D65">
        <v>560</v>
      </c>
      <c r="E65">
        <v>-1.4186780371954699E-2</v>
      </c>
      <c r="F65">
        <v>914</v>
      </c>
      <c r="G65">
        <v>-1.4873050579871301E-2</v>
      </c>
      <c r="H65">
        <v>560</v>
      </c>
      <c r="I65">
        <v>-1.4581551913551901E-2</v>
      </c>
      <c r="J65">
        <v>914</v>
      </c>
      <c r="K65">
        <v>-1.4866909357337201E-2</v>
      </c>
      <c r="L65" s="3">
        <f>(Lagrange[[#This Row],[disp_t3]]--0.0145666666666666)/-0.0145666666666666</f>
        <v>-2.6079150666720955E-2</v>
      </c>
      <c r="M65" s="3">
        <f>(Lagrange[[#This Row],[disp_t6]]--0.0145666666666666)/-0.0145666666666666</f>
        <v>2.1033220586135208E-2</v>
      </c>
      <c r="N65" s="3">
        <f>(Lagrange[[#This Row],[disp_q4]]--0.0145666666666666)/-0.0145666666666666</f>
        <v>1.0218704955584489E-3</v>
      </c>
      <c r="O65" s="3">
        <f>(Lagrange[[#This Row],[disp_q8]]--0.0145666666666666)/-0.0145666666666666</f>
        <v>2.0611626361826285E-2</v>
      </c>
    </row>
    <row r="66" spans="1:15" x14ac:dyDescent="0.3">
      <c r="A66">
        <v>9</v>
      </c>
      <c r="B66">
        <v>5</v>
      </c>
      <c r="C66">
        <f>Lagrange[[#This Row],[nxi]]*3</f>
        <v>15</v>
      </c>
      <c r="D66">
        <v>480</v>
      </c>
      <c r="E66">
        <v>-1.39730287762245E-2</v>
      </c>
      <c r="F66">
        <v>778</v>
      </c>
      <c r="G66">
        <v>-1.48245338203826E-2</v>
      </c>
      <c r="H66">
        <v>480</v>
      </c>
      <c r="I66">
        <v>-1.44667596497114E-2</v>
      </c>
      <c r="J66">
        <v>778</v>
      </c>
      <c r="K66">
        <v>-1.4818294256973299E-2</v>
      </c>
      <c r="L66" s="3">
        <f>(Lagrange[[#This Row],[disp_t3]]--0.0145666666666666)/-0.0145666666666666</f>
        <v>-4.0753173256894898E-2</v>
      </c>
      <c r="M66" s="3">
        <f>(Lagrange[[#This Row],[disp_t6]]--0.0145666666666666)/-0.0145666666666666</f>
        <v>1.7702550598352497E-2</v>
      </c>
      <c r="N66" s="3">
        <f>(Lagrange[[#This Row],[disp_q4]]--0.0145666666666666)/-0.0145666666666666</f>
        <v>-6.8586052829656494E-3</v>
      </c>
      <c r="O66" s="3">
        <f>(Lagrange[[#This Row],[disp_q8]]--0.0145666666666666)/-0.0145666666666666</f>
        <v>1.7274205284212904E-2</v>
      </c>
    </row>
    <row r="67" spans="1:15" x14ac:dyDescent="0.3">
      <c r="A67">
        <v>9</v>
      </c>
      <c r="B67">
        <v>4</v>
      </c>
      <c r="C67">
        <f>Lagrange[[#This Row],[nxi]]*3</f>
        <v>12</v>
      </c>
      <c r="D67">
        <v>400</v>
      </c>
      <c r="E67">
        <v>-1.3640126069452E-2</v>
      </c>
      <c r="F67">
        <v>642</v>
      </c>
      <c r="G67">
        <v>-1.47580395030415E-2</v>
      </c>
      <c r="H67">
        <v>400</v>
      </c>
      <c r="I67">
        <v>-1.42760556542606E-2</v>
      </c>
      <c r="J67">
        <v>642</v>
      </c>
      <c r="K67">
        <v>-1.4751642694589701E-2</v>
      </c>
      <c r="L67" s="3">
        <f>(Lagrange[[#This Row],[disp_t3]]--0.0145666666666666)/-0.0145666666666666</f>
        <v>-6.3606905987272533E-2</v>
      </c>
      <c r="M67" s="3">
        <f>(Lagrange[[#This Row],[disp_t6]]--0.0145666666666666)/-0.0145666666666666</f>
        <v>1.3137723320931433E-2</v>
      </c>
      <c r="N67" s="3">
        <f>(Lagrange[[#This Row],[disp_q4]]--0.0145666666666666)/-0.0145666666666666</f>
        <v>-1.995041275098404E-2</v>
      </c>
      <c r="O67" s="3">
        <f>(Lagrange[[#This Row],[disp_q8]]--0.0145666666666666)/-0.0145666666666666</f>
        <v>1.2698583152615702E-2</v>
      </c>
    </row>
    <row r="68" spans="1:15" x14ac:dyDescent="0.3">
      <c r="A68">
        <v>9</v>
      </c>
      <c r="B68">
        <v>3</v>
      </c>
      <c r="C68">
        <f>Lagrange[[#This Row],[nxi]]*3</f>
        <v>9</v>
      </c>
      <c r="D68">
        <v>320</v>
      </c>
      <c r="E68">
        <v>-1.3102888418538501E-2</v>
      </c>
      <c r="F68">
        <v>506</v>
      </c>
      <c r="G68">
        <v>-1.4659896607302301E-2</v>
      </c>
      <c r="H68">
        <v>320</v>
      </c>
      <c r="I68">
        <v>-1.39282731082586E-2</v>
      </c>
      <c r="J68">
        <v>506</v>
      </c>
      <c r="K68">
        <v>-1.4656776203209199E-2</v>
      </c>
      <c r="L68" s="3">
        <f>(Lagrange[[#This Row],[disp_t3]]--0.0145666666666666)/-0.0145666666666666</f>
        <v>-0.10048820925364567</v>
      </c>
      <c r="M68" s="3">
        <f>(Lagrange[[#This Row],[disp_t6]]--0.0145666666666666)/-0.0145666666666666</f>
        <v>6.4002247575996752E-3</v>
      </c>
      <c r="N68" s="3">
        <f>(Lagrange[[#This Row],[disp_q4]]--0.0145666666666666)/-0.0145666666666666</f>
        <v>-4.3825644741968144E-2</v>
      </c>
      <c r="O68" s="3">
        <f>(Lagrange[[#This Row],[disp_q8]]--0.0145666666666666)/-0.0145666666666666</f>
        <v>6.186009373633893E-3</v>
      </c>
    </row>
    <row r="69" spans="1:15" x14ac:dyDescent="0.3">
      <c r="A69">
        <v>9</v>
      </c>
      <c r="B69">
        <v>2</v>
      </c>
      <c r="C69">
        <f>Lagrange[[#This Row],[nxi]]*3</f>
        <v>6</v>
      </c>
      <c r="D69">
        <v>240</v>
      </c>
      <c r="E69">
        <v>-1.22597314481389E-2</v>
      </c>
      <c r="F69">
        <v>370</v>
      </c>
      <c r="G69">
        <v>-1.45207009315292E-2</v>
      </c>
      <c r="H69">
        <v>240</v>
      </c>
      <c r="I69">
        <v>-1.3240070187810401E-2</v>
      </c>
      <c r="J69">
        <v>370</v>
      </c>
      <c r="K69">
        <v>-1.4517333609805E-2</v>
      </c>
      <c r="L69" s="3">
        <f>(Lagrange[[#This Row],[disp_t3]]--0.0145666666666666)/-0.0145666666666666</f>
        <v>-0.15837083880052927</v>
      </c>
      <c r="M69" s="3">
        <f>(Lagrange[[#This Row],[disp_t6]]--0.0145666666666666)/-0.0145666666666666</f>
        <v>-3.1555424579450338E-3</v>
      </c>
      <c r="N69" s="3">
        <f>(Lagrange[[#This Row],[disp_q4]]--0.0145666666666666)/-0.0145666666666666</f>
        <v>-9.1070696488984318E-2</v>
      </c>
      <c r="O69" s="3">
        <f>(Lagrange[[#This Row],[disp_q8]]--0.0145666666666666)/-0.0145666666666666</f>
        <v>-3.3867087090342805E-3</v>
      </c>
    </row>
    <row r="70" spans="1:15" x14ac:dyDescent="0.3">
      <c r="A70">
        <v>7</v>
      </c>
      <c r="B70">
        <v>40</v>
      </c>
      <c r="C70">
        <f>Lagrange[[#This Row],[nxi]]*3</f>
        <v>120</v>
      </c>
      <c r="D70">
        <v>2624</v>
      </c>
      <c r="E70">
        <v>-1.48037660339663E-2</v>
      </c>
      <c r="F70">
        <v>4398</v>
      </c>
      <c r="G70">
        <v>-1.53419681707811E-2</v>
      </c>
      <c r="H70">
        <v>2624</v>
      </c>
      <c r="I70">
        <v>-1.4959878359466199E-2</v>
      </c>
      <c r="J70">
        <v>4398</v>
      </c>
      <c r="K70">
        <v>-1.5515754027101199E-2</v>
      </c>
      <c r="L70" s="3">
        <f>(Lagrange[[#This Row],[disp_t3]]--0.0145666666666666)/-0.0145666666666666</f>
        <v>1.6276844437050443E-2</v>
      </c>
      <c r="M70" s="3">
        <f>(Lagrange[[#This Row],[disp_t6]]--0.0145666666666666)/-0.0145666666666666</f>
        <v>5.3224359550194819E-2</v>
      </c>
      <c r="N70" s="3">
        <f>(Lagrange[[#This Row],[disp_q4]]--0.0145666666666666)/-0.0145666666666666</f>
        <v>2.6993937720796456E-2</v>
      </c>
      <c r="O70" s="3">
        <f>(Lagrange[[#This Row],[disp_q8]]--0.0145666666666666)/-0.0145666666666666</f>
        <v>6.5154738702604423E-2</v>
      </c>
    </row>
    <row r="71" spans="1:15" x14ac:dyDescent="0.3">
      <c r="A71">
        <v>7</v>
      </c>
      <c r="B71">
        <v>34</v>
      </c>
      <c r="C71">
        <f>Lagrange[[#This Row],[nxi]]*3</f>
        <v>102</v>
      </c>
      <c r="D71">
        <v>2240</v>
      </c>
      <c r="E71">
        <v>-1.4787954443721199E-2</v>
      </c>
      <c r="F71">
        <v>3750</v>
      </c>
      <c r="G71">
        <v>-1.53243621236044E-2</v>
      </c>
      <c r="H71">
        <v>2240</v>
      </c>
      <c r="I71">
        <v>-1.4946955199154101E-2</v>
      </c>
      <c r="J71">
        <v>3750</v>
      </c>
      <c r="K71">
        <v>-1.54820988062527E-2</v>
      </c>
      <c r="L71" s="3">
        <f>(Lagrange[[#This Row],[disp_t3]]--0.0145666666666666)/-0.0145666666666666</f>
        <v>1.5191380575830738E-2</v>
      </c>
      <c r="M71" s="3">
        <f>(Lagrange[[#This Row],[disp_t6]]--0.0145666666666666)/-0.0145666666666666</f>
        <v>5.2015706425936239E-2</v>
      </c>
      <c r="N71" s="3">
        <f>(Lagrange[[#This Row],[disp_q4]]--0.0145666666666666)/-0.0145666666666666</f>
        <v>2.6106764243993358E-2</v>
      </c>
      <c r="O71" s="3">
        <f>(Lagrange[[#This Row],[disp_q8]]--0.0145666666666666)/-0.0145666666666666</f>
        <v>6.2844311642066678E-2</v>
      </c>
    </row>
    <row r="72" spans="1:15" x14ac:dyDescent="0.3">
      <c r="A72">
        <v>7</v>
      </c>
      <c r="B72">
        <v>29</v>
      </c>
      <c r="C72">
        <f>Lagrange[[#This Row],[nxi]]*3</f>
        <v>87</v>
      </c>
      <c r="D72">
        <v>1920</v>
      </c>
      <c r="E72">
        <v>-1.47692536600858E-2</v>
      </c>
      <c r="F72">
        <v>3210</v>
      </c>
      <c r="G72">
        <v>-1.53016452312098E-2</v>
      </c>
      <c r="H72">
        <v>1920</v>
      </c>
      <c r="I72">
        <v>-1.4931946667004301E-2</v>
      </c>
      <c r="J72">
        <v>3210</v>
      </c>
      <c r="K72">
        <v>-1.5441398944966401E-2</v>
      </c>
      <c r="L72" s="3">
        <f>(Lagrange[[#This Row],[disp_t3]]--0.0145666666666666)/-0.0145666666666666</f>
        <v>1.390757391893831E-2</v>
      </c>
      <c r="M72" s="3">
        <f>(Lagrange[[#This Row],[disp_t6]]--0.0145666666666666)/-0.0145666666666666</f>
        <v>5.0456194362233718E-2</v>
      </c>
      <c r="N72" s="3">
        <f>(Lagrange[[#This Row],[disp_q4]]--0.0145666666666666)/-0.0145666666666666</f>
        <v>2.5076430229132918E-2</v>
      </c>
      <c r="O72" s="3">
        <f>(Lagrange[[#This Row],[disp_q8]]--0.0145666666666666)/-0.0145666666666666</f>
        <v>6.0050270821496929E-2</v>
      </c>
    </row>
    <row r="73" spans="1:15" x14ac:dyDescent="0.3">
      <c r="A73">
        <v>7</v>
      </c>
      <c r="B73">
        <v>24</v>
      </c>
      <c r="C73">
        <f>Lagrange[[#This Row],[nxi]]*3</f>
        <v>72</v>
      </c>
      <c r="D73">
        <v>1600</v>
      </c>
      <c r="E73">
        <v>-1.47431243353492E-2</v>
      </c>
      <c r="F73">
        <v>2670</v>
      </c>
      <c r="G73">
        <v>-1.52689509326169E-2</v>
      </c>
      <c r="H73">
        <v>1600</v>
      </c>
      <c r="I73">
        <v>-1.49120104757748E-2</v>
      </c>
      <c r="J73">
        <v>2670</v>
      </c>
      <c r="K73">
        <v>-1.53852462321771E-2</v>
      </c>
      <c r="L73" s="3">
        <f>(Lagrange[[#This Row],[disp_t3]]--0.0145666666666666)/-0.0145666666666666</f>
        <v>1.2113798765395955E-2</v>
      </c>
      <c r="M73" s="3">
        <f>(Lagrange[[#This Row],[disp_t6]]--0.0145666666666666)/-0.0145666666666666</f>
        <v>4.8211734504597537E-2</v>
      </c>
      <c r="N73" s="3">
        <f>(Lagrange[[#This Row],[disp_q4]]--0.0145666666666666)/-0.0145666666666666</f>
        <v>2.370781298225642E-2</v>
      </c>
      <c r="O73" s="3">
        <f>(Lagrange[[#This Row],[disp_q8]]--0.0145666666666666)/-0.0145666666666666</f>
        <v>5.619539351330697E-2</v>
      </c>
    </row>
    <row r="74" spans="1:15" x14ac:dyDescent="0.3">
      <c r="A74">
        <v>7</v>
      </c>
      <c r="B74">
        <v>21</v>
      </c>
      <c r="C74">
        <f>Lagrange[[#This Row],[nxi]]*3</f>
        <v>63</v>
      </c>
      <c r="D74">
        <v>1408</v>
      </c>
      <c r="E74">
        <v>-1.4721908844565101E-2</v>
      </c>
      <c r="F74">
        <v>2346</v>
      </c>
      <c r="G74">
        <v>-1.52430803406361E-2</v>
      </c>
      <c r="H74">
        <v>1408</v>
      </c>
      <c r="I74">
        <v>-1.4896896343030701E-2</v>
      </c>
      <c r="J74">
        <v>2346</v>
      </c>
      <c r="K74">
        <v>-1.5342122733227799E-2</v>
      </c>
      <c r="L74" s="3">
        <f>(Lagrange[[#This Row],[disp_t3]]--0.0145666666666666)/-0.0145666666666666</f>
        <v>1.065735775046925E-2</v>
      </c>
      <c r="M74" s="3">
        <f>(Lagrange[[#This Row],[disp_t6]]--0.0145666666666666)/-0.0145666666666666</f>
        <v>4.6435721325137562E-2</v>
      </c>
      <c r="N74" s="3">
        <f>(Lagrange[[#This Row],[disp_q4]]--0.0145666666666666)/-0.0145666666666666</f>
        <v>2.2670229498679841E-2</v>
      </c>
      <c r="O74" s="3">
        <f>(Lagrange[[#This Row],[disp_q8]]--0.0145666666666666)/-0.0145666666666666</f>
        <v>5.3234970244476217E-2</v>
      </c>
    </row>
    <row r="75" spans="1:15" x14ac:dyDescent="0.3">
      <c r="A75">
        <v>7</v>
      </c>
      <c r="B75">
        <v>18</v>
      </c>
      <c r="C75">
        <f>Lagrange[[#This Row],[nxi]]*3</f>
        <v>54</v>
      </c>
      <c r="D75">
        <v>1216</v>
      </c>
      <c r="E75">
        <v>-1.46937141541728E-2</v>
      </c>
      <c r="F75">
        <v>2022</v>
      </c>
      <c r="G75">
        <v>-1.5211075260820699E-2</v>
      </c>
      <c r="H75">
        <v>1216</v>
      </c>
      <c r="I75">
        <v>-1.4878230384368901E-2</v>
      </c>
      <c r="J75">
        <v>2022</v>
      </c>
      <c r="K75">
        <v>-1.5290245172986E-2</v>
      </c>
      <c r="L75" s="3">
        <f>(Lagrange[[#This Row],[disp_t3]]--0.0145666666666666)/-0.0145666666666666</f>
        <v>8.7217954809748876E-3</v>
      </c>
      <c r="M75" s="3">
        <f>(Lagrange[[#This Row],[disp_t6]]--0.0145666666666666)/-0.0145666666666666</f>
        <v>4.4238576257718744E-2</v>
      </c>
      <c r="N75" s="3">
        <f>(Lagrange[[#This Row],[disp_q4]]--0.0145666666666666)/-0.0145666666666666</f>
        <v>2.1388813572240456E-2</v>
      </c>
      <c r="O75" s="3">
        <f>(Lagrange[[#This Row],[disp_q8]]--0.0145666666666666)/-0.0145666666666666</f>
        <v>4.9673581669524285E-2</v>
      </c>
    </row>
    <row r="76" spans="1:15" x14ac:dyDescent="0.3">
      <c r="A76">
        <v>7</v>
      </c>
      <c r="B76">
        <v>15</v>
      </c>
      <c r="C76">
        <f>Lagrange[[#This Row],[nxi]]*3</f>
        <v>45</v>
      </c>
      <c r="D76">
        <v>1024</v>
      </c>
      <c r="E76">
        <v>-1.4653114450583E-2</v>
      </c>
      <c r="F76">
        <v>1698</v>
      </c>
      <c r="G76">
        <v>-1.51708692639389E-2</v>
      </c>
      <c r="H76">
        <v>1024</v>
      </c>
      <c r="I76">
        <v>-1.4853530813592E-2</v>
      </c>
      <c r="J76">
        <v>1698</v>
      </c>
      <c r="K76">
        <v>-1.5227749422657101E-2</v>
      </c>
      <c r="L76" s="3">
        <f>(Lagrange[[#This Row],[disp_t3]]--0.0145666666666666)/-0.0145666666666666</f>
        <v>5.9346304748101276E-3</v>
      </c>
      <c r="M76" s="3">
        <f>(Lagrange[[#This Row],[disp_t6]]--0.0145666666666666)/-0.0145666666666666</f>
        <v>4.1478439172011695E-2</v>
      </c>
      <c r="N76" s="3">
        <f>(Lagrange[[#This Row],[disp_q4]]--0.0145666666666666)/-0.0145666666666666</f>
        <v>1.969319086444404E-2</v>
      </c>
      <c r="O76" s="3">
        <f>(Lagrange[[#This Row],[disp_q8]]--0.0145666666666666)/-0.0145666666666666</f>
        <v>4.5383255559988865E-2</v>
      </c>
    </row>
    <row r="77" spans="1:15" x14ac:dyDescent="0.3">
      <c r="A77">
        <v>7</v>
      </c>
      <c r="B77">
        <v>13</v>
      </c>
      <c r="C77">
        <f>Lagrange[[#This Row],[nxi]]*3</f>
        <v>39</v>
      </c>
      <c r="D77">
        <v>896</v>
      </c>
      <c r="E77">
        <v>-1.4613376679692499E-2</v>
      </c>
      <c r="F77">
        <v>1482</v>
      </c>
      <c r="G77">
        <v>-1.5137726212277901E-2</v>
      </c>
      <c r="H77">
        <v>896</v>
      </c>
      <c r="I77">
        <v>-1.4830918193445401E-2</v>
      </c>
      <c r="J77">
        <v>1482</v>
      </c>
      <c r="K77">
        <v>-1.51789047131055E-2</v>
      </c>
      <c r="L77" s="3">
        <f>(Lagrange[[#This Row],[disp_t3]]--0.0145666666666666)/-0.0145666666666666</f>
        <v>3.2066370498329637E-3</v>
      </c>
      <c r="M77" s="3">
        <f>(Lagrange[[#This Row],[disp_t6]]--0.0145666666666666)/-0.0145666666666666</f>
        <v>3.9203172467595242E-2</v>
      </c>
      <c r="N77" s="3">
        <f>(Lagrange[[#This Row],[disp_q4]]--0.0145666666666666)/-0.0145666666666666</f>
        <v>1.8140837078636323E-2</v>
      </c>
      <c r="O77" s="3">
        <f>(Lagrange[[#This Row],[disp_q8]]--0.0145666666666666)/-0.0145666666666666</f>
        <v>4.2030071837910993E-2</v>
      </c>
    </row>
    <row r="78" spans="1:15" x14ac:dyDescent="0.3">
      <c r="A78">
        <v>7</v>
      </c>
      <c r="B78">
        <v>11</v>
      </c>
      <c r="C78">
        <f>Lagrange[[#This Row],[nxi]]*3</f>
        <v>33</v>
      </c>
      <c r="D78">
        <v>768</v>
      </c>
      <c r="E78">
        <v>-1.45546954859418E-2</v>
      </c>
      <c r="F78">
        <v>1266</v>
      </c>
      <c r="G78">
        <v>-1.50972835078472E-2</v>
      </c>
      <c r="H78">
        <v>768</v>
      </c>
      <c r="I78">
        <v>-1.4798979761572901E-2</v>
      </c>
      <c r="J78">
        <v>1266</v>
      </c>
      <c r="K78">
        <v>-1.51229039425125E-2</v>
      </c>
      <c r="L78" s="3">
        <f>(Lagrange[[#This Row],[disp_t3]]--0.0145666666666666)/-0.0145666666666666</f>
        <v>-8.2182018705715841E-4</v>
      </c>
      <c r="M78" s="3">
        <f>(Lagrange[[#This Row],[disp_t6]]--0.0145666666666666)/-0.0145666666666666</f>
        <v>3.6426785435739316E-2</v>
      </c>
      <c r="N78" s="3">
        <f>(Lagrange[[#This Row],[disp_q4]]--0.0145666666666666)/-0.0145666666666666</f>
        <v>1.5948267384872008E-2</v>
      </c>
      <c r="O78" s="3">
        <f>(Lagrange[[#This Row],[disp_q8]]--0.0145666666666666)/-0.0145666666666666</f>
        <v>3.8185625344112378E-2</v>
      </c>
    </row>
    <row r="79" spans="1:15" x14ac:dyDescent="0.3">
      <c r="A79">
        <v>7</v>
      </c>
      <c r="B79">
        <v>9</v>
      </c>
      <c r="C79">
        <f>Lagrange[[#This Row],[nxi]]*3</f>
        <v>27</v>
      </c>
      <c r="D79">
        <v>640</v>
      </c>
      <c r="E79">
        <v>-1.4460246076972201E-2</v>
      </c>
      <c r="F79">
        <v>1050</v>
      </c>
      <c r="G79">
        <v>-1.5046071056490799E-2</v>
      </c>
      <c r="H79">
        <v>640</v>
      </c>
      <c r="I79">
        <v>-1.4749057875436501E-2</v>
      </c>
      <c r="J79">
        <v>1050</v>
      </c>
      <c r="K79">
        <v>-1.5057479098561199E-2</v>
      </c>
      <c r="L79" s="3">
        <f>(Lagrange[[#This Row],[disp_t3]]--0.0145666666666666)/-0.0145666666666666</f>
        <v>-7.3057613062516569E-3</v>
      </c>
      <c r="M79" s="3">
        <f>(Lagrange[[#This Row],[disp_t6]]--0.0145666666666666)/-0.0145666666666666</f>
        <v>3.2911056509670626E-2</v>
      </c>
      <c r="N79" s="3">
        <f>(Lagrange[[#This Row],[disp_q4]]--0.0145666666666666)/-0.0145666666666666</f>
        <v>1.2521135613494418E-2</v>
      </c>
      <c r="O79" s="3">
        <f>(Lagrange[[#This Row],[disp_q8]]--0.0145666666666666)/-0.0145666666666666</f>
        <v>3.3694217292535633E-2</v>
      </c>
    </row>
    <row r="80" spans="1:15" x14ac:dyDescent="0.3">
      <c r="A80">
        <v>7</v>
      </c>
      <c r="B80">
        <v>8</v>
      </c>
      <c r="C80">
        <f>Lagrange[[#This Row],[nxi]]*3</f>
        <v>24</v>
      </c>
      <c r="D80">
        <v>576</v>
      </c>
      <c r="E80">
        <v>-1.43890234639589E-2</v>
      </c>
      <c r="F80">
        <v>942</v>
      </c>
      <c r="G80">
        <v>-1.5014570888146299E-2</v>
      </c>
      <c r="H80">
        <v>576</v>
      </c>
      <c r="I80">
        <v>-1.4711747241239401E-2</v>
      </c>
      <c r="J80">
        <v>942</v>
      </c>
      <c r="K80">
        <v>-1.50198674543425E-2</v>
      </c>
      <c r="L80" s="3">
        <f>(Lagrange[[#This Row],[disp_t3]]--0.0145666666666666)/-0.0145666666666666</f>
        <v>-1.2195185540574392E-2</v>
      </c>
      <c r="M80" s="3">
        <f>(Lagrange[[#This Row],[disp_t6]]--0.0145666666666666)/-0.0145666666666666</f>
        <v>3.0748573556958942E-2</v>
      </c>
      <c r="N80" s="3">
        <f>(Lagrange[[#This Row],[disp_q4]]--0.0145666666666666)/-0.0145666666666666</f>
        <v>9.9597648448147835E-3</v>
      </c>
      <c r="O80" s="3">
        <f>(Lagrange[[#This Row],[disp_q8]]--0.0145666666666666)/-0.0145666666666666</f>
        <v>3.1112182220313714E-2</v>
      </c>
    </row>
    <row r="81" spans="1:15" x14ac:dyDescent="0.3">
      <c r="A81">
        <v>7</v>
      </c>
      <c r="B81">
        <v>7</v>
      </c>
      <c r="C81">
        <f>Lagrange[[#This Row],[nxi]]*3</f>
        <v>21</v>
      </c>
      <c r="D81">
        <v>512</v>
      </c>
      <c r="E81">
        <v>-1.4290840370138501E-2</v>
      </c>
      <c r="F81">
        <v>834</v>
      </c>
      <c r="G81">
        <v>-1.4977436409501501E-2</v>
      </c>
      <c r="H81">
        <v>512</v>
      </c>
      <c r="I81">
        <v>-1.4660154530748599E-2</v>
      </c>
      <c r="J81">
        <v>834</v>
      </c>
      <c r="K81">
        <v>-1.4977608015623501E-2</v>
      </c>
      <c r="L81" s="3">
        <f>(Lagrange[[#This Row],[disp_t3]]--0.0145666666666666)/-0.0145666666666666</f>
        <v>-1.8935443697581242E-2</v>
      </c>
      <c r="M81" s="3">
        <f>(Lagrange[[#This Row],[disp_t6]]--0.0145666666666666)/-0.0145666666666666</f>
        <v>2.8199295846789693E-2</v>
      </c>
      <c r="N81" s="3">
        <f>(Lagrange[[#This Row],[disp_q4]]--0.0145666666666666)/-0.0145666666666666</f>
        <v>6.4179311726773845E-3</v>
      </c>
      <c r="O81" s="3">
        <f>(Lagrange[[#This Row],[disp_q8]]--0.0145666666666666)/-0.0145666666666666</f>
        <v>2.8211076587430425E-2</v>
      </c>
    </row>
    <row r="82" spans="1:15" x14ac:dyDescent="0.3">
      <c r="A82">
        <v>7</v>
      </c>
      <c r="B82">
        <v>6</v>
      </c>
      <c r="C82">
        <f>Lagrange[[#This Row],[nxi]]*3</f>
        <v>18</v>
      </c>
      <c r="D82">
        <v>448</v>
      </c>
      <c r="E82">
        <v>-1.4150409966590101E-2</v>
      </c>
      <c r="F82">
        <v>726</v>
      </c>
      <c r="G82">
        <v>-1.49324407345784E-2</v>
      </c>
      <c r="H82">
        <v>448</v>
      </c>
      <c r="I82">
        <v>-1.4585319630202201E-2</v>
      </c>
      <c r="J82">
        <v>726</v>
      </c>
      <c r="K82">
        <v>-1.49285598019264E-2</v>
      </c>
      <c r="L82" s="3">
        <f>(Lagrange[[#This Row],[disp_t3]]--0.0145666666666666)/-0.0145666666666666</f>
        <v>-2.857597483362705E-2</v>
      </c>
      <c r="M82" s="3">
        <f>(Lagrange[[#This Row],[disp_t6]]--0.0145666666666666)/-0.0145666666666666</f>
        <v>2.5110347911565363E-2</v>
      </c>
      <c r="N82" s="3">
        <f>(Lagrange[[#This Row],[disp_q4]]--0.0145666666666666)/-0.0145666666666666</f>
        <v>1.2805238125126748E-3</v>
      </c>
      <c r="O82" s="3">
        <f>(Lagrange[[#This Row],[disp_q8]]--0.0145666666666666)/-0.0145666666666666</f>
        <v>2.4843922329048182E-2</v>
      </c>
    </row>
    <row r="83" spans="1:15" x14ac:dyDescent="0.3">
      <c r="A83">
        <v>7</v>
      </c>
      <c r="B83">
        <v>5</v>
      </c>
      <c r="C83">
        <f>Lagrange[[#This Row],[nxi]]*3</f>
        <v>15</v>
      </c>
      <c r="D83">
        <v>384</v>
      </c>
      <c r="E83">
        <v>-1.3940952374289601E-2</v>
      </c>
      <c r="F83">
        <v>618</v>
      </c>
      <c r="G83">
        <v>-1.4875731846604699E-2</v>
      </c>
      <c r="H83">
        <v>384</v>
      </c>
      <c r="I83">
        <v>-1.4470119035135299E-2</v>
      </c>
      <c r="J83">
        <v>618</v>
      </c>
      <c r="K83">
        <v>-1.4869557991740501E-2</v>
      </c>
      <c r="L83" s="3">
        <f>(Lagrange[[#This Row],[disp_t3]]--0.0145666666666666)/-0.0145666666666666</f>
        <v>-4.2955214579656863E-2</v>
      </c>
      <c r="M83" s="3">
        <f>(Lagrange[[#This Row],[disp_t6]]--0.0145666666666666)/-0.0145666666666666</f>
        <v>2.1217289240601921E-2</v>
      </c>
      <c r="N83" s="3">
        <f>(Lagrange[[#This Row],[disp_q4]]--0.0145666666666666)/-0.0145666666666666</f>
        <v>-6.6279838579840211E-3</v>
      </c>
      <c r="O83" s="3">
        <f>(Lagrange[[#This Row],[disp_q8]]--0.0145666666666666)/-0.0145666666666666</f>
        <v>2.0793454810565409E-2</v>
      </c>
    </row>
    <row r="84" spans="1:15" x14ac:dyDescent="0.3">
      <c r="A84">
        <v>7</v>
      </c>
      <c r="B84">
        <v>4</v>
      </c>
      <c r="C84">
        <f>Lagrange[[#This Row],[nxi]]*3</f>
        <v>12</v>
      </c>
      <c r="D84">
        <v>320</v>
      </c>
      <c r="E84">
        <v>-1.3614182998471299E-2</v>
      </c>
      <c r="F84">
        <v>510</v>
      </c>
      <c r="G84">
        <v>-1.48001112390949E-2</v>
      </c>
      <c r="H84">
        <v>320</v>
      </c>
      <c r="I84">
        <v>-1.4278875509793201E-2</v>
      </c>
      <c r="J84">
        <v>510</v>
      </c>
      <c r="K84">
        <v>-1.47918948183282E-2</v>
      </c>
      <c r="L84" s="3">
        <f>(Lagrange[[#This Row],[disp_t3]]--0.0145666666666666)/-0.0145666666666666</f>
        <v>-6.5387894841782909E-2</v>
      </c>
      <c r="M84" s="3">
        <f>(Lagrange[[#This Row],[disp_t6]]--0.0145666666666666)/-0.0145666666666666</f>
        <v>1.6025943187297574E-2</v>
      </c>
      <c r="N84" s="3">
        <f>(Lagrange[[#This Row],[disp_q4]]--0.0145666666666666)/-0.0145666666666666</f>
        <v>-1.9756829991308927E-2</v>
      </c>
      <c r="O84" s="3">
        <f>(Lagrange[[#This Row],[disp_q8]]--0.0145666666666666)/-0.0145666666666666</f>
        <v>1.5461886841757569E-2</v>
      </c>
    </row>
    <row r="85" spans="1:15" x14ac:dyDescent="0.3">
      <c r="A85">
        <v>7</v>
      </c>
      <c r="B85">
        <v>3</v>
      </c>
      <c r="C85">
        <f>Lagrange[[#This Row],[nxi]]*3</f>
        <v>9</v>
      </c>
      <c r="D85">
        <v>256</v>
      </c>
      <c r="E85">
        <v>-1.3085251509615099E-2</v>
      </c>
      <c r="F85">
        <v>402</v>
      </c>
      <c r="G85">
        <v>-1.46918681410478E-2</v>
      </c>
      <c r="H85">
        <v>256</v>
      </c>
      <c r="I85">
        <v>-1.39302549250348E-2</v>
      </c>
      <c r="J85">
        <v>402</v>
      </c>
      <c r="K85">
        <v>-1.46874518664817E-2</v>
      </c>
      <c r="L85" s="3">
        <f>(Lagrange[[#This Row],[disp_t3]]--0.0145666666666666)/-0.0145666666666666</f>
        <v>-0.10169898103328423</v>
      </c>
      <c r="M85" s="3">
        <f>(Lagrange[[#This Row],[disp_t6]]--0.0145666666666666)/-0.0145666666666666</f>
        <v>8.5950668911580121E-3</v>
      </c>
      <c r="N85" s="3">
        <f>(Lagrange[[#This Row],[disp_q4]]--0.0145666666666666)/-0.0145666666666666</f>
        <v>-4.3689593247034482E-2</v>
      </c>
      <c r="O85" s="3">
        <f>(Lagrange[[#This Row],[disp_q8]]--0.0145666666666666)/-0.0145666666666666</f>
        <v>8.2918901474897562E-3</v>
      </c>
    </row>
    <row r="86" spans="1:15" x14ac:dyDescent="0.3">
      <c r="A86">
        <v>7</v>
      </c>
      <c r="B86">
        <v>2</v>
      </c>
      <c r="C86">
        <f>Lagrange[[#This Row],[nxi]]*3</f>
        <v>6</v>
      </c>
      <c r="D86">
        <v>192</v>
      </c>
      <c r="E86">
        <v>-1.22514551503447E-2</v>
      </c>
      <c r="F86">
        <v>294</v>
      </c>
      <c r="G86">
        <v>-1.4541627704293699E-2</v>
      </c>
      <c r="H86">
        <v>192</v>
      </c>
      <c r="I86">
        <v>-1.32407115103855E-2</v>
      </c>
      <c r="J86">
        <v>294</v>
      </c>
      <c r="K86">
        <v>-1.45344127663233E-2</v>
      </c>
      <c r="L86" s="3">
        <f>(Lagrange[[#This Row],[disp_t3]]--0.0145666666666666)/-0.0145666666666666</f>
        <v>-0.1589390056971563</v>
      </c>
      <c r="M86" s="3">
        <f>(Lagrange[[#This Row],[disp_t6]]--0.0145666666666666)/-0.0145666666666666</f>
        <v>-1.7189219020297506E-3</v>
      </c>
      <c r="N86" s="3">
        <f>(Lagrange[[#This Row],[disp_q4]]--0.0145666666666666)/-0.0145666666666666</f>
        <v>-9.1026669767581614E-2</v>
      </c>
      <c r="O86" s="3">
        <f>(Lagrange[[#This Row],[disp_q8]]--0.0145666666666666)/-0.0145666666666666</f>
        <v>-2.214226568189898E-3</v>
      </c>
    </row>
    <row r="87" spans="1:15" x14ac:dyDescent="0.3">
      <c r="A87">
        <v>5</v>
      </c>
      <c r="B87">
        <v>40</v>
      </c>
      <c r="C87">
        <f>Lagrange[[#This Row],[nxi]]*3</f>
        <v>120</v>
      </c>
      <c r="D87">
        <v>1968</v>
      </c>
      <c r="E87">
        <v>-1.47711902920867E-2</v>
      </c>
      <c r="F87">
        <v>3258</v>
      </c>
      <c r="G87">
        <v>-1.56103471380044E-2</v>
      </c>
      <c r="H87">
        <v>1968</v>
      </c>
      <c r="I87">
        <v>-1.5054152347218399E-2</v>
      </c>
      <c r="J87">
        <v>3258</v>
      </c>
      <c r="K87">
        <v>-1.58908775240433E-2</v>
      </c>
      <c r="L87" s="3">
        <f>(Lagrange[[#This Row],[disp_t3]]--0.0145666666666666)/-0.0145666666666666</f>
        <v>1.4040523484217523E-2</v>
      </c>
      <c r="M87" s="3">
        <f>(Lagrange[[#This Row],[disp_t6]]--0.0145666666666666)/-0.0145666666666666</f>
        <v>7.1648544943098746E-2</v>
      </c>
      <c r="N87" s="3">
        <f>(Lagrange[[#This Row],[disp_q4]]--0.0145666666666666)/-0.0145666666666666</f>
        <v>3.3465836193487565E-2</v>
      </c>
      <c r="O87" s="3">
        <f>(Lagrange[[#This Row],[disp_q8]]--0.0145666666666666)/-0.0145666666666666</f>
        <v>9.0906923847371146E-2</v>
      </c>
    </row>
    <row r="88" spans="1:15" x14ac:dyDescent="0.3">
      <c r="A88">
        <v>5</v>
      </c>
      <c r="B88">
        <v>34</v>
      </c>
      <c r="C88">
        <f>Lagrange[[#This Row],[nxi]]*3</f>
        <v>102</v>
      </c>
      <c r="D88">
        <v>1680</v>
      </c>
      <c r="E88">
        <v>-1.4756961259483999E-2</v>
      </c>
      <c r="F88">
        <v>2778</v>
      </c>
      <c r="G88">
        <v>-1.56037326927545E-2</v>
      </c>
      <c r="H88">
        <v>1680</v>
      </c>
      <c r="I88">
        <v>-1.5043692880970801E-2</v>
      </c>
      <c r="J88">
        <v>2778</v>
      </c>
      <c r="K88">
        <v>-1.587190059291E-2</v>
      </c>
      <c r="L88" s="3">
        <f>(Lagrange[[#This Row],[disp_t3]]--0.0145666666666666)/-0.0145666666666666</f>
        <v>1.3063702024077858E-2</v>
      </c>
      <c r="M88" s="3">
        <f>(Lagrange[[#This Row],[disp_t6]]--0.0145666666666666)/-0.0145666666666666</f>
        <v>7.119446403349465E-2</v>
      </c>
      <c r="N88" s="3">
        <f>(Lagrange[[#This Row],[disp_q4]]--0.0145666666666666)/-0.0145666666666666</f>
        <v>3.274779503232518E-2</v>
      </c>
      <c r="O88" s="3">
        <f>(Lagrange[[#This Row],[disp_q8]]--0.0145666666666666)/-0.0145666666666666</f>
        <v>8.9604159696343721E-2</v>
      </c>
    </row>
    <row r="89" spans="1:15" x14ac:dyDescent="0.3">
      <c r="A89">
        <v>5</v>
      </c>
      <c r="B89">
        <v>29</v>
      </c>
      <c r="C89">
        <f>Lagrange[[#This Row],[nxi]]*3</f>
        <v>87</v>
      </c>
      <c r="D89">
        <v>1440</v>
      </c>
      <c r="E89">
        <v>-1.4735590683888701E-2</v>
      </c>
      <c r="F89">
        <v>2378</v>
      </c>
      <c r="G89">
        <v>-1.55857067416405E-2</v>
      </c>
      <c r="H89">
        <v>1440</v>
      </c>
      <c r="I89">
        <v>-1.5026512950705E-2</v>
      </c>
      <c r="J89">
        <v>2378</v>
      </c>
      <c r="K89">
        <v>-1.5837412474954401E-2</v>
      </c>
      <c r="L89" s="3">
        <f>(Lagrange[[#This Row],[disp_t3]]--0.0145666666666666)/-0.0145666666666666</f>
        <v>1.1596614454606552E-2</v>
      </c>
      <c r="M89" s="3">
        <f>(Lagrange[[#This Row],[disp_t6]]--0.0145666666666666)/-0.0145666666666666</f>
        <v>6.9956984551984375E-2</v>
      </c>
      <c r="N89" s="3">
        <f>(Lagrange[[#This Row],[disp_q4]]--0.0145666666666666)/-0.0145666666666666</f>
        <v>3.1568394785245021E-2</v>
      </c>
      <c r="O89" s="3">
        <f>(Lagrange[[#This Row],[disp_q8]]--0.0145666666666666)/-0.0145666666666666</f>
        <v>8.7236554344700734E-2</v>
      </c>
    </row>
    <row r="90" spans="1:15" x14ac:dyDescent="0.3">
      <c r="A90">
        <v>5</v>
      </c>
      <c r="B90">
        <v>24</v>
      </c>
      <c r="C90">
        <f>Lagrange[[#This Row],[nxi]]*3</f>
        <v>72</v>
      </c>
      <c r="D90">
        <v>1200</v>
      </c>
      <c r="E90">
        <v>-1.47013398037045E-2</v>
      </c>
      <c r="F90">
        <v>1978</v>
      </c>
      <c r="G90">
        <v>-1.55496769891803E-2</v>
      </c>
      <c r="H90">
        <v>1200</v>
      </c>
      <c r="I90">
        <v>-1.4998295383737001E-2</v>
      </c>
      <c r="J90">
        <v>1978</v>
      </c>
      <c r="K90">
        <v>-1.5776584698030199E-2</v>
      </c>
      <c r="L90" s="3">
        <f>(Lagrange[[#This Row],[disp_t3]]--0.0145666666666666)/-0.0145666666666666</f>
        <v>9.2452954488261435E-3</v>
      </c>
      <c r="M90" s="3">
        <f>(Lagrange[[#This Row],[disp_t6]]--0.0145666666666666)/-0.0145666666666666</f>
        <v>6.7483546167988934E-2</v>
      </c>
      <c r="N90" s="3">
        <f>(Lagrange[[#This Row],[disp_q4]]--0.0145666666666666)/-0.0145666666666666</f>
        <v>2.9631262041446442E-2</v>
      </c>
      <c r="O90" s="3">
        <f>(Lagrange[[#This Row],[disp_q8]]--0.0145666666666666)/-0.0145666666666666</f>
        <v>8.3060734418554161E-2</v>
      </c>
    </row>
    <row r="91" spans="1:15" x14ac:dyDescent="0.3">
      <c r="A91">
        <v>5</v>
      </c>
      <c r="B91">
        <v>21</v>
      </c>
      <c r="C91">
        <f>Lagrange[[#This Row],[nxi]]*3</f>
        <v>63</v>
      </c>
      <c r="D91">
        <v>1056</v>
      </c>
      <c r="E91">
        <v>-1.4672126403359201E-2</v>
      </c>
      <c r="F91">
        <v>1738</v>
      </c>
      <c r="G91">
        <v>-1.5515984092979E-2</v>
      </c>
      <c r="H91">
        <v>1056</v>
      </c>
      <c r="I91">
        <v>-1.4974480926409101E-2</v>
      </c>
      <c r="J91">
        <v>1738</v>
      </c>
      <c r="K91">
        <v>-1.5722556822263999E-2</v>
      </c>
      <c r="L91" s="3">
        <f>(Lagrange[[#This Row],[disp_t3]]--0.0145666666666666)/-0.0145666666666666</f>
        <v>7.239798857615695E-3</v>
      </c>
      <c r="M91" s="3">
        <f>(Lagrange[[#This Row],[disp_t6]]--0.0145666666666666)/-0.0145666666666666</f>
        <v>6.5170532698792069E-2</v>
      </c>
      <c r="N91" s="3">
        <f>(Lagrange[[#This Row],[disp_q4]]--0.0145666666666666)/-0.0145666666666666</f>
        <v>2.7996402270652386E-2</v>
      </c>
      <c r="O91" s="3">
        <f>(Lagrange[[#This Row],[disp_q8]]--0.0145666666666666)/-0.0145666666666666</f>
        <v>7.9351726928883606E-2</v>
      </c>
    </row>
    <row r="92" spans="1:15" x14ac:dyDescent="0.3">
      <c r="A92">
        <v>5</v>
      </c>
      <c r="B92">
        <v>18</v>
      </c>
      <c r="C92">
        <f>Lagrange[[#This Row],[nxi]]*3</f>
        <v>54</v>
      </c>
      <c r="D92">
        <v>912</v>
      </c>
      <c r="E92">
        <v>-1.4633752207770301E-2</v>
      </c>
      <c r="F92">
        <v>1498</v>
      </c>
      <c r="G92">
        <v>-1.5470550506738E-2</v>
      </c>
      <c r="H92">
        <v>912</v>
      </c>
      <c r="I92">
        <v>-1.49442019271607E-2</v>
      </c>
      <c r="J92">
        <v>1498</v>
      </c>
      <c r="K92">
        <v>-1.5651473040214199E-2</v>
      </c>
      <c r="L92" s="3">
        <f>(Lagrange[[#This Row],[disp_t3]]--0.0145666666666666)/-0.0145666666666666</f>
        <v>4.6054147210779269E-3</v>
      </c>
      <c r="M92" s="3">
        <f>(Lagrange[[#This Row],[disp_t6]]--0.0145666666666666)/-0.0145666666666666</f>
        <v>6.2051522201698281E-2</v>
      </c>
      <c r="N92" s="3">
        <f>(Lagrange[[#This Row],[disp_q4]]--0.0145666666666666)/-0.0145666666666666</f>
        <v>2.5917752436666042E-2</v>
      </c>
      <c r="O92" s="3">
        <f>(Lagrange[[#This Row],[disp_q8]]--0.0145666666666666)/-0.0145666666666666</f>
        <v>7.4471833424320691E-2</v>
      </c>
    </row>
    <row r="93" spans="1:15" x14ac:dyDescent="0.3">
      <c r="A93">
        <v>5</v>
      </c>
      <c r="B93">
        <v>15</v>
      </c>
      <c r="C93">
        <f>Lagrange[[#This Row],[nxi]]*3</f>
        <v>45</v>
      </c>
      <c r="D93">
        <v>768</v>
      </c>
      <c r="E93">
        <v>-1.45817318587576E-2</v>
      </c>
      <c r="F93">
        <v>1258</v>
      </c>
      <c r="G93">
        <v>-1.5410613825717999E-2</v>
      </c>
      <c r="H93">
        <v>768</v>
      </c>
      <c r="I93">
        <v>-1.49055656439851E-2</v>
      </c>
      <c r="J93">
        <v>1258</v>
      </c>
      <c r="K93">
        <v>-1.55592996389303E-2</v>
      </c>
      <c r="L93" s="3">
        <f>(Lagrange[[#This Row],[disp_t3]]--0.0145666666666666)/-0.0145666666666666</f>
        <v>1.034223713341032E-3</v>
      </c>
      <c r="M93" s="3">
        <f>(Lagrange[[#This Row],[disp_t6]]--0.0145666666666666)/-0.0145666666666666</f>
        <v>5.7936875907419028E-2</v>
      </c>
      <c r="N93" s="3">
        <f>(Lagrange[[#This Row],[disp_q4]]--0.0145666666666666)/-0.0145666666666666</f>
        <v>2.3265376017288512E-2</v>
      </c>
      <c r="O93" s="3">
        <f>(Lagrange[[#This Row],[disp_q8]]--0.0145666666666666)/-0.0145666666666666</f>
        <v>6.8144139972336717E-2</v>
      </c>
    </row>
    <row r="94" spans="1:15" x14ac:dyDescent="0.3">
      <c r="A94">
        <v>5</v>
      </c>
      <c r="B94">
        <v>13</v>
      </c>
      <c r="C94">
        <f>Lagrange[[#This Row],[nxi]]*3</f>
        <v>39</v>
      </c>
      <c r="D94">
        <v>672</v>
      </c>
      <c r="E94">
        <v>-1.45347017201674E-2</v>
      </c>
      <c r="F94">
        <v>1098</v>
      </c>
      <c r="G94">
        <v>-1.53606889240183E-2</v>
      </c>
      <c r="H94">
        <v>672</v>
      </c>
      <c r="I94">
        <v>-1.4873080277713099E-2</v>
      </c>
      <c r="J94">
        <v>1098</v>
      </c>
      <c r="K94">
        <v>-1.54835978959101E-2</v>
      </c>
      <c r="L94" s="3">
        <f>(Lagrange[[#This Row],[disp_t3]]--0.0145666666666666)/-0.0145666666666666</f>
        <v>-2.1943899198534956E-3</v>
      </c>
      <c r="M94" s="3">
        <f>(Lagrange[[#This Row],[disp_t6]]--0.0145666666666666)/-0.0145666666666666</f>
        <v>5.4509537117965988E-2</v>
      </c>
      <c r="N94" s="3">
        <f>(Lagrange[[#This Row],[disp_q4]]--0.0145666666666666)/-0.0145666666666666</f>
        <v>2.103525933957676E-2</v>
      </c>
      <c r="O94" s="3">
        <f>(Lagrange[[#This Row],[disp_q8]]--0.0145666666666666)/-0.0145666666666666</f>
        <v>6.2947223975526628E-2</v>
      </c>
    </row>
    <row r="95" spans="1:15" x14ac:dyDescent="0.3">
      <c r="A95">
        <v>5</v>
      </c>
      <c r="B95">
        <v>11</v>
      </c>
      <c r="C95">
        <f>Lagrange[[#This Row],[nxi]]*3</f>
        <v>33</v>
      </c>
      <c r="D95">
        <v>576</v>
      </c>
      <c r="E95">
        <v>-1.44702008957676E-2</v>
      </c>
      <c r="F95">
        <v>938</v>
      </c>
      <c r="G95">
        <v>-1.5300530172494E-2</v>
      </c>
      <c r="H95">
        <v>576</v>
      </c>
      <c r="I95">
        <v>-1.4831583470465899E-2</v>
      </c>
      <c r="J95">
        <v>938</v>
      </c>
      <c r="K95">
        <v>-1.5394139534637899E-2</v>
      </c>
      <c r="L95" s="3">
        <f>(Lagrange[[#This Row],[disp_t3]]--0.0145666666666666)/-0.0145666666666666</f>
        <v>-6.6223641349427943E-3</v>
      </c>
      <c r="M95" s="3">
        <f>(Lagrange[[#This Row],[disp_t6]]--0.0145666666666666)/-0.0145666666666666</f>
        <v>5.0379645708975081E-2</v>
      </c>
      <c r="N95" s="3">
        <f>(Lagrange[[#This Row],[disp_q4]]--0.0145666666666666)/-0.0145666666666666</f>
        <v>1.8186508269974921E-2</v>
      </c>
      <c r="O95" s="3">
        <f>(Lagrange[[#This Row],[disp_q8]]--0.0145666666666666)/-0.0145666666666666</f>
        <v>5.680591770970049E-2</v>
      </c>
    </row>
    <row r="96" spans="1:15" x14ac:dyDescent="0.3">
      <c r="A96">
        <v>5</v>
      </c>
      <c r="B96">
        <v>9</v>
      </c>
      <c r="C96">
        <f>Lagrange[[#This Row],[nxi]]*3</f>
        <v>27</v>
      </c>
      <c r="D96">
        <v>480</v>
      </c>
      <c r="E96">
        <v>-1.43730149575831E-2</v>
      </c>
      <c r="F96">
        <v>778</v>
      </c>
      <c r="G96">
        <v>-1.5226376910873401E-2</v>
      </c>
      <c r="H96">
        <v>480</v>
      </c>
      <c r="I96">
        <v>-1.47731798586662E-2</v>
      </c>
      <c r="J96">
        <v>778</v>
      </c>
      <c r="K96">
        <v>-1.52880710375944E-2</v>
      </c>
      <c r="L96" s="3">
        <f>(Lagrange[[#This Row],[disp_t3]]--0.0145666666666666)/-0.0145666666666666</f>
        <v>-1.3294167671636202E-2</v>
      </c>
      <c r="M96" s="3">
        <f>(Lagrange[[#This Row],[disp_t6]]--0.0145666666666666)/-0.0145666666666666</f>
        <v>4.5289032783075826E-2</v>
      </c>
      <c r="N96" s="3">
        <f>(Lagrange[[#This Row],[disp_q4]]--0.0145666666666666)/-0.0145666666666666</f>
        <v>1.4177107002260965E-2</v>
      </c>
      <c r="O96" s="3">
        <f>(Lagrange[[#This Row],[disp_q8]]--0.0145666666666666)/-0.0145666666666666</f>
        <v>4.9524327523647882E-2</v>
      </c>
    </row>
    <row r="97" spans="1:15" x14ac:dyDescent="0.3">
      <c r="A97">
        <v>5</v>
      </c>
      <c r="B97">
        <v>8</v>
      </c>
      <c r="C97">
        <f>Lagrange[[#This Row],[nxi]]*3</f>
        <v>24</v>
      </c>
      <c r="D97">
        <v>432</v>
      </c>
      <c r="E97">
        <v>-1.43023077300328E-2</v>
      </c>
      <c r="F97">
        <v>698</v>
      </c>
      <c r="G97">
        <v>-1.51819093125071E-2</v>
      </c>
      <c r="H97">
        <v>432</v>
      </c>
      <c r="I97">
        <v>-1.4732224397296901E-2</v>
      </c>
      <c r="J97">
        <v>698</v>
      </c>
      <c r="K97">
        <v>-1.52274527714991E-2</v>
      </c>
      <c r="L97" s="3">
        <f>(Lagrange[[#This Row],[disp_t3]]--0.0145666666666666)/-0.0145666666666666</f>
        <v>-1.8148210752892482E-2</v>
      </c>
      <c r="M97" s="3">
        <f>(Lagrange[[#This Row],[disp_t6]]--0.0145666666666666)/-0.0145666666666666</f>
        <v>4.2236337243055193E-2</v>
      </c>
      <c r="N97" s="3">
        <f>(Lagrange[[#This Row],[disp_q4]]--0.0145666666666666)/-0.0145666666666666</f>
        <v>1.1365519265238124E-2</v>
      </c>
      <c r="O97" s="3">
        <f>(Lagrange[[#This Row],[disp_q8]]--0.0145666666666666)/-0.0145666666666666</f>
        <v>4.5362890491933872E-2</v>
      </c>
    </row>
    <row r="98" spans="1:15" x14ac:dyDescent="0.3">
      <c r="A98">
        <v>5</v>
      </c>
      <c r="B98">
        <v>7</v>
      </c>
      <c r="C98">
        <f>Lagrange[[#This Row],[nxi]]*3</f>
        <v>21</v>
      </c>
      <c r="D98">
        <v>384</v>
      </c>
      <c r="E98">
        <v>-1.4206472736953401E-2</v>
      </c>
      <c r="F98">
        <v>618</v>
      </c>
      <c r="G98">
        <v>-1.51305076823029E-2</v>
      </c>
      <c r="H98">
        <v>384</v>
      </c>
      <c r="I98">
        <v>-1.46774254659909E-2</v>
      </c>
      <c r="J98">
        <v>618</v>
      </c>
      <c r="K98">
        <v>-1.5160543956378199E-2</v>
      </c>
      <c r="L98" s="3">
        <f>(Lagrange[[#This Row],[disp_t3]]--0.0145666666666666)/-0.0145666666666666</f>
        <v>-2.4727272062691104E-2</v>
      </c>
      <c r="M98" s="3">
        <f>(Lagrange[[#This Row],[disp_t6]]--0.0145666666666666)/-0.0145666666666666</f>
        <v>3.8707621210730174E-2</v>
      </c>
      <c r="N98" s="3">
        <f>(Lagrange[[#This Row],[disp_q4]]--0.0145666666666666)/-0.0145666666666666</f>
        <v>7.6035789009817412E-3</v>
      </c>
      <c r="O98" s="3">
        <f>(Lagrange[[#This Row],[disp_q8]]--0.0145666666666666)/-0.0145666666666666</f>
        <v>4.0769607989354868E-2</v>
      </c>
    </row>
    <row r="99" spans="1:15" x14ac:dyDescent="0.3">
      <c r="A99">
        <v>5</v>
      </c>
      <c r="B99">
        <v>6</v>
      </c>
      <c r="C99">
        <f>Lagrange[[#This Row],[nxi]]*3</f>
        <v>18</v>
      </c>
      <c r="D99">
        <v>336</v>
      </c>
      <c r="E99">
        <v>-1.4070879542509501E-2</v>
      </c>
      <c r="F99">
        <v>538</v>
      </c>
      <c r="G99">
        <v>-1.5069616842430701E-2</v>
      </c>
      <c r="H99">
        <v>336</v>
      </c>
      <c r="I99">
        <v>-1.4599788905496699E-2</v>
      </c>
      <c r="J99">
        <v>538</v>
      </c>
      <c r="K99">
        <v>-1.50854467876944E-2</v>
      </c>
      <c r="L99" s="3">
        <f>(Lagrange[[#This Row],[disp_t3]]--0.0145666666666666)/-0.0145666666666666</f>
        <v>-3.4035729347169412E-2</v>
      </c>
      <c r="M99" s="3">
        <f>(Lagrange[[#This Row],[disp_t6]]--0.0145666666666666)/-0.0145666666666666</f>
        <v>3.4527472020419024E-2</v>
      </c>
      <c r="N99" s="3">
        <f>(Lagrange[[#This Row],[disp_q4]]--0.0145666666666666)/-0.0145666666666666</f>
        <v>2.2738379059565189E-3</v>
      </c>
      <c r="O99" s="3">
        <f>(Lagrange[[#This Row],[disp_q8]]--0.0145666666666666)/-0.0145666666666666</f>
        <v>3.5614195951565418E-2</v>
      </c>
    </row>
    <row r="100" spans="1:15" x14ac:dyDescent="0.3">
      <c r="A100">
        <v>5</v>
      </c>
      <c r="B100">
        <v>5</v>
      </c>
      <c r="C100">
        <f>Lagrange[[#This Row],[nxi]]*3</f>
        <v>15</v>
      </c>
      <c r="D100">
        <v>288</v>
      </c>
      <c r="E100">
        <v>-1.38696937960505E-2</v>
      </c>
      <c r="F100">
        <v>458</v>
      </c>
      <c r="G100">
        <v>-1.4995006042859201E-2</v>
      </c>
      <c r="H100">
        <v>288</v>
      </c>
      <c r="I100">
        <v>-1.44820791530833E-2</v>
      </c>
      <c r="J100">
        <v>458</v>
      </c>
      <c r="K100">
        <v>-1.49995483386602E-2</v>
      </c>
      <c r="L100" s="3">
        <f>(Lagrange[[#This Row],[disp_t3]]--0.0145666666666666)/-0.0145666666666666</f>
        <v>-4.7847107822615705E-2</v>
      </c>
      <c r="M100" s="3">
        <f>(Lagrange[[#This Row],[disp_t6]]--0.0145666666666666)/-0.0145666666666666</f>
        <v>2.9405449166540261E-2</v>
      </c>
      <c r="N100" s="3">
        <f>(Lagrange[[#This Row],[disp_q4]]--0.0145666666666666)/-0.0145666666666666</f>
        <v>-5.8069231292883364E-3</v>
      </c>
      <c r="O100" s="3">
        <f>(Lagrange[[#This Row],[disp_q8]]--0.0145666666666666)/-0.0145666666666666</f>
        <v>2.9717277253565419E-2</v>
      </c>
    </row>
    <row r="101" spans="1:15" x14ac:dyDescent="0.3">
      <c r="A101">
        <v>5</v>
      </c>
      <c r="B101">
        <v>4</v>
      </c>
      <c r="C101">
        <f>Lagrange[[#This Row],[nxi]]*3</f>
        <v>12</v>
      </c>
      <c r="D101">
        <v>240</v>
      </c>
      <c r="E101">
        <v>-1.3555855521251299E-2</v>
      </c>
      <c r="F101">
        <v>378</v>
      </c>
      <c r="G101">
        <v>-1.4899099243015799E-2</v>
      </c>
      <c r="H101">
        <v>240</v>
      </c>
      <c r="I101">
        <v>-1.42883826802219E-2</v>
      </c>
      <c r="J101">
        <v>378</v>
      </c>
      <c r="K101">
        <v>-1.48934567768279E-2</v>
      </c>
      <c r="L101" s="3">
        <f>(Lagrange[[#This Row],[disp_t3]]--0.0145666666666666)/-0.0145666666666666</f>
        <v>-6.9392069479311536E-2</v>
      </c>
      <c r="M101" s="3">
        <f>(Lagrange[[#This Row],[disp_t6]]--0.0145666666666666)/-0.0145666666666666</f>
        <v>2.282145833060879E-2</v>
      </c>
      <c r="N101" s="3">
        <f>(Lagrange[[#This Row],[disp_q4]]--0.0145666666666666)/-0.0145666666666666</f>
        <v>-1.910416382915564E-2</v>
      </c>
      <c r="O101" s="3">
        <f>(Lagrange[[#This Row],[disp_q8]]--0.0145666666666666)/-0.0145666666666666</f>
        <v>2.2434103672400604E-2</v>
      </c>
    </row>
    <row r="102" spans="1:15" x14ac:dyDescent="0.3">
      <c r="A102">
        <v>5</v>
      </c>
      <c r="B102">
        <v>3</v>
      </c>
      <c r="C102">
        <f>Lagrange[[#This Row],[nxi]]*3</f>
        <v>9</v>
      </c>
      <c r="D102">
        <v>192</v>
      </c>
      <c r="E102">
        <v>-1.30453039217683E-2</v>
      </c>
      <c r="F102">
        <v>298</v>
      </c>
      <c r="G102">
        <v>-1.47678200512946E-2</v>
      </c>
      <c r="H102">
        <v>192</v>
      </c>
      <c r="I102">
        <v>-1.3936874986192199E-2</v>
      </c>
      <c r="J102">
        <v>298</v>
      </c>
      <c r="K102">
        <v>-1.4763842376523201E-2</v>
      </c>
      <c r="L102" s="3">
        <f>(Lagrange[[#This Row],[disp_t3]]--0.0145666666666666)/-0.0145666666666666</f>
        <v>-0.10444137836830479</v>
      </c>
      <c r="M102" s="3">
        <f>(Lagrange[[#This Row],[disp_t6]]--0.0145666666666666)/-0.0145666666666666</f>
        <v>1.380915683945089E-2</v>
      </c>
      <c r="N102" s="3">
        <f>(Lagrange[[#This Row],[disp_q4]]--0.0145666666666666)/-0.0145666666666666</f>
        <v>-4.3235126806023094E-2</v>
      </c>
      <c r="O102" s="3">
        <f>(Lagrange[[#This Row],[disp_q8]]--0.0145666666666666)/-0.0145666666666666</f>
        <v>1.353608992150588E-2</v>
      </c>
    </row>
    <row r="103" spans="1:15" x14ac:dyDescent="0.3">
      <c r="A103">
        <v>5</v>
      </c>
      <c r="B103">
        <v>2</v>
      </c>
      <c r="C103">
        <f>Lagrange[[#This Row],[nxi]]*3</f>
        <v>6</v>
      </c>
      <c r="D103">
        <v>144</v>
      </c>
      <c r="E103">
        <v>-1.22326232982292E-2</v>
      </c>
      <c r="F103">
        <v>218</v>
      </c>
      <c r="G103">
        <v>-1.4591576756010799E-2</v>
      </c>
      <c r="H103">
        <v>144</v>
      </c>
      <c r="I103">
        <v>-1.3243252350039E-2</v>
      </c>
      <c r="J103">
        <v>218</v>
      </c>
      <c r="K103">
        <v>-1.4576497549403E-2</v>
      </c>
      <c r="L103" s="3">
        <f>(Lagrange[[#This Row],[disp_t3]]--0.0145666666666666)/-0.0145666666666666</f>
        <v>-0.16023181019021124</v>
      </c>
      <c r="M103" s="3">
        <f>(Lagrange[[#This Row],[disp_t6]]--0.0145666666666666)/-0.0145666666666666</f>
        <v>1.710074783354696E-3</v>
      </c>
      <c r="N103" s="3">
        <f>(Lagrange[[#This Row],[disp_q4]]--0.0145666666666666)/-0.0145666666666666</f>
        <v>-9.0852241416082752E-2</v>
      </c>
      <c r="O103" s="3">
        <f>(Lagrange[[#This Row],[disp_q8]]--0.0145666666666666)/-0.0145666666666666</f>
        <v>6.7488897503891875E-4</v>
      </c>
    </row>
    <row r="104" spans="1:15" x14ac:dyDescent="0.3">
      <c r="A104">
        <v>4</v>
      </c>
      <c r="B104">
        <v>40</v>
      </c>
      <c r="C104">
        <f>Lagrange[[#This Row],[nxi]]*3</f>
        <v>120</v>
      </c>
      <c r="D104">
        <v>1640</v>
      </c>
      <c r="E104">
        <v>-1.4732883968477601E-2</v>
      </c>
      <c r="F104">
        <v>2688</v>
      </c>
      <c r="G104">
        <v>-1.5841044800134201E-2</v>
      </c>
      <c r="H104">
        <v>1640</v>
      </c>
      <c r="I104">
        <v>-1.5148340185179601E-2</v>
      </c>
      <c r="J104">
        <v>2688</v>
      </c>
      <c r="K104">
        <v>-1.6194507675860701E-2</v>
      </c>
      <c r="L104" s="3">
        <f>(Lagrange[[#This Row],[disp_t3]]--0.0145666666666666)/-0.0145666666666666</f>
        <v>1.1410798751327373E-2</v>
      </c>
      <c r="M104" s="3">
        <f>(Lagrange[[#This Row],[disp_t6]]--0.0145666666666666)/-0.0145666666666666</f>
        <v>8.7485913052696138E-2</v>
      </c>
      <c r="N104" s="3">
        <f>(Lagrange[[#This Row],[disp_q4]]--0.0145666666666666)/-0.0145666666666666</f>
        <v>3.993182049288356E-2</v>
      </c>
      <c r="O104" s="3">
        <f>(Lagrange[[#This Row],[disp_q8]]--0.0145666666666666)/-0.0145666666666666</f>
        <v>0.11175109902934388</v>
      </c>
    </row>
    <row r="105" spans="1:15" x14ac:dyDescent="0.3">
      <c r="A105">
        <v>4</v>
      </c>
      <c r="B105">
        <v>34</v>
      </c>
      <c r="C105">
        <f>Lagrange[[#This Row],[nxi]]*3</f>
        <v>102</v>
      </c>
      <c r="D105">
        <v>1400</v>
      </c>
      <c r="E105">
        <v>-1.47273659237617E-2</v>
      </c>
      <c r="F105">
        <v>2292</v>
      </c>
      <c r="G105">
        <v>-1.5854201165848202E-2</v>
      </c>
      <c r="H105">
        <v>1400</v>
      </c>
      <c r="I105">
        <v>-1.5147649502048799E-2</v>
      </c>
      <c r="J105">
        <v>2292</v>
      </c>
      <c r="K105">
        <v>-1.6202615213696599E-2</v>
      </c>
      <c r="L105" s="3">
        <f>(Lagrange[[#This Row],[disp_t3]]--0.0145666666666666)/-0.0145666666666666</f>
        <v>1.1031985612936024E-2</v>
      </c>
      <c r="M105" s="3">
        <f>(Lagrange[[#This Row],[disp_t6]]--0.0145666666666666)/-0.0145666666666666</f>
        <v>8.8389096053657315E-2</v>
      </c>
      <c r="N105" s="3">
        <f>(Lagrange[[#This Row],[disp_q4]]--0.0145666666666666)/-0.0145666666666666</f>
        <v>3.9884405174979584E-2</v>
      </c>
      <c r="O105" s="3">
        <f>(Lagrange[[#This Row],[disp_q8]]--0.0145666666666666)/-0.0145666666666666</f>
        <v>0.11230768057414235</v>
      </c>
    </row>
    <row r="106" spans="1:15" x14ac:dyDescent="0.3">
      <c r="A106">
        <v>4</v>
      </c>
      <c r="B106">
        <v>29</v>
      </c>
      <c r="C106">
        <f>Lagrange[[#This Row],[nxi]]*3</f>
        <v>87</v>
      </c>
      <c r="D106">
        <v>1200</v>
      </c>
      <c r="E106">
        <v>-1.4711184518563999E-2</v>
      </c>
      <c r="F106">
        <v>1962</v>
      </c>
      <c r="G106">
        <v>-1.5852452856939502E-2</v>
      </c>
      <c r="H106">
        <v>1200</v>
      </c>
      <c r="I106">
        <v>-1.51367292068067E-2</v>
      </c>
      <c r="J106">
        <v>1962</v>
      </c>
      <c r="K106">
        <v>-1.61908805543464E-2</v>
      </c>
      <c r="L106" s="3">
        <f>(Lagrange[[#This Row],[disp_t3]]--0.0145666666666666)/-0.0145666666666666</f>
        <v>9.9211339975332335E-3</v>
      </c>
      <c r="M106" s="3">
        <f>(Lagrange[[#This Row],[disp_t6]]--0.0145666666666666)/-0.0145666666666666</f>
        <v>8.8269074847110399E-2</v>
      </c>
      <c r="N106" s="3">
        <f>(Lagrange[[#This Row],[disp_q4]]--0.0145666666666666)/-0.0145666666666666</f>
        <v>3.913472815607117E-2</v>
      </c>
      <c r="O106" s="3">
        <f>(Lagrange[[#This Row],[disp_q8]]--0.0145666666666666)/-0.0145666666666666</f>
        <v>0.11150209755238957</v>
      </c>
    </row>
    <row r="107" spans="1:15" x14ac:dyDescent="0.3">
      <c r="A107">
        <v>4</v>
      </c>
      <c r="B107">
        <v>24</v>
      </c>
      <c r="C107">
        <f>Lagrange[[#This Row],[nxi]]*3</f>
        <v>72</v>
      </c>
      <c r="D107">
        <v>1000</v>
      </c>
      <c r="E107">
        <v>-1.4677310022738199E-2</v>
      </c>
      <c r="F107">
        <v>1632</v>
      </c>
      <c r="G107">
        <v>-1.5828170223047899E-2</v>
      </c>
      <c r="H107">
        <v>1000</v>
      </c>
      <c r="I107">
        <v>-1.5109764218630001E-2</v>
      </c>
      <c r="J107">
        <v>1632</v>
      </c>
      <c r="K107">
        <v>-1.61474490873833E-2</v>
      </c>
      <c r="L107" s="3">
        <f>(Lagrange[[#This Row],[disp_t3]]--0.0145666666666666)/-0.0145666666666666</f>
        <v>7.5956537348924724E-3</v>
      </c>
      <c r="M107" s="3">
        <f>(Lagrange[[#This Row],[disp_t6]]--0.0145666666666666)/-0.0145666666666666</f>
        <v>8.6602074808785248E-2</v>
      </c>
      <c r="N107" s="3">
        <f>(Lagrange[[#This Row],[disp_q4]]--0.0145666666666666)/-0.0145666666666666</f>
        <v>3.728358480297967E-2</v>
      </c>
      <c r="O107" s="3">
        <f>(Lagrange[[#This Row],[disp_q8]]--0.0145666666666666)/-0.0145666666666666</f>
        <v>0.10852053231464813</v>
      </c>
    </row>
    <row r="108" spans="1:15" x14ac:dyDescent="0.3">
      <c r="A108">
        <v>4</v>
      </c>
      <c r="B108">
        <v>21</v>
      </c>
      <c r="C108">
        <f>Lagrange[[#This Row],[nxi]]*3</f>
        <v>63</v>
      </c>
      <c r="D108">
        <v>880</v>
      </c>
      <c r="E108">
        <v>-1.46443540477285E-2</v>
      </c>
      <c r="F108">
        <v>1434</v>
      </c>
      <c r="G108">
        <v>-1.5796195918433901E-2</v>
      </c>
      <c r="H108">
        <v>880</v>
      </c>
      <c r="I108">
        <v>-1.5082283426829201E-2</v>
      </c>
      <c r="J108">
        <v>1434</v>
      </c>
      <c r="K108">
        <v>-1.6097270603263901E-2</v>
      </c>
      <c r="L108" s="3">
        <f>(Lagrange[[#This Row],[disp_t3]]--0.0145666666666666)/-0.0145666666666666</f>
        <v>5.3332298211831372E-3</v>
      </c>
      <c r="M108" s="3">
        <f>(Lagrange[[#This Row],[disp_t6]]--0.0145666666666666)/-0.0145666666666666</f>
        <v>8.4407042455421549E-2</v>
      </c>
      <c r="N108" s="3">
        <f>(Lagrange[[#This Row],[disp_q4]]--0.0145666666666666)/-0.0145666666666666</f>
        <v>3.5397031590110088E-2</v>
      </c>
      <c r="O108" s="3">
        <f>(Lagrange[[#This Row],[disp_q8]]--0.0145666666666666)/-0.0145666666666666</f>
        <v>0.10507578512109671</v>
      </c>
    </row>
    <row r="109" spans="1:15" x14ac:dyDescent="0.3">
      <c r="A109">
        <v>4</v>
      </c>
      <c r="B109">
        <v>18</v>
      </c>
      <c r="C109">
        <f>Lagrange[[#This Row],[nxi]]*3</f>
        <v>54</v>
      </c>
      <c r="D109">
        <v>760</v>
      </c>
      <c r="E109">
        <v>-1.4598176302089899E-2</v>
      </c>
      <c r="F109">
        <v>1236</v>
      </c>
      <c r="G109">
        <v>-1.57456013459643E-2</v>
      </c>
      <c r="H109">
        <v>760</v>
      </c>
      <c r="I109">
        <v>-1.50435238649983E-2</v>
      </c>
      <c r="J109">
        <v>1236</v>
      </c>
      <c r="K109">
        <v>-1.6021364942969799E-2</v>
      </c>
      <c r="L109" s="3">
        <f>(Lagrange[[#This Row],[disp_t3]]--0.0145666666666666)/-0.0145666666666666</f>
        <v>2.1631328665880963E-3</v>
      </c>
      <c r="M109" s="3">
        <f>(Lagrange[[#This Row],[disp_t6]]--0.0145666666666666)/-0.0145666666666666</f>
        <v>8.0933730844236135E-2</v>
      </c>
      <c r="N109" s="3">
        <f>(Lagrange[[#This Row],[disp_q4]]--0.0145666666666666)/-0.0145666666666666</f>
        <v>3.2736192105151225E-2</v>
      </c>
      <c r="O109" s="3">
        <f>(Lagrange[[#This Row],[disp_q8]]--0.0145666666666666)/-0.0145666666666666</f>
        <v>9.9864870226764754E-2</v>
      </c>
    </row>
    <row r="110" spans="1:15" x14ac:dyDescent="0.3">
      <c r="A110">
        <v>4</v>
      </c>
      <c r="B110">
        <v>15</v>
      </c>
      <c r="C110">
        <f>Lagrange[[#This Row],[nxi]]*3</f>
        <v>45</v>
      </c>
      <c r="D110">
        <v>640</v>
      </c>
      <c r="E110">
        <v>-1.4533954812813299E-2</v>
      </c>
      <c r="F110">
        <v>1038</v>
      </c>
      <c r="G110">
        <v>-1.5670998847797601E-2</v>
      </c>
      <c r="H110">
        <v>640</v>
      </c>
      <c r="I110">
        <v>-1.4990718755582499E-2</v>
      </c>
      <c r="J110">
        <v>1038</v>
      </c>
      <c r="K110">
        <v>-1.5911977343666801E-2</v>
      </c>
      <c r="L110" s="3">
        <f>(Lagrange[[#This Row],[disp_t3]]--0.0145666666666666)/-0.0145666666666666</f>
        <v>-2.2456650242540198E-3</v>
      </c>
      <c r="M110" s="3">
        <f>(Lagrange[[#This Row],[disp_t6]]--0.0145666666666666)/-0.0145666666666666</f>
        <v>7.581227788084717E-2</v>
      </c>
      <c r="N110" s="3">
        <f>(Lagrange[[#This Row],[disp_q4]]--0.0145666666666666)/-0.0145666666666666</f>
        <v>2.9111127385531035E-2</v>
      </c>
      <c r="O110" s="3">
        <f>(Lagrange[[#This Row],[disp_q8]]--0.0145666666666666)/-0.0145666666666666</f>
        <v>9.2355424050357501E-2</v>
      </c>
    </row>
    <row r="111" spans="1:15" x14ac:dyDescent="0.3">
      <c r="A111">
        <v>4</v>
      </c>
      <c r="B111">
        <v>13</v>
      </c>
      <c r="C111">
        <f>Lagrange[[#This Row],[nxi]]*3</f>
        <v>39</v>
      </c>
      <c r="D111">
        <v>560</v>
      </c>
      <c r="E111">
        <v>-1.44768228090902E-2</v>
      </c>
      <c r="F111">
        <v>906</v>
      </c>
      <c r="G111">
        <v>-1.5604985208758901E-2</v>
      </c>
      <c r="H111">
        <v>560</v>
      </c>
      <c r="I111">
        <v>-1.4945709068509E-2</v>
      </c>
      <c r="J111">
        <v>906</v>
      </c>
      <c r="K111">
        <v>-1.58159460036046E-2</v>
      </c>
      <c r="L111" s="3">
        <f>(Lagrange[[#This Row],[disp_t3]]--0.0145666666666666)/-0.0145666666666666</f>
        <v>-6.1677705430022954E-3</v>
      </c>
      <c r="M111" s="3">
        <f>(Lagrange[[#This Row],[disp_t6]]--0.0145666666666666)/-0.0145666666666666</f>
        <v>7.1280449113888297E-2</v>
      </c>
      <c r="N111" s="3">
        <f>(Lagrange[[#This Row],[disp_q4]]--0.0145666666666666)/-0.0145666666666666</f>
        <v>2.6021217517785081E-2</v>
      </c>
      <c r="O111" s="3">
        <f>(Lagrange[[#This Row],[disp_q8]]--0.0145666666666666)/-0.0145666666666666</f>
        <v>8.5762883542654905E-2</v>
      </c>
    </row>
    <row r="112" spans="1:15" x14ac:dyDescent="0.3">
      <c r="A112">
        <v>4</v>
      </c>
      <c r="B112">
        <v>11</v>
      </c>
      <c r="C112">
        <f>Lagrange[[#This Row],[nxi]]*3</f>
        <v>33</v>
      </c>
      <c r="D112">
        <v>480</v>
      </c>
      <c r="E112">
        <v>-1.44017830330641E-2</v>
      </c>
      <c r="F112">
        <v>774</v>
      </c>
      <c r="G112">
        <v>-1.55234296531789E-2</v>
      </c>
      <c r="H112">
        <v>480</v>
      </c>
      <c r="I112">
        <v>-1.4889888839236899E-2</v>
      </c>
      <c r="J112">
        <v>774</v>
      </c>
      <c r="K112">
        <v>-1.5697610576493898E-2</v>
      </c>
      <c r="L112" s="3">
        <f>(Lagrange[[#This Row],[disp_t3]]--0.0145666666666666)/-0.0145666666666666</f>
        <v>-1.1319242581407353E-2</v>
      </c>
      <c r="M112" s="3">
        <f>(Lagrange[[#This Row],[disp_t6]]--0.0145666666666666)/-0.0145666666666666</f>
        <v>6.5681669554620473E-2</v>
      </c>
      <c r="N112" s="3">
        <f>(Lagrange[[#This Row],[disp_q4]]--0.0145666666666666)/-0.0145666666666666</f>
        <v>2.2189165165009243E-2</v>
      </c>
      <c r="O112" s="3">
        <f>(Lagrange[[#This Row],[disp_q8]]--0.0145666666666666)/-0.0145666666666666</f>
        <v>7.7639170011027756E-2</v>
      </c>
    </row>
    <row r="113" spans="1:15" x14ac:dyDescent="0.3">
      <c r="A113">
        <v>4</v>
      </c>
      <c r="B113">
        <v>9</v>
      </c>
      <c r="C113">
        <f>Lagrange[[#This Row],[nxi]]*3</f>
        <v>27</v>
      </c>
      <c r="D113">
        <v>400</v>
      </c>
      <c r="E113">
        <v>-1.42956662851385E-2</v>
      </c>
      <c r="F113">
        <v>642</v>
      </c>
      <c r="G113">
        <v>-1.54228047858857E-2</v>
      </c>
      <c r="H113">
        <v>400</v>
      </c>
      <c r="I113">
        <v>-1.48165496579678E-2</v>
      </c>
      <c r="J113">
        <v>642</v>
      </c>
      <c r="K113">
        <v>-1.5552712716955E-2</v>
      </c>
      <c r="L113" s="3">
        <f>(Lagrange[[#This Row],[disp_t3]]--0.0145666666666666)/-0.0145666666666666</f>
        <v>-1.8604145184995473E-2</v>
      </c>
      <c r="M113" s="3">
        <f>(Lagrange[[#This Row],[disp_t6]]--0.0145666666666666)/-0.0145666666666666</f>
        <v>5.8773783928085008E-2</v>
      </c>
      <c r="N113" s="3">
        <f>(Lagrange[[#This Row],[disp_q4]]--0.0145666666666666)/-0.0145666666666666</f>
        <v>1.7154438762096238E-2</v>
      </c>
      <c r="O113" s="3">
        <f>(Lagrange[[#This Row],[disp_q8]]--0.0145666666666666)/-0.0145666666666666</f>
        <v>6.7691948532384819E-2</v>
      </c>
    </row>
    <row r="114" spans="1:15" x14ac:dyDescent="0.3">
      <c r="A114">
        <v>4</v>
      </c>
      <c r="B114">
        <v>8</v>
      </c>
      <c r="C114">
        <f>Lagrange[[#This Row],[nxi]]*3</f>
        <v>24</v>
      </c>
      <c r="D114">
        <v>360</v>
      </c>
      <c r="E114">
        <v>-1.42221468407708E-2</v>
      </c>
      <c r="F114">
        <v>576</v>
      </c>
      <c r="G114">
        <v>-1.5363306356074E-2</v>
      </c>
      <c r="H114">
        <v>360</v>
      </c>
      <c r="I114">
        <v>-1.4768400743554301E-2</v>
      </c>
      <c r="J114">
        <v>576</v>
      </c>
      <c r="K114">
        <v>-1.54685101235859E-2</v>
      </c>
      <c r="L114" s="3">
        <f>(Lagrange[[#This Row],[disp_t3]]--0.0145666666666666)/-0.0145666666666666</f>
        <v>-2.3651246629002354E-2</v>
      </c>
      <c r="M114" s="3">
        <f>(Lagrange[[#This Row],[disp_t6]]--0.0145666666666666)/-0.0145666666666666</f>
        <v>5.468922352911245E-2</v>
      </c>
      <c r="N114" s="3">
        <f>(Lagrange[[#This Row],[disp_q4]]--0.0145666666666666)/-0.0145666666666666</f>
        <v>1.38490212966386E-2</v>
      </c>
      <c r="O114" s="3">
        <f>(Lagrange[[#This Row],[disp_q8]]--0.0145666666666666)/-0.0145666666666666</f>
        <v>6.191145013176004E-2</v>
      </c>
    </row>
    <row r="115" spans="1:15" x14ac:dyDescent="0.3">
      <c r="A115">
        <v>4</v>
      </c>
      <c r="B115">
        <v>7</v>
      </c>
      <c r="C115">
        <f>Lagrange[[#This Row],[nxi]]*3</f>
        <v>21</v>
      </c>
      <c r="D115">
        <v>320</v>
      </c>
      <c r="E115">
        <v>-1.41254504672593E-2</v>
      </c>
      <c r="F115">
        <v>510</v>
      </c>
      <c r="G115">
        <v>-1.5295660416333399E-2</v>
      </c>
      <c r="H115">
        <v>320</v>
      </c>
      <c r="I115">
        <v>-1.4706881003249199E-2</v>
      </c>
      <c r="J115">
        <v>510</v>
      </c>
      <c r="K115">
        <v>-1.53750820081302E-2</v>
      </c>
      <c r="L115" s="3">
        <f>(Lagrange[[#This Row],[disp_t3]]--0.0145666666666666)/-0.0145666666666666</f>
        <v>-3.0289441606908551E-2</v>
      </c>
      <c r="M115" s="3">
        <f>(Lagrange[[#This Row],[disp_t6]]--0.0145666666666666)/-0.0145666666666666</f>
        <v>5.0045337505730196E-2</v>
      </c>
      <c r="N115" s="3">
        <f>(Lagrange[[#This Row],[disp_q4]]--0.0145666666666666)/-0.0145666666666666</f>
        <v>9.6256981635652588E-3</v>
      </c>
      <c r="O115" s="3">
        <f>(Lagrange[[#This Row],[disp_q8]]--0.0145666666666666)/-0.0145666666666666</f>
        <v>5.5497620695441924E-2</v>
      </c>
    </row>
    <row r="116" spans="1:15" x14ac:dyDescent="0.3">
      <c r="A116">
        <v>4</v>
      </c>
      <c r="B116">
        <v>6</v>
      </c>
      <c r="C116">
        <f>Lagrange[[#This Row],[nxi]]*3</f>
        <v>18</v>
      </c>
      <c r="D116">
        <v>280</v>
      </c>
      <c r="E116">
        <v>-1.39918632956349E-2</v>
      </c>
      <c r="F116">
        <v>444</v>
      </c>
      <c r="G116">
        <v>-1.5217169658847901E-2</v>
      </c>
      <c r="H116">
        <v>280</v>
      </c>
      <c r="I116">
        <v>-1.46231793066914E-2</v>
      </c>
      <c r="J116">
        <v>444</v>
      </c>
      <c r="K116">
        <v>-1.52706890642402E-2</v>
      </c>
      <c r="L116" s="3">
        <f>(Lagrange[[#This Row],[disp_t3]]--0.0145666666666666)/-0.0145666666666666</f>
        <v>-3.9460185654350222E-2</v>
      </c>
      <c r="M116" s="3">
        <f>(Lagrange[[#This Row],[disp_t6]]--0.0145666666666666)/-0.0145666666666666</f>
        <v>4.465695598498657E-2</v>
      </c>
      <c r="N116" s="3">
        <f>(Lagrange[[#This Row],[disp_q4]]--0.0145666666666666)/-0.0145666666666666</f>
        <v>3.8795862717254459E-3</v>
      </c>
      <c r="O116" s="3">
        <f>(Lagrange[[#This Row],[disp_q8]]--0.0145666666666666)/-0.0145666666666666</f>
        <v>4.8331057041666202E-2</v>
      </c>
    </row>
    <row r="117" spans="1:15" x14ac:dyDescent="0.3">
      <c r="A117">
        <v>4</v>
      </c>
      <c r="B117">
        <v>5</v>
      </c>
      <c r="C117">
        <f>Lagrange[[#This Row],[nxi]]*3</f>
        <v>15</v>
      </c>
      <c r="D117">
        <v>240</v>
      </c>
      <c r="E117">
        <v>-1.37967861909008E-2</v>
      </c>
      <c r="F117">
        <v>378</v>
      </c>
      <c r="G117">
        <v>-1.51232965445564E-2</v>
      </c>
      <c r="H117">
        <v>240</v>
      </c>
      <c r="I117">
        <v>-1.45001513709261E-2</v>
      </c>
      <c r="J117">
        <v>378</v>
      </c>
      <c r="K117">
        <v>-1.5153067817508199E-2</v>
      </c>
      <c r="L117" s="3">
        <f>(Lagrange[[#This Row],[disp_t3]]--0.0145666666666666)/-0.0145666666666666</f>
        <v>-5.2852206574311375E-2</v>
      </c>
      <c r="M117" s="3">
        <f>(Lagrange[[#This Row],[disp_t6]]--0.0145666666666666)/-0.0145666666666666</f>
        <v>3.8212577429505915E-2</v>
      </c>
      <c r="N117" s="3">
        <f>(Lagrange[[#This Row],[disp_q4]]--0.0145666666666666)/-0.0145666666666666</f>
        <v>-4.5662674421395703E-3</v>
      </c>
      <c r="O117" s="3">
        <f>(Lagrange[[#This Row],[disp_q8]]--0.0145666666666666)/-0.0145666666666666</f>
        <v>4.0256371911322836E-2</v>
      </c>
    </row>
    <row r="118" spans="1:15" x14ac:dyDescent="0.3">
      <c r="A118">
        <v>4</v>
      </c>
      <c r="B118">
        <v>4</v>
      </c>
      <c r="C118">
        <f>Lagrange[[#This Row],[nxi]]*3</f>
        <v>12</v>
      </c>
      <c r="D118">
        <v>200</v>
      </c>
      <c r="E118">
        <v>-1.34946832500503E-2</v>
      </c>
      <c r="F118">
        <v>312</v>
      </c>
      <c r="G118">
        <v>-1.50059645499064E-2</v>
      </c>
      <c r="H118">
        <v>200</v>
      </c>
      <c r="I118">
        <v>-1.4301788897648699E-2</v>
      </c>
      <c r="J118">
        <v>312</v>
      </c>
      <c r="K118">
        <v>-1.50130510121374E-2</v>
      </c>
      <c r="L118" s="3">
        <f>(Lagrange[[#This Row],[disp_t3]]--0.0145666666666666)/-0.0145666666666666</f>
        <v>-7.3591538898144446E-2</v>
      </c>
      <c r="M118" s="3">
        <f>(Lagrange[[#This Row],[disp_t6]]--0.0145666666666666)/-0.0145666666666666</f>
        <v>3.0157749421496755E-2</v>
      </c>
      <c r="N118" s="3">
        <f>(Lagrange[[#This Row],[disp_q4]]--0.0145666666666666)/-0.0145666666666666</f>
        <v>-1.8183828536698015E-2</v>
      </c>
      <c r="O118" s="3">
        <f>(Lagrange[[#This Row],[disp_q8]]--0.0145666666666666)/-0.0145666666666666</f>
        <v>3.0644234242846864E-2</v>
      </c>
    </row>
    <row r="119" spans="1:15" x14ac:dyDescent="0.3">
      <c r="A119">
        <v>4</v>
      </c>
      <c r="B119">
        <v>3</v>
      </c>
      <c r="C119">
        <f>Lagrange[[#This Row],[nxi]]*3</f>
        <v>9</v>
      </c>
      <c r="D119">
        <v>160</v>
      </c>
      <c r="E119">
        <v>-1.30025386934381E-2</v>
      </c>
      <c r="F119">
        <v>246</v>
      </c>
      <c r="G119">
        <v>-1.4850389925669699E-2</v>
      </c>
      <c r="H119">
        <v>160</v>
      </c>
      <c r="I119">
        <v>-1.39457695823461E-2</v>
      </c>
      <c r="J119">
        <v>246</v>
      </c>
      <c r="K119">
        <v>-1.48522461826372E-2</v>
      </c>
      <c r="L119" s="3">
        <f>(Lagrange[[#This Row],[disp_t3]]--0.0145666666666666)/-0.0145666666666666</f>
        <v>-0.10737720640012634</v>
      </c>
      <c r="M119" s="3">
        <f>(Lagrange[[#This Row],[disp_t6]]--0.0145666666666666)/-0.0145666666666666</f>
        <v>1.9477569267947446E-2</v>
      </c>
      <c r="N119" s="3">
        <f>(Lagrange[[#This Row],[disp_q4]]--0.0145666666666666)/-0.0145666666666666</f>
        <v>-4.2624513797746122E-2</v>
      </c>
      <c r="O119" s="3">
        <f>(Lagrange[[#This Row],[disp_q8]]--0.0145666666666666)/-0.0145666666666666</f>
        <v>1.9605001096379998E-2</v>
      </c>
    </row>
    <row r="120" spans="1:15" x14ac:dyDescent="0.3">
      <c r="A120">
        <v>4</v>
      </c>
      <c r="B120">
        <v>2</v>
      </c>
      <c r="C120">
        <f>Lagrange[[#This Row],[nxi]]*3</f>
        <v>6</v>
      </c>
      <c r="D120">
        <v>120</v>
      </c>
      <c r="E120">
        <v>-1.2212253456706099E-2</v>
      </c>
      <c r="F120">
        <v>180</v>
      </c>
      <c r="G120">
        <v>-1.4646406401583699E-2</v>
      </c>
      <c r="H120">
        <v>120</v>
      </c>
      <c r="I120">
        <v>-1.32469214710899E-2</v>
      </c>
      <c r="J120">
        <v>180</v>
      </c>
      <c r="K120">
        <v>-1.4624754812990901E-2</v>
      </c>
      <c r="L120" s="3">
        <f>(Lagrange[[#This Row],[disp_t3]]--0.0145666666666666)/-0.0145666666666666</f>
        <v>-0.16163019748012661</v>
      </c>
      <c r="M120" s="3">
        <f>(Lagrange[[#This Row],[disp_t6]]--0.0145666666666666)/-0.0145666666666666</f>
        <v>5.4741236785194724E-3</v>
      </c>
      <c r="N120" s="3">
        <f>(Lagrange[[#This Row],[disp_q4]]--0.0145666666666666)/-0.0145666666666666</f>
        <v>-9.0600356675746382E-2</v>
      </c>
      <c r="O120" s="3">
        <f>(Lagrange[[#This Row],[disp_q8]]--0.0145666666666666)/-0.0145666666666666</f>
        <v>3.987744598922296E-3</v>
      </c>
    </row>
    <row r="121" spans="1:15" x14ac:dyDescent="0.3">
      <c r="A121">
        <v>3</v>
      </c>
      <c r="B121">
        <v>40</v>
      </c>
      <c r="C121">
        <f>Lagrange[[#This Row],[nxi]]*3</f>
        <v>120</v>
      </c>
      <c r="D121">
        <v>1312</v>
      </c>
      <c r="E121">
        <v>-1.46264246921088E-2</v>
      </c>
      <c r="F121">
        <v>2118</v>
      </c>
      <c r="G121">
        <v>-1.61689607666885E-2</v>
      </c>
      <c r="H121">
        <v>1312</v>
      </c>
      <c r="I121">
        <v>-1.5299540578603501E-2</v>
      </c>
      <c r="J121">
        <v>2118</v>
      </c>
      <c r="K121">
        <v>-1.6574407774463101E-2</v>
      </c>
      <c r="L121" s="3">
        <f>(Lagrange[[#This Row],[disp_t3]]--0.0145666666666666)/-0.0145666666666666</f>
        <v>4.1023816093043982E-3</v>
      </c>
      <c r="M121" s="3">
        <f>(Lagrange[[#This Row],[disp_t6]]--0.0145666666666666)/-0.0145666666666666</f>
        <v>0.10999730663765962</v>
      </c>
      <c r="N121" s="3">
        <f>(Lagrange[[#This Row],[disp_q4]]--0.0145666666666666)/-0.0145666666666666</f>
        <v>5.0311710201618162E-2</v>
      </c>
      <c r="O121" s="3">
        <f>(Lagrange[[#This Row],[disp_q8]]--0.0145666666666666)/-0.0145666666666666</f>
        <v>0.13783119733156823</v>
      </c>
    </row>
    <row r="122" spans="1:15" x14ac:dyDescent="0.3">
      <c r="A122">
        <v>3</v>
      </c>
      <c r="B122">
        <v>34</v>
      </c>
      <c r="C122">
        <f>Lagrange[[#This Row],[nxi]]*3</f>
        <v>102</v>
      </c>
      <c r="D122">
        <v>1120</v>
      </c>
      <c r="E122">
        <v>-1.46436986124392E-2</v>
      </c>
      <c r="F122">
        <v>1806</v>
      </c>
      <c r="G122">
        <v>-1.6223335619872801E-2</v>
      </c>
      <c r="H122">
        <v>1120</v>
      </c>
      <c r="I122">
        <v>-1.532191745828E-2</v>
      </c>
      <c r="J122">
        <v>1806</v>
      </c>
      <c r="K122">
        <v>-1.6636565315908399E-2</v>
      </c>
      <c r="L122" s="3">
        <f>(Lagrange[[#This Row],[disp_t3]]--0.0145666666666666)/-0.0145666666666666</f>
        <v>5.2882342635652991E-3</v>
      </c>
      <c r="M122" s="3">
        <f>(Lagrange[[#This Row],[disp_t6]]--0.0145666666666666)/-0.0145666666666666</f>
        <v>0.11373013408738278</v>
      </c>
      <c r="N122" s="3">
        <f>(Lagrange[[#This Row],[disp_q4]]--0.0145666666666666)/-0.0145666666666666</f>
        <v>5.1847880431126134E-2</v>
      </c>
      <c r="O122" s="3">
        <f>(Lagrange[[#This Row],[disp_q8]]--0.0145666666666666)/-0.0145666666666666</f>
        <v>0.14209830543994115</v>
      </c>
    </row>
    <row r="123" spans="1:15" x14ac:dyDescent="0.3">
      <c r="A123">
        <v>3</v>
      </c>
      <c r="B123">
        <v>29</v>
      </c>
      <c r="C123">
        <f>Lagrange[[#This Row],[nxi]]*3</f>
        <v>87</v>
      </c>
      <c r="D123">
        <v>960</v>
      </c>
      <c r="E123">
        <v>-1.46482821059089E-2</v>
      </c>
      <c r="F123">
        <v>1546</v>
      </c>
      <c r="G123">
        <v>-1.6263592249645801E-2</v>
      </c>
      <c r="H123">
        <v>960</v>
      </c>
      <c r="I123">
        <v>-1.53323925102157E-2</v>
      </c>
      <c r="J123">
        <v>1546</v>
      </c>
      <c r="K123">
        <v>-1.6680993724374201E-2</v>
      </c>
      <c r="L123" s="3">
        <f>(Lagrange[[#This Row],[disp_t3]]--0.0145666666666666)/-0.0145666666666666</f>
        <v>5.6028905658330247E-3</v>
      </c>
      <c r="M123" s="3">
        <f>(Lagrange[[#This Row],[disp_t6]]--0.0145666666666666)/-0.0145666666666666</f>
        <v>0.11649374711527753</v>
      </c>
      <c r="N123" s="3">
        <f>(Lagrange[[#This Row],[disp_q4]]--0.0145666666666666)/-0.0145666666666666</f>
        <v>5.2566991547993408E-2</v>
      </c>
      <c r="O123" s="3">
        <f>(Lagrange[[#This Row],[disp_q8]]--0.0145666666666666)/-0.0145666666666666</f>
        <v>0.14514831059777653</v>
      </c>
    </row>
    <row r="124" spans="1:15" x14ac:dyDescent="0.3">
      <c r="A124">
        <v>3</v>
      </c>
      <c r="B124">
        <v>24</v>
      </c>
      <c r="C124">
        <f>Lagrange[[#This Row],[nxi]]*3</f>
        <v>72</v>
      </c>
      <c r="D124">
        <v>800</v>
      </c>
      <c r="E124">
        <v>-1.4633110276102E-2</v>
      </c>
      <c r="F124">
        <v>1286</v>
      </c>
      <c r="G124">
        <v>-1.6285044201442399E-2</v>
      </c>
      <c r="H124">
        <v>800</v>
      </c>
      <c r="I124">
        <v>-1.53251725638979E-2</v>
      </c>
      <c r="J124">
        <v>1286</v>
      </c>
      <c r="K124">
        <v>-1.67002577409473E-2</v>
      </c>
      <c r="L124" s="3">
        <f>(Lagrange[[#This Row],[disp_t3]]--0.0145666666666666)/-0.0145666666666666</f>
        <v>4.5613461854966441E-3</v>
      </c>
      <c r="M124" s="3">
        <f>(Lagrange[[#This Row],[disp_t6]]--0.0145666666666666)/-0.0145666666666666</f>
        <v>0.1179664211516573</v>
      </c>
      <c r="N124" s="3">
        <f>(Lagrange[[#This Row],[disp_q4]]--0.0145666666666666)/-0.0145666666666666</f>
        <v>5.2071343059357289E-2</v>
      </c>
      <c r="O124" s="3">
        <f>(Lagrange[[#This Row],[disp_q8]]--0.0145666666666666)/-0.0145666666666666</f>
        <v>0.14647078313139886</v>
      </c>
    </row>
    <row r="125" spans="1:15" x14ac:dyDescent="0.3">
      <c r="A125">
        <v>3</v>
      </c>
      <c r="B125">
        <v>21</v>
      </c>
      <c r="C125">
        <f>Lagrange[[#This Row],[nxi]]*3</f>
        <v>63</v>
      </c>
      <c r="D125">
        <v>704</v>
      </c>
      <c r="E125">
        <v>-1.4607035010887099E-2</v>
      </c>
      <c r="F125">
        <v>1130</v>
      </c>
      <c r="G125">
        <v>-1.6277770744288701E-2</v>
      </c>
      <c r="H125">
        <v>704</v>
      </c>
      <c r="I125">
        <v>-1.53051933472365E-2</v>
      </c>
      <c r="J125">
        <v>1130</v>
      </c>
      <c r="K125">
        <v>-1.6685363062454502E-2</v>
      </c>
      <c r="L125" s="3">
        <f>(Lagrange[[#This Row],[disp_t3]]--0.0145666666666666)/-0.0145666666666666</f>
        <v>2.7712822119336528E-3</v>
      </c>
      <c r="M125" s="3">
        <f>(Lagrange[[#This Row],[disp_t6]]--0.0145666666666666)/-0.0145666666666666</f>
        <v>0.11746709915025921</v>
      </c>
      <c r="N125" s="3">
        <f>(Lagrange[[#This Row],[disp_q4]]--0.0145666666666666)/-0.0145666666666666</f>
        <v>5.0699772121503707E-2</v>
      </c>
      <c r="O125" s="3">
        <f>(Lagrange[[#This Row],[disp_q8]]--0.0145666666666666)/-0.0145666666666666</f>
        <v>0.14544826515706491</v>
      </c>
    </row>
    <row r="126" spans="1:15" x14ac:dyDescent="0.3">
      <c r="A126">
        <v>3</v>
      </c>
      <c r="B126">
        <v>18</v>
      </c>
      <c r="C126">
        <f>Lagrange[[#This Row],[nxi]]*3</f>
        <v>54</v>
      </c>
      <c r="D126">
        <v>608</v>
      </c>
      <c r="E126">
        <v>-1.4560792798715199E-2</v>
      </c>
      <c r="F126">
        <v>974</v>
      </c>
      <c r="G126">
        <v>-1.6243523385732799E-2</v>
      </c>
      <c r="H126">
        <v>608</v>
      </c>
      <c r="I126">
        <v>-1.52664834169848E-2</v>
      </c>
      <c r="J126">
        <v>974</v>
      </c>
      <c r="K126">
        <v>-1.6635445906745899E-2</v>
      </c>
      <c r="L126" s="3">
        <f>(Lagrange[[#This Row],[disp_t3]]--0.0145666666666666)/-0.0145666666666666</f>
        <v>-4.03240362796339E-4</v>
      </c>
      <c r="M126" s="3">
        <f>(Lagrange[[#This Row],[disp_t6]]--0.0145666666666666)/-0.0145666666666666</f>
        <v>0.11511602190385864</v>
      </c>
      <c r="N126" s="3">
        <f>(Lagrange[[#This Row],[disp_q4]]--0.0145666666666666)/-0.0145666666666666</f>
        <v>4.8042339838778293E-2</v>
      </c>
      <c r="O126" s="3">
        <f>(Lagrange[[#This Row],[disp_q8]]--0.0145666666666666)/-0.0145666666666666</f>
        <v>0.14202145812901437</v>
      </c>
    </row>
    <row r="127" spans="1:15" x14ac:dyDescent="0.3">
      <c r="A127">
        <v>3</v>
      </c>
      <c r="B127">
        <v>15</v>
      </c>
      <c r="C127">
        <f>Lagrange[[#This Row],[nxi]]*3</f>
        <v>45</v>
      </c>
      <c r="D127">
        <v>512</v>
      </c>
      <c r="E127">
        <v>-1.4485572295083101E-2</v>
      </c>
      <c r="F127">
        <v>818</v>
      </c>
      <c r="G127">
        <v>-1.6168229416921399E-2</v>
      </c>
      <c r="H127">
        <v>512</v>
      </c>
      <c r="I127">
        <v>-1.52012283610831E-2</v>
      </c>
      <c r="J127">
        <v>818</v>
      </c>
      <c r="K127">
        <v>-1.6532796798731899E-2</v>
      </c>
      <c r="L127" s="3">
        <f>(Lagrange[[#This Row],[disp_t3]]--0.0145666666666666)/-0.0145666666666666</f>
        <v>-5.5671193306749906E-3</v>
      </c>
      <c r="M127" s="3">
        <f>(Lagrange[[#This Row],[disp_t6]]--0.0145666666666666)/-0.0145666666666666</f>
        <v>0.10994709955982659</v>
      </c>
      <c r="N127" s="3">
        <f>(Lagrange[[#This Row],[disp_q4]]--0.0145666666666666)/-0.0145666666666666</f>
        <v>4.35625877173801E-2</v>
      </c>
      <c r="O127" s="3">
        <f>(Lagrange[[#This Row],[disp_q8]]--0.0145666666666666)/-0.0145666666666666</f>
        <v>0.13497460860860244</v>
      </c>
    </row>
    <row r="128" spans="1:15" x14ac:dyDescent="0.3">
      <c r="A128">
        <v>3</v>
      </c>
      <c r="B128">
        <v>13</v>
      </c>
      <c r="C128">
        <f>Lagrange[[#This Row],[nxi]]*3</f>
        <v>39</v>
      </c>
      <c r="D128">
        <v>448</v>
      </c>
      <c r="E128">
        <v>-1.44133142578584E-2</v>
      </c>
      <c r="F128">
        <v>714</v>
      </c>
      <c r="G128">
        <v>-1.6086716836142601E-2</v>
      </c>
      <c r="H128">
        <v>448</v>
      </c>
      <c r="I128">
        <v>-1.5138228576271199E-2</v>
      </c>
      <c r="J128">
        <v>714</v>
      </c>
      <c r="K128">
        <v>-1.64244787787244E-2</v>
      </c>
      <c r="L128" s="3">
        <f>(Lagrange[[#This Row],[disp_t3]]--0.0145666666666666)/-0.0145666666666666</f>
        <v>-1.0527625318640767E-2</v>
      </c>
      <c r="M128" s="3">
        <f>(Lagrange[[#This Row],[disp_t6]]--0.0145666666666666)/-0.0145666666666666</f>
        <v>0.10435127021574427</v>
      </c>
      <c r="N128" s="3">
        <f>(Lagrange[[#This Row],[disp_q4]]--0.0145666666666666)/-0.0145666666666666</f>
        <v>3.9237659698256468E-2</v>
      </c>
      <c r="O128" s="3">
        <f>(Lagrange[[#This Row],[disp_q8]]--0.0145666666666666)/-0.0145666666666666</f>
        <v>0.12753858892845374</v>
      </c>
    </row>
    <row r="129" spans="1:15" x14ac:dyDescent="0.3">
      <c r="A129">
        <v>3</v>
      </c>
      <c r="B129">
        <v>11</v>
      </c>
      <c r="C129">
        <f>Lagrange[[#This Row],[nxi]]*3</f>
        <v>33</v>
      </c>
      <c r="D129">
        <v>384</v>
      </c>
      <c r="E129">
        <v>-1.43169038615996E-2</v>
      </c>
      <c r="F129">
        <v>610</v>
      </c>
      <c r="G129">
        <v>-1.5973610270786701E-2</v>
      </c>
      <c r="H129">
        <v>384</v>
      </c>
      <c r="I129">
        <v>-1.5055341548906E-2</v>
      </c>
      <c r="J129">
        <v>610</v>
      </c>
      <c r="K129">
        <v>-1.6275896738788299E-2</v>
      </c>
      <c r="L129" s="3">
        <f>(Lagrange[[#This Row],[disp_t3]]--0.0145666666666666)/-0.0145666666666666</f>
        <v>-1.714618799086963E-2</v>
      </c>
      <c r="M129" s="3">
        <f>(Lagrange[[#This Row],[disp_t6]]--0.0145666666666666)/-0.0145666666666666</f>
        <v>9.6586517445316364E-2</v>
      </c>
      <c r="N129" s="3">
        <f>(Lagrange[[#This Row],[disp_q4]]--0.0145666666666666)/-0.0145666666666666</f>
        <v>3.3547474753277115E-2</v>
      </c>
      <c r="O129" s="3">
        <f>(Lagrange[[#This Row],[disp_q8]]--0.0145666666666666)/-0.0145666666666666</f>
        <v>0.11733844888707377</v>
      </c>
    </row>
    <row r="130" spans="1:15" x14ac:dyDescent="0.3">
      <c r="A130">
        <v>3</v>
      </c>
      <c r="B130">
        <v>9</v>
      </c>
      <c r="C130">
        <f>Lagrange[[#This Row],[nxi]]*3</f>
        <v>27</v>
      </c>
      <c r="D130">
        <v>320</v>
      </c>
      <c r="E130">
        <v>-1.41857530838906E-2</v>
      </c>
      <c r="F130">
        <v>506</v>
      </c>
      <c r="G130">
        <v>-1.5823134049158E-2</v>
      </c>
      <c r="H130">
        <v>320</v>
      </c>
      <c r="I130">
        <v>-1.4946379779960601E-2</v>
      </c>
      <c r="J130">
        <v>506</v>
      </c>
      <c r="K130">
        <v>-1.6078575582893301E-2</v>
      </c>
      <c r="L130" s="3">
        <f>(Lagrange[[#This Row],[disp_t3]]--0.0145666666666666)/-0.0145666666666666</f>
        <v>-2.6149673874782689E-2</v>
      </c>
      <c r="M130" s="3">
        <f>(Lagrange[[#This Row],[disp_t6]]--0.0145666666666666)/-0.0145666666666666</f>
        <v>8.6256342047464948E-2</v>
      </c>
      <c r="N130" s="3">
        <f>(Lagrange[[#This Row],[disp_q4]]--0.0145666666666666)/-0.0145666666666666</f>
        <v>2.6067261782196999E-2</v>
      </c>
      <c r="O130" s="3">
        <f>(Lagrange[[#This Row],[disp_q8]]--0.0145666666666666)/-0.0145666666666666</f>
        <v>0.10379237411167334</v>
      </c>
    </row>
    <row r="131" spans="1:15" x14ac:dyDescent="0.3">
      <c r="A131">
        <v>3</v>
      </c>
      <c r="B131">
        <v>8</v>
      </c>
      <c r="C131">
        <f>Lagrange[[#This Row],[nxi]]*3</f>
        <v>24</v>
      </c>
      <c r="D131">
        <v>288</v>
      </c>
      <c r="E131">
        <v>-1.41004106799501E-2</v>
      </c>
      <c r="F131">
        <v>454</v>
      </c>
      <c r="G131">
        <v>-1.57318767472262E-2</v>
      </c>
      <c r="H131">
        <v>288</v>
      </c>
      <c r="I131">
        <v>-1.48781545312881E-2</v>
      </c>
      <c r="J131">
        <v>454</v>
      </c>
      <c r="K131">
        <v>-1.59581093720551E-2</v>
      </c>
      <c r="L131" s="3">
        <f>(Lagrange[[#This Row],[disp_t3]]--0.0145666666666666)/-0.0145666666666666</f>
        <v>-3.2008420140720896E-2</v>
      </c>
      <c r="M131" s="3">
        <f>(Lagrange[[#This Row],[disp_t6]]--0.0145666666666666)/-0.0145666666666666</f>
        <v>7.9991538711185764E-2</v>
      </c>
      <c r="N131" s="3">
        <f>(Lagrange[[#This Row],[disp_q4]]--0.0145666666666666)/-0.0145666666666666</f>
        <v>2.1383606266922317E-2</v>
      </c>
      <c r="O131" s="3">
        <f>(Lagrange[[#This Row],[disp_q8]]--0.0145666666666666)/-0.0145666666666666</f>
        <v>9.5522382520950147E-2</v>
      </c>
    </row>
    <row r="132" spans="1:15" x14ac:dyDescent="0.3">
      <c r="A132">
        <v>3</v>
      </c>
      <c r="B132">
        <v>7</v>
      </c>
      <c r="C132">
        <f>Lagrange[[#This Row],[nxi]]*3</f>
        <v>21</v>
      </c>
      <c r="D132">
        <v>256</v>
      </c>
      <c r="E132">
        <v>-1.39944038546292E-2</v>
      </c>
      <c r="F132">
        <v>402</v>
      </c>
      <c r="G132">
        <v>-1.5628433386016698E-2</v>
      </c>
      <c r="H132">
        <v>256</v>
      </c>
      <c r="I132">
        <v>-1.47960448241373E-2</v>
      </c>
      <c r="J132">
        <v>402</v>
      </c>
      <c r="K132">
        <v>-1.58204196397943E-2</v>
      </c>
      <c r="L132" s="3">
        <f>(Lagrange[[#This Row],[disp_t3]]--0.0145666666666666)/-0.0145666666666666</f>
        <v>-3.9285776570073379E-2</v>
      </c>
      <c r="M132" s="3">
        <f>(Lagrange[[#This Row],[disp_t6]]--0.0145666666666666)/-0.0145666666666666</f>
        <v>7.2890163799778307E-2</v>
      </c>
      <c r="N132" s="3">
        <f>(Lagrange[[#This Row],[disp_q4]]--0.0145666666666666)/-0.0145666666666666</f>
        <v>1.57467842657232E-2</v>
      </c>
      <c r="O132" s="3">
        <f>(Lagrange[[#This Row],[disp_q8]]--0.0145666666666666)/-0.0145666666666666</f>
        <v>8.6069998155220095E-2</v>
      </c>
    </row>
    <row r="133" spans="1:15" x14ac:dyDescent="0.3">
      <c r="A133">
        <v>3</v>
      </c>
      <c r="B133">
        <v>6</v>
      </c>
      <c r="C133">
        <f>Lagrange[[#This Row],[nxi]]*3</f>
        <v>18</v>
      </c>
      <c r="D133">
        <v>224</v>
      </c>
      <c r="E133">
        <v>-1.38564232269695E-2</v>
      </c>
      <c r="F133">
        <v>350</v>
      </c>
      <c r="G133">
        <v>-1.55107990106714E-2</v>
      </c>
      <c r="H133">
        <v>224</v>
      </c>
      <c r="I133">
        <v>-1.46922921994659E-2</v>
      </c>
      <c r="J133">
        <v>350</v>
      </c>
      <c r="K133">
        <v>-1.5662803838868301E-2</v>
      </c>
      <c r="L133" s="3">
        <f>(Lagrange[[#This Row],[disp_t3]]--0.0145666666666666)/-0.0145666666666666</f>
        <v>-4.8758130871654634E-2</v>
      </c>
      <c r="M133" s="3">
        <f>(Lagrange[[#This Row],[disp_t6]]--0.0145666666666666)/-0.0145666666666666</f>
        <v>6.4814577391634209E-2</v>
      </c>
      <c r="N133" s="3">
        <f>(Lagrange[[#This Row],[disp_q4]]--0.0145666666666666)/-0.0145666666666666</f>
        <v>8.6241784530412448E-3</v>
      </c>
      <c r="O133" s="3">
        <f>(Lagrange[[#This Row],[disp_q8]]--0.0145666666666666)/-0.0145666666666666</f>
        <v>7.5249691455494719E-2</v>
      </c>
    </row>
    <row r="134" spans="1:15" x14ac:dyDescent="0.3">
      <c r="A134">
        <v>3</v>
      </c>
      <c r="B134">
        <v>5</v>
      </c>
      <c r="C134">
        <f>Lagrange[[#This Row],[nxi]]*3</f>
        <v>15</v>
      </c>
      <c r="D134">
        <v>192</v>
      </c>
      <c r="E134">
        <v>-1.3665151899581099E-2</v>
      </c>
      <c r="F134">
        <v>298</v>
      </c>
      <c r="G134">
        <v>-1.53751609082067E-2</v>
      </c>
      <c r="H134">
        <v>192</v>
      </c>
      <c r="I134">
        <v>-1.4550899688151001E-2</v>
      </c>
      <c r="J134">
        <v>298</v>
      </c>
      <c r="K134">
        <v>-1.54821768060481E-2</v>
      </c>
      <c r="L134" s="3">
        <f>(Lagrange[[#This Row],[disp_t3]]--0.0145666666666666)/-0.0145666666666666</f>
        <v>-6.1888885612277185E-2</v>
      </c>
      <c r="M134" s="3">
        <f>(Lagrange[[#This Row],[disp_t6]]--0.0145666666666666)/-0.0145666666666666</f>
        <v>5.550303717666618E-2</v>
      </c>
      <c r="N134" s="3">
        <f>(Lagrange[[#This Row],[disp_q4]]--0.0145666666666666)/-0.0145666666666666</f>
        <v>-1.0824012710937442E-3</v>
      </c>
      <c r="O134" s="3">
        <f>(Lagrange[[#This Row],[disp_q8]]--0.0145666666666666)/-0.0145666666666666</f>
        <v>6.2849666319096456E-2</v>
      </c>
    </row>
    <row r="135" spans="1:15" x14ac:dyDescent="0.3">
      <c r="A135">
        <v>3</v>
      </c>
      <c r="B135">
        <v>4</v>
      </c>
      <c r="C135">
        <f>Lagrange[[#This Row],[nxi]]*3</f>
        <v>12</v>
      </c>
      <c r="D135">
        <v>160</v>
      </c>
      <c r="E135">
        <v>-1.33790906314028E-2</v>
      </c>
      <c r="F135">
        <v>246</v>
      </c>
      <c r="G135">
        <v>-1.52137163663386E-2</v>
      </c>
      <c r="H135">
        <v>160</v>
      </c>
      <c r="I135">
        <v>-1.43367062875313E-2</v>
      </c>
      <c r="J135">
        <v>246</v>
      </c>
      <c r="K135">
        <v>-1.52712344503735E-2</v>
      </c>
      <c r="L135" s="3">
        <f>(Lagrange[[#This Row],[disp_t3]]--0.0145666666666666)/-0.0145666666666666</f>
        <v>-8.1526958942595332E-2</v>
      </c>
      <c r="M135" s="3">
        <f>(Lagrange[[#This Row],[disp_t6]]--0.0145666666666666)/-0.0145666666666666</f>
        <v>4.4419887849336669E-2</v>
      </c>
      <c r="N135" s="3">
        <f>(Lagrange[[#This Row],[disp_q4]]--0.0145666666666666)/-0.0145666666666666</f>
        <v>-1.5786753716382163E-2</v>
      </c>
      <c r="O135" s="3">
        <f>(Lagrange[[#This Row],[disp_q8]]--0.0145666666666666)/-0.0145666666666666</f>
        <v>4.8368497737316093E-2</v>
      </c>
    </row>
    <row r="136" spans="1:15" x14ac:dyDescent="0.3">
      <c r="A136">
        <v>3</v>
      </c>
      <c r="B136">
        <v>3</v>
      </c>
      <c r="C136">
        <f>Lagrange[[#This Row],[nxi]]*3</f>
        <v>9</v>
      </c>
      <c r="D136">
        <v>128</v>
      </c>
      <c r="E136">
        <v>-1.29184520119578E-2</v>
      </c>
      <c r="F136">
        <v>194</v>
      </c>
      <c r="G136">
        <v>-1.5010740127831801E-2</v>
      </c>
      <c r="H136">
        <v>128</v>
      </c>
      <c r="I136">
        <v>-1.39672416714077E-2</v>
      </c>
      <c r="J136">
        <v>194</v>
      </c>
      <c r="K136">
        <v>-1.5039290357372399E-2</v>
      </c>
      <c r="L136" s="3">
        <f>(Lagrange[[#This Row],[disp_t3]]--0.0145666666666666)/-0.0145666666666666</f>
        <v>-0.11314974746284717</v>
      </c>
      <c r="M136" s="3">
        <f>(Lagrange[[#This Row],[disp_t6]]--0.0145666666666666)/-0.0145666666666666</f>
        <v>3.0485592299670704E-2</v>
      </c>
      <c r="N136" s="3">
        <f>(Lagrange[[#This Row],[disp_q4]]--0.0145666666666666)/-0.0145666666666666</f>
        <v>-4.1150457340428041E-2</v>
      </c>
      <c r="O136" s="3">
        <f>(Lagrange[[#This Row],[disp_q8]]--0.0145666666666666)/-0.0145666666666666</f>
        <v>3.2445562291016167E-2</v>
      </c>
    </row>
    <row r="137" spans="1:15" x14ac:dyDescent="0.3">
      <c r="A137">
        <v>3</v>
      </c>
      <c r="B137">
        <v>2</v>
      </c>
      <c r="C137">
        <f>Lagrange[[#This Row],[nxi]]*3</f>
        <v>6</v>
      </c>
      <c r="D137">
        <v>96</v>
      </c>
      <c r="E137">
        <v>-1.21715764796514E-2</v>
      </c>
      <c r="F137">
        <v>142</v>
      </c>
      <c r="G137">
        <v>-1.47544947121751E-2</v>
      </c>
      <c r="H137">
        <v>96</v>
      </c>
      <c r="I137">
        <v>-1.32563647850308E-2</v>
      </c>
      <c r="J137">
        <v>142</v>
      </c>
      <c r="K137">
        <v>-1.47266933330477E-2</v>
      </c>
      <c r="L137" s="3">
        <f>(Lagrange[[#This Row],[disp_t3]]--0.0145666666666666)/-0.0145666666666666</f>
        <v>-0.16442266730081534</v>
      </c>
      <c r="M137" s="3">
        <f>(Lagrange[[#This Row],[disp_t6]]--0.0145666666666666)/-0.0145666666666666</f>
        <v>1.289437383353558E-2</v>
      </c>
      <c r="N137" s="3">
        <f>(Lagrange[[#This Row],[disp_q4]]--0.0145666666666666)/-0.0145666666666666</f>
        <v>-8.9952074254174258E-2</v>
      </c>
      <c r="O137" s="3">
        <f>(Lagrange[[#This Row],[disp_q8]]--0.0145666666666666)/-0.0145666666666666</f>
        <v>1.0985812337375353E-2</v>
      </c>
    </row>
    <row r="138" spans="1:15" x14ac:dyDescent="0.3">
      <c r="A138">
        <v>2</v>
      </c>
      <c r="B138">
        <v>40</v>
      </c>
      <c r="C138">
        <f>Lagrange[[#This Row],[nxi]]*3</f>
        <v>120</v>
      </c>
      <c r="D138">
        <v>984</v>
      </c>
      <c r="E138">
        <v>-1.42338340576766E-2</v>
      </c>
      <c r="F138">
        <v>1548</v>
      </c>
      <c r="G138">
        <v>-1.6420338620988E-2</v>
      </c>
      <c r="H138">
        <v>984</v>
      </c>
      <c r="I138">
        <v>-1.54915664002271E-2</v>
      </c>
      <c r="J138">
        <v>1548</v>
      </c>
      <c r="K138">
        <v>-1.6722033899309E-2</v>
      </c>
      <c r="L138" s="3">
        <f>(Lagrange[[#This Row],[disp_t3]]--0.0145666666666666)/-0.0145666666666666</f>
        <v>-2.2848920525629327E-2</v>
      </c>
      <c r="M138" s="3">
        <f>(Lagrange[[#This Row],[disp_t6]]--0.0145666666666666)/-0.0145666666666666</f>
        <v>0.12725436757355213</v>
      </c>
      <c r="N138" s="3">
        <f>(Lagrange[[#This Row],[disp_q4]]--0.0145666666666666)/-0.0145666666666666</f>
        <v>6.3494260885160497E-2</v>
      </c>
      <c r="O138" s="3">
        <f>(Lagrange[[#This Row],[disp_q8]]--0.0145666666666666)/-0.0145666666666666</f>
        <v>0.14796571391137828</v>
      </c>
    </row>
    <row r="139" spans="1:15" x14ac:dyDescent="0.3">
      <c r="A139">
        <v>2</v>
      </c>
      <c r="B139">
        <v>34</v>
      </c>
      <c r="C139">
        <f>Lagrange[[#This Row],[nxi]]*3</f>
        <v>102</v>
      </c>
      <c r="D139">
        <v>840</v>
      </c>
      <c r="E139">
        <v>-1.4309521641304401E-2</v>
      </c>
      <c r="F139">
        <v>1320</v>
      </c>
      <c r="G139">
        <v>-1.6550342167951201E-2</v>
      </c>
      <c r="H139">
        <v>840</v>
      </c>
      <c r="I139">
        <v>-1.55748605190414E-2</v>
      </c>
      <c r="J139">
        <v>1320</v>
      </c>
      <c r="K139">
        <v>-1.68645345205383E-2</v>
      </c>
      <c r="L139" s="3">
        <f>(Lagrange[[#This Row],[disp_t3]]--0.0145666666666666)/-0.0145666666666666</f>
        <v>-1.7652976569487409E-2</v>
      </c>
      <c r="M139" s="3">
        <f>(Lagrange[[#This Row],[disp_t6]]--0.0145666666666666)/-0.0145666666666666</f>
        <v>0.13617909619802818</v>
      </c>
      <c r="N139" s="3">
        <f>(Lagrange[[#This Row],[disp_q4]]--0.0145666666666666)/-0.0145666666666666</f>
        <v>6.9212392611542661E-2</v>
      </c>
      <c r="O139" s="3">
        <f>(Lagrange[[#This Row],[disp_q8]]--0.0145666666666666)/-0.0145666666666666</f>
        <v>0.15774836525435093</v>
      </c>
    </row>
    <row r="140" spans="1:15" x14ac:dyDescent="0.3">
      <c r="A140">
        <v>2</v>
      </c>
      <c r="B140">
        <v>29</v>
      </c>
      <c r="C140">
        <f>Lagrange[[#This Row],[nxi]]*3</f>
        <v>87</v>
      </c>
      <c r="D140">
        <v>720</v>
      </c>
      <c r="E140">
        <v>-1.43795583802118E-2</v>
      </c>
      <c r="F140">
        <v>1130</v>
      </c>
      <c r="G140">
        <v>-1.6685988347566499E-2</v>
      </c>
      <c r="H140">
        <v>720</v>
      </c>
      <c r="I140">
        <v>-1.5655470804705501E-2</v>
      </c>
      <c r="J140">
        <v>1130</v>
      </c>
      <c r="K140">
        <v>-1.7015500336488101E-2</v>
      </c>
      <c r="L140" s="3">
        <f>(Lagrange[[#This Row],[disp_t3]]--0.0145666666666666)/-0.0145666666666666</f>
        <v>-1.2844962456851261E-2</v>
      </c>
      <c r="M140" s="3">
        <f>(Lagrange[[#This Row],[disp_t6]]--0.0145666666666666)/-0.0145666666666666</f>
        <v>0.14549119090846058</v>
      </c>
      <c r="N140" s="3">
        <f>(Lagrange[[#This Row],[disp_q4]]--0.0145666666666666)/-0.0145666666666666</f>
        <v>7.4746279499238469E-2</v>
      </c>
      <c r="O140" s="3">
        <f>(Lagrange[[#This Row],[disp_q8]]--0.0145666666666666)/-0.0145666666666666</f>
        <v>0.16811215124632808</v>
      </c>
    </row>
    <row r="141" spans="1:15" x14ac:dyDescent="0.3">
      <c r="A141">
        <v>2</v>
      </c>
      <c r="B141">
        <v>24</v>
      </c>
      <c r="C141">
        <f>Lagrange[[#This Row],[nxi]]*3</f>
        <v>72</v>
      </c>
      <c r="D141">
        <v>600</v>
      </c>
      <c r="E141">
        <v>-1.4447505009013701E-2</v>
      </c>
      <c r="F141">
        <v>940</v>
      </c>
      <c r="G141">
        <v>-1.68472602442769E-2</v>
      </c>
      <c r="H141">
        <v>600</v>
      </c>
      <c r="I141">
        <v>-1.5740408962460099E-2</v>
      </c>
      <c r="J141">
        <v>940</v>
      </c>
      <c r="K141">
        <v>-1.7199501020080402E-2</v>
      </c>
      <c r="L141" s="3">
        <f>(Lagrange[[#This Row],[disp_t3]]--0.0145666666666666)/-0.0145666666666666</f>
        <v>-8.1804341638145959E-3</v>
      </c>
      <c r="M141" s="3">
        <f>(Lagrange[[#This Row],[disp_t6]]--0.0145666666666666)/-0.0145666666666666</f>
        <v>0.15656248816546758</v>
      </c>
      <c r="N141" s="3">
        <f>(Lagrange[[#This Row],[disp_q4]]--0.0145666666666666)/-0.0145666666666666</f>
        <v>8.0577274310766916E-2</v>
      </c>
      <c r="O141" s="3">
        <f>(Lagrange[[#This Row],[disp_q8]]--0.0145666666666666)/-0.0145666666666666</f>
        <v>0.18074377712222983</v>
      </c>
    </row>
    <row r="142" spans="1:15" x14ac:dyDescent="0.3">
      <c r="A142">
        <v>2</v>
      </c>
      <c r="B142">
        <v>21</v>
      </c>
      <c r="C142">
        <f>Lagrange[[#This Row],[nxi]]*3</f>
        <v>63</v>
      </c>
      <c r="D142">
        <v>528</v>
      </c>
      <c r="E142">
        <v>-1.4477559899673999E-2</v>
      </c>
      <c r="F142">
        <v>826</v>
      </c>
      <c r="G142">
        <v>-1.6950127989129499E-2</v>
      </c>
      <c r="H142">
        <v>528</v>
      </c>
      <c r="I142">
        <v>-1.5784886960164401E-2</v>
      </c>
      <c r="J142">
        <v>826</v>
      </c>
      <c r="K142">
        <v>-1.73213914049021E-2</v>
      </c>
      <c r="L142" s="3">
        <f>(Lagrange[[#This Row],[disp_t3]]--0.0145666666666666)/-0.0145666666666666</f>
        <v>-6.1171693587597463E-3</v>
      </c>
      <c r="M142" s="3">
        <f>(Lagrange[[#This Row],[disp_t6]]--0.0145666666666666)/-0.0145666666666666</f>
        <v>0.1636243470798337</v>
      </c>
      <c r="N142" s="3">
        <f>(Lagrange[[#This Row],[disp_q4]]--0.0145666666666666)/-0.0145666666666666</f>
        <v>8.3630683764151517E-2</v>
      </c>
      <c r="O142" s="3">
        <f>(Lagrange[[#This Row],[disp_q8]]--0.0145666666666666)/-0.0145666666666666</f>
        <v>0.18911153809397116</v>
      </c>
    </row>
    <row r="143" spans="1:15" x14ac:dyDescent="0.3">
      <c r="A143">
        <v>2</v>
      </c>
      <c r="B143">
        <v>18</v>
      </c>
      <c r="C143">
        <f>Lagrange[[#This Row],[nxi]]*3</f>
        <v>54</v>
      </c>
      <c r="D143">
        <v>456</v>
      </c>
      <c r="E143">
        <v>-1.4485447979232E-2</v>
      </c>
      <c r="F143">
        <v>712</v>
      </c>
      <c r="G143">
        <v>-1.70426890172506E-2</v>
      </c>
      <c r="H143">
        <v>456</v>
      </c>
      <c r="I143">
        <v>-1.5810454988605799E-2</v>
      </c>
      <c r="J143">
        <v>712</v>
      </c>
      <c r="K143">
        <v>-1.74384746249629E-2</v>
      </c>
      <c r="L143" s="3">
        <f>(Lagrange[[#This Row],[disp_t3]]--0.0145666666666666)/-0.0145666666666666</f>
        <v>-5.5756535996293018E-3</v>
      </c>
      <c r="M143" s="3">
        <f>(Lagrange[[#This Row],[disp_t6]]--0.0145666666666666)/-0.0145666666666666</f>
        <v>0.16997865106984064</v>
      </c>
      <c r="N143" s="3">
        <f>(Lagrange[[#This Row],[disp_q4]]--0.0145666666666666)/-0.0145666666666666</f>
        <v>8.5385925991249834E-2</v>
      </c>
      <c r="O143" s="3">
        <f>(Lagrange[[#This Row],[disp_q8]]--0.0145666666666666)/-0.0145666666666666</f>
        <v>0.19714928775489568</v>
      </c>
    </row>
    <row r="144" spans="1:15" x14ac:dyDescent="0.3">
      <c r="A144">
        <v>2</v>
      </c>
      <c r="B144">
        <v>15</v>
      </c>
      <c r="C144">
        <f>Lagrange[[#This Row],[nxi]]*3</f>
        <v>45</v>
      </c>
      <c r="D144">
        <v>384</v>
      </c>
      <c r="E144">
        <v>-1.44485351181986E-2</v>
      </c>
      <c r="F144">
        <v>598</v>
      </c>
      <c r="G144">
        <v>-1.7093308091973802E-2</v>
      </c>
      <c r="H144">
        <v>384</v>
      </c>
      <c r="I144">
        <v>-1.5792522658567901E-2</v>
      </c>
      <c r="J144">
        <v>598</v>
      </c>
      <c r="K144">
        <v>-1.7519736628750102E-2</v>
      </c>
      <c r="L144" s="3">
        <f>(Lagrange[[#This Row],[disp_t3]]--0.0145666666666666)/-0.0145666666666666</f>
        <v>-8.1097172861326876E-3</v>
      </c>
      <c r="M144" s="3">
        <f>(Lagrange[[#This Row],[disp_t6]]--0.0145666666666666)/-0.0145666666666666</f>
        <v>0.17345364475793232</v>
      </c>
      <c r="N144" s="3">
        <f>(Lagrange[[#This Row],[disp_q4]]--0.0145666666666666)/-0.0145666666666666</f>
        <v>8.4154873585902137E-2</v>
      </c>
      <c r="O144" s="3">
        <f>(Lagrange[[#This Row],[disp_q8]]--0.0145666666666666)/-0.0145666666666666</f>
        <v>0.20272791501717502</v>
      </c>
    </row>
    <row r="145" spans="1:15" x14ac:dyDescent="0.3">
      <c r="A145">
        <v>2</v>
      </c>
      <c r="B145">
        <v>13</v>
      </c>
      <c r="C145">
        <f>Lagrange[[#This Row],[nxi]]*3</f>
        <v>39</v>
      </c>
      <c r="D145">
        <v>336</v>
      </c>
      <c r="E145">
        <v>-1.4381302111728601E-2</v>
      </c>
      <c r="F145">
        <v>522</v>
      </c>
      <c r="G145">
        <v>-1.70737450696796E-2</v>
      </c>
      <c r="H145">
        <v>336</v>
      </c>
      <c r="I145">
        <v>-1.5735862386794201E-2</v>
      </c>
      <c r="J145">
        <v>522</v>
      </c>
      <c r="K145">
        <v>-1.7522907747473299E-2</v>
      </c>
      <c r="L145" s="3">
        <f>(Lagrange[[#This Row],[disp_t3]]--0.0145666666666666)/-0.0145666666666666</f>
        <v>-1.2725255487734522E-2</v>
      </c>
      <c r="M145" s="3">
        <f>(Lagrange[[#This Row],[disp_t6]]--0.0145666666666666)/-0.0145666666666666</f>
        <v>0.17211064551576744</v>
      </c>
      <c r="N145" s="3">
        <f>(Lagrange[[#This Row],[disp_q4]]--0.0145666666666666)/-0.0145666666666666</f>
        <v>8.0265152411506183E-2</v>
      </c>
      <c r="O145" s="3">
        <f>(Lagrange[[#This Row],[disp_q8]]--0.0145666666666666)/-0.0145666666666666</f>
        <v>0.20294561195469429</v>
      </c>
    </row>
    <row r="146" spans="1:15" x14ac:dyDescent="0.3">
      <c r="A146">
        <v>2</v>
      </c>
      <c r="B146">
        <v>11</v>
      </c>
      <c r="C146">
        <f>Lagrange[[#This Row],[nxi]]*3</f>
        <v>33</v>
      </c>
      <c r="D146">
        <v>288</v>
      </c>
      <c r="E146">
        <v>-1.4262966806550301E-2</v>
      </c>
      <c r="F146">
        <v>446</v>
      </c>
      <c r="G146">
        <v>-1.6977975644337201E-2</v>
      </c>
      <c r="H146">
        <v>288</v>
      </c>
      <c r="I146">
        <v>-1.56228485992212E-2</v>
      </c>
      <c r="J146">
        <v>446</v>
      </c>
      <c r="K146">
        <v>-1.7448019177540401E-2</v>
      </c>
      <c r="L146" s="3">
        <f>(Lagrange[[#This Row],[disp_t3]]--0.0145666666666666)/-0.0145666666666666</f>
        <v>-2.0848960648716251E-2</v>
      </c>
      <c r="M146" s="3">
        <f>(Lagrange[[#This Row],[disp_t6]]--0.0145666666666666)/-0.0145666666666666</f>
        <v>0.16553608542361187</v>
      </c>
      <c r="N146" s="3">
        <f>(Lagrange[[#This Row],[disp_q4]]--0.0145666666666666)/-0.0145666666666666</f>
        <v>7.2506768825258985E-2</v>
      </c>
      <c r="O146" s="3">
        <f>(Lagrange[[#This Row],[disp_q8]]--0.0145666666666666)/-0.0145666666666666</f>
        <v>0.19780452019728709</v>
      </c>
    </row>
    <row r="147" spans="1:15" x14ac:dyDescent="0.3">
      <c r="A147">
        <v>2</v>
      </c>
      <c r="B147">
        <v>9</v>
      </c>
      <c r="C147">
        <f>Lagrange[[#This Row],[nxi]]*3</f>
        <v>27</v>
      </c>
      <c r="D147">
        <v>240</v>
      </c>
      <c r="E147">
        <v>-1.40768542835077E-2</v>
      </c>
      <c r="F147">
        <v>370</v>
      </c>
      <c r="G147">
        <v>-1.6770265831944301E-2</v>
      </c>
      <c r="H147">
        <v>240</v>
      </c>
      <c r="I147">
        <v>-1.54333483489584E-2</v>
      </c>
      <c r="J147">
        <v>370</v>
      </c>
      <c r="K147">
        <v>-1.7249912891511399E-2</v>
      </c>
      <c r="L147" s="3">
        <f>(Lagrange[[#This Row],[disp_t3]]--0.0145666666666666)/-0.0145666666666666</f>
        <v>-3.3625564061251847E-2</v>
      </c>
      <c r="M147" s="3">
        <f>(Lagrange[[#This Row],[disp_t6]]--0.0145666666666666)/-0.0145666666666666</f>
        <v>0.15127683056826399</v>
      </c>
      <c r="N147" s="3">
        <f>(Lagrange[[#This Row],[disp_q4]]--0.0145666666666666)/-0.0145666666666666</f>
        <v>5.9497598326668504E-2</v>
      </c>
      <c r="O147" s="3">
        <f>(Lagrange[[#This Row],[disp_q8]]--0.0145666666666666)/-0.0145666666666666</f>
        <v>0.18420454632801911</v>
      </c>
    </row>
    <row r="148" spans="1:15" x14ac:dyDescent="0.3">
      <c r="A148">
        <v>2</v>
      </c>
      <c r="B148">
        <v>8</v>
      </c>
      <c r="C148">
        <f>Lagrange[[#This Row],[nxi]]*3</f>
        <v>24</v>
      </c>
      <c r="D148">
        <v>216</v>
      </c>
      <c r="E148">
        <v>-1.3953136924533399E-2</v>
      </c>
      <c r="F148">
        <v>332</v>
      </c>
      <c r="G148">
        <v>-1.6614819678241501E-2</v>
      </c>
      <c r="H148">
        <v>216</v>
      </c>
      <c r="I148">
        <v>-1.53042848952796E-2</v>
      </c>
      <c r="J148">
        <v>332</v>
      </c>
      <c r="K148">
        <v>-1.7088745552191701E-2</v>
      </c>
      <c r="L148" s="3">
        <f>(Lagrange[[#This Row],[disp_t3]]--0.0145666666666666)/-0.0145666666666666</f>
        <v>-4.2118746599533387E-2</v>
      </c>
      <c r="M148" s="3">
        <f>(Lagrange[[#This Row],[disp_t6]]--0.0145666666666666)/-0.0145666666666666</f>
        <v>0.1406054699021678</v>
      </c>
      <c r="N148" s="3">
        <f>(Lagrange[[#This Row],[disp_q4]]--0.0145666666666666)/-0.0145666666666666</f>
        <v>5.0637406998604403E-2</v>
      </c>
      <c r="O148" s="3">
        <f>(Lagrange[[#This Row],[disp_q8]]--0.0145666666666666)/-0.0145666666666666</f>
        <v>0.17314042692392081</v>
      </c>
    </row>
    <row r="149" spans="1:15" x14ac:dyDescent="0.3">
      <c r="A149">
        <v>2</v>
      </c>
      <c r="B149">
        <v>7</v>
      </c>
      <c r="C149">
        <f>Lagrange[[#This Row],[nxi]]*3</f>
        <v>21</v>
      </c>
      <c r="D149">
        <v>192</v>
      </c>
      <c r="E149">
        <v>-1.3805691459481999E-2</v>
      </c>
      <c r="F149">
        <v>294</v>
      </c>
      <c r="G149">
        <v>-1.6423027839856701E-2</v>
      </c>
      <c r="H149">
        <v>192</v>
      </c>
      <c r="I149">
        <v>-1.51497404841472E-2</v>
      </c>
      <c r="J149">
        <v>294</v>
      </c>
      <c r="K149">
        <v>-1.68781813880341E-2</v>
      </c>
      <c r="L149" s="3">
        <f>(Lagrange[[#This Row],[disp_t3]]--0.0145666666666666)/-0.0145666666666666</f>
        <v>-5.2240860905121513E-2</v>
      </c>
      <c r="M149" s="3">
        <f>(Lagrange[[#This Row],[disp_t6]]--0.0145666666666666)/-0.0145666666666666</f>
        <v>0.12743898214119753</v>
      </c>
      <c r="N149" s="3">
        <f>(Lagrange[[#This Row],[disp_q4]]--0.0145666666666666)/-0.0145666666666666</f>
        <v>4.0027950856791984E-2</v>
      </c>
      <c r="O149" s="3">
        <f>(Lagrange[[#This Row],[disp_q8]]--0.0145666666666666)/-0.0145666666666666</f>
        <v>0.1586852211465111</v>
      </c>
    </row>
    <row r="150" spans="1:15" x14ac:dyDescent="0.3">
      <c r="A150">
        <v>2</v>
      </c>
      <c r="B150">
        <v>6</v>
      </c>
      <c r="C150">
        <f>Lagrange[[#This Row],[nxi]]*3</f>
        <v>18</v>
      </c>
      <c r="D150">
        <v>168</v>
      </c>
      <c r="E150">
        <v>-1.36298978023168E-2</v>
      </c>
      <c r="F150">
        <v>256</v>
      </c>
      <c r="G150">
        <v>-1.61968331417905E-2</v>
      </c>
      <c r="H150">
        <v>168</v>
      </c>
      <c r="I150">
        <v>-1.49664649762449E-2</v>
      </c>
      <c r="J150">
        <v>256</v>
      </c>
      <c r="K150">
        <v>-1.66134547115366E-2</v>
      </c>
      <c r="L150" s="3">
        <f>(Lagrange[[#This Row],[disp_t3]]--0.0145666666666666)/-0.0145666666666666</f>
        <v>-6.4309075355821768E-2</v>
      </c>
      <c r="M150" s="3">
        <f>(Lagrange[[#This Row],[disp_t6]]--0.0145666666666666)/-0.0145666666666666</f>
        <v>0.11191074199935298</v>
      </c>
      <c r="N150" s="3">
        <f>(Lagrange[[#This Row],[disp_q4]]--0.0145666666666666)/-0.0145666666666666</f>
        <v>2.744610820903676E-2</v>
      </c>
      <c r="O150" s="3">
        <f>(Lagrange[[#This Row],[disp_q8]]--0.0145666666666666)/-0.0145666666666666</f>
        <v>0.14051176509405106</v>
      </c>
    </row>
    <row r="151" spans="1:15" x14ac:dyDescent="0.3">
      <c r="A151">
        <v>2</v>
      </c>
      <c r="B151">
        <v>5</v>
      </c>
      <c r="C151">
        <f>Lagrange[[#This Row],[nxi]]*3</f>
        <v>15</v>
      </c>
      <c r="D151">
        <v>144</v>
      </c>
      <c r="E151">
        <v>-1.34149463189799E-2</v>
      </c>
      <c r="F151">
        <v>218</v>
      </c>
      <c r="G151">
        <v>-1.5940562983856599E-2</v>
      </c>
      <c r="H151">
        <v>144</v>
      </c>
      <c r="I151">
        <v>-1.47454537787279E-2</v>
      </c>
      <c r="J151">
        <v>218</v>
      </c>
      <c r="K151">
        <v>-1.6291489376263599E-2</v>
      </c>
      <c r="L151" s="3">
        <f>(Lagrange[[#This Row],[disp_t3]]--0.0145666666666666)/-0.0145666666666666</f>
        <v>-7.9065470092908763E-2</v>
      </c>
      <c r="M151" s="3">
        <f>(Lagrange[[#This Row],[disp_t6]]--0.0145666666666666)/-0.0145666666666666</f>
        <v>9.4317824978718934E-2</v>
      </c>
      <c r="N151" s="3">
        <f>(Lagrange[[#This Row],[disp_q4]]--0.0145666666666666)/-0.0145666666666666</f>
        <v>1.2273714786817052E-2</v>
      </c>
      <c r="O151" s="3">
        <f>(Lagrange[[#This Row],[disp_q8]]--0.0145666666666666)/-0.0145666666666666</f>
        <v>0.11840888166569849</v>
      </c>
    </row>
    <row r="152" spans="1:15" x14ac:dyDescent="0.3">
      <c r="A152">
        <v>2</v>
      </c>
      <c r="B152">
        <v>4</v>
      </c>
      <c r="C152">
        <f>Lagrange[[#This Row],[nxi]]*3</f>
        <v>12</v>
      </c>
      <c r="D152">
        <v>120</v>
      </c>
      <c r="E152">
        <v>-1.31338246878371E-2</v>
      </c>
      <c r="F152">
        <v>180</v>
      </c>
      <c r="G152">
        <v>-1.5657431462888501E-2</v>
      </c>
      <c r="H152">
        <v>120</v>
      </c>
      <c r="I152">
        <v>-1.4460003147727499E-2</v>
      </c>
      <c r="J152">
        <v>180</v>
      </c>
      <c r="K152">
        <v>-1.5911611327337202E-2</v>
      </c>
      <c r="L152" s="3">
        <f>(Lagrange[[#This Row],[disp_t3]]--0.0145666666666666)/-0.0145666666666666</f>
        <v>-9.8364437905915716E-2</v>
      </c>
      <c r="M152" s="3">
        <f>(Lagrange[[#This Row],[disp_t6]]--0.0145666666666666)/-0.0145666666666666</f>
        <v>7.4880878459169811E-2</v>
      </c>
      <c r="N152" s="3">
        <f>(Lagrange[[#This Row],[disp_q4]]--0.0145666666666666)/-0.0145666666666666</f>
        <v>-7.322438371105292E-3</v>
      </c>
      <c r="O152" s="3">
        <f>(Lagrange[[#This Row],[disp_q8]]--0.0145666666666666)/-0.0145666666666666</f>
        <v>9.2330297071208822E-2</v>
      </c>
    </row>
    <row r="153" spans="1:15" x14ac:dyDescent="0.3">
      <c r="A153">
        <v>2</v>
      </c>
      <c r="B153">
        <v>3</v>
      </c>
      <c r="C153">
        <f>Lagrange[[#This Row],[nxi]]*3</f>
        <v>9</v>
      </c>
      <c r="D153">
        <v>96</v>
      </c>
      <c r="E153">
        <v>-1.2722404383829201E-2</v>
      </c>
      <c r="F153">
        <v>142</v>
      </c>
      <c r="G153">
        <v>-1.53410141648014E-2</v>
      </c>
      <c r="H153">
        <v>96</v>
      </c>
      <c r="I153">
        <v>-1.40343511109255E-2</v>
      </c>
      <c r="J153">
        <v>142</v>
      </c>
      <c r="K153">
        <v>-1.5488724373172599E-2</v>
      </c>
      <c r="L153" s="3">
        <f>(Lagrange[[#This Row],[disp_t3]]--0.0145666666666666)/-0.0145666666666666</f>
        <v>-0.12660839470279683</v>
      </c>
      <c r="M153" s="3">
        <f>(Lagrange[[#This Row],[disp_t6]]--0.0145666666666666)/-0.0145666666666666</f>
        <v>5.3158867148842395E-2</v>
      </c>
      <c r="N153" s="3">
        <f>(Lagrange[[#This Row],[disp_q4]]--0.0145666666666666)/-0.0145666666666666</f>
        <v>-3.6543401995956633E-2</v>
      </c>
      <c r="O153" s="3">
        <f>(Lagrange[[#This Row],[disp_q8]]--0.0145666666666666)/-0.0145666666666666</f>
        <v>6.3299156053043773E-2</v>
      </c>
    </row>
    <row r="154" spans="1:15" x14ac:dyDescent="0.3">
      <c r="A154">
        <v>2</v>
      </c>
      <c r="B154">
        <v>2</v>
      </c>
      <c r="C154">
        <f>Lagrange[[#This Row],[nxi]]*3</f>
        <v>6</v>
      </c>
      <c r="D154">
        <v>72</v>
      </c>
      <c r="E154">
        <v>-1.20747123385104E-2</v>
      </c>
      <c r="F154">
        <v>104</v>
      </c>
      <c r="G154">
        <v>-1.4983798041120501E-2</v>
      </c>
      <c r="H154">
        <v>72</v>
      </c>
      <c r="I154">
        <v>-1.3289503510824601E-2</v>
      </c>
      <c r="J154">
        <v>104</v>
      </c>
      <c r="K154">
        <v>-1.4982850811257E-2</v>
      </c>
      <c r="L154" s="3">
        <f>(Lagrange[[#This Row],[disp_t3]]--0.0145666666666666)/-0.0145666666666666</f>
        <v>-0.17107237950729137</v>
      </c>
      <c r="M154" s="3">
        <f>(Lagrange[[#This Row],[disp_t6]]--0.0145666666666666)/-0.0145666666666666</f>
        <v>2.8636021129558577E-2</v>
      </c>
      <c r="N154" s="3">
        <f>(Lagrange[[#This Row],[disp_q4]]--0.0145666666666666)/-0.0145666666666666</f>
        <v>-8.7677104520046081E-2</v>
      </c>
      <c r="O154" s="3">
        <f>(Lagrange[[#This Row],[disp_q8]]--0.0145666666666666)/-0.0145666666666666</f>
        <v>2.8570993907807939E-2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59AB-3E2D-4C48-A052-A4619C6C523D}">
  <dimension ref="A1:O154"/>
  <sheetViews>
    <sheetView workbookViewId="0">
      <selection activeCell="R14" sqref="R14"/>
    </sheetView>
  </sheetViews>
  <sheetFormatPr defaultRowHeight="14.4" x14ac:dyDescent="0.3"/>
  <cols>
    <col min="4" max="7" width="9" customWidth="1"/>
    <col min="8" max="11" width="9.5546875" customWidth="1"/>
    <col min="12" max="13" width="8.21875" bestFit="1" customWidth="1"/>
    <col min="14" max="15" width="8.5546875" bestFit="1" customWidth="1"/>
  </cols>
  <sheetData>
    <row r="1" spans="1:15" x14ac:dyDescent="0.3">
      <c r="A1" t="s">
        <v>0</v>
      </c>
      <c r="B1" t="s">
        <v>24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3" t="s">
        <v>16</v>
      </c>
      <c r="M1" s="3" t="s">
        <v>17</v>
      </c>
      <c r="N1" s="3" t="s">
        <v>18</v>
      </c>
      <c r="O1" s="3" t="s">
        <v>19</v>
      </c>
    </row>
    <row r="2" spans="1:15" x14ac:dyDescent="0.3">
      <c r="A2">
        <v>20</v>
      </c>
      <c r="B2">
        <v>40</v>
      </c>
      <c r="C2">
        <f>Mortar[[#This Row],[nxi]]*3</f>
        <v>120</v>
      </c>
      <c r="D2">
        <v>6888</v>
      </c>
      <c r="E2">
        <v>-1.48808825879218E-2</v>
      </c>
      <c r="F2">
        <v>11808</v>
      </c>
      <c r="G2">
        <v>-1.4913323089021701E-2</v>
      </c>
      <c r="H2">
        <v>6888</v>
      </c>
      <c r="I2">
        <v>-1.4908467541726599E-2</v>
      </c>
      <c r="J2">
        <v>11808</v>
      </c>
      <c r="K2">
        <v>-1.4913331470022001E-2</v>
      </c>
      <c r="L2" s="3">
        <f>(Mortar[[#This Row],[disp_t3]]--0.0145666666666666)/-0.0145666666666666</f>
        <v>2.1570887042691191E-2</v>
      </c>
      <c r="M2" s="3">
        <f>(Mortar[[#This Row],[disp_t6]]--0.0145666666666666)/-0.0145666666666666</f>
        <v>2.3797923731471594E-2</v>
      </c>
      <c r="N2" s="3">
        <f>(Mortar[[#This Row],[disp_q4]]--0.0145666666666666)/-0.0145666666666666</f>
        <v>2.3464590965217493E-2</v>
      </c>
      <c r="O2" s="3">
        <f>(Mortar[[#This Row],[disp_q8]]--0.0145666666666666)/-0.0145666666666666</f>
        <v>2.3798499086183266E-2</v>
      </c>
    </row>
    <row r="3" spans="1:15" x14ac:dyDescent="0.3">
      <c r="A3">
        <v>20</v>
      </c>
      <c r="B3">
        <v>34</v>
      </c>
      <c r="C3">
        <f>Mortar[[#This Row],[nxi]]*3</f>
        <v>102</v>
      </c>
      <c r="D3">
        <v>5880</v>
      </c>
      <c r="E3">
        <v>-1.4872886109131501E-2</v>
      </c>
      <c r="F3">
        <v>10068</v>
      </c>
      <c r="G3">
        <v>-1.49105952271818E-2</v>
      </c>
      <c r="H3">
        <v>5880</v>
      </c>
      <c r="I3">
        <v>-1.49039303719021E-2</v>
      </c>
      <c r="J3">
        <v>10068</v>
      </c>
      <c r="K3">
        <v>-1.49106024269526E-2</v>
      </c>
      <c r="L3" s="3">
        <f>(Mortar[[#This Row],[disp_t3]]--0.0145666666666666)/-0.0145666666666666</f>
        <v>2.1021929688666102E-2</v>
      </c>
      <c r="M3" s="3">
        <f>(Mortar[[#This Row],[disp_t6]]--0.0145666666666666)/-0.0145666666666666</f>
        <v>2.3610656328274745E-2</v>
      </c>
      <c r="N3" s="3">
        <f>(Mortar[[#This Row],[disp_q4]]--0.0145666666666666)/-0.0145666666666666</f>
        <v>2.3153114775892627E-2</v>
      </c>
      <c r="O3" s="3">
        <f>(Mortar[[#This Row],[disp_q8]]--0.0145666666666666)/-0.0145666666666666</f>
        <v>2.3611150591716416E-2</v>
      </c>
    </row>
    <row r="4" spans="1:15" x14ac:dyDescent="0.3">
      <c r="A4">
        <v>20</v>
      </c>
      <c r="B4">
        <v>29</v>
      </c>
      <c r="C4">
        <f>Mortar[[#This Row],[nxi]]*3</f>
        <v>87</v>
      </c>
      <c r="D4">
        <v>5040</v>
      </c>
      <c r="E4">
        <v>-1.4861999302358E-2</v>
      </c>
      <c r="F4">
        <v>8618</v>
      </c>
      <c r="G4">
        <v>-1.49067940808662E-2</v>
      </c>
      <c r="H4">
        <v>5040</v>
      </c>
      <c r="I4">
        <v>-1.48976897090904E-2</v>
      </c>
      <c r="J4">
        <v>8618</v>
      </c>
      <c r="K4">
        <v>-1.49067999018509E-2</v>
      </c>
      <c r="L4" s="3">
        <f>(Mortar[[#This Row],[disp_t3]]--0.0145666666666666)/-0.0145666666666666</f>
        <v>2.0274551649295366E-2</v>
      </c>
      <c r="M4" s="3">
        <f>(Mortar[[#This Row],[disp_t6]]--0.0145666666666666)/-0.0145666666666666</f>
        <v>2.3349708068622587E-2</v>
      </c>
      <c r="N4" s="3">
        <f>(Mortar[[#This Row],[disp_q4]]--0.0145666666666666)/-0.0145666666666666</f>
        <v>2.2724693987904016E-2</v>
      </c>
      <c r="O4" s="3">
        <f>(Mortar[[#This Row],[disp_q8]]--0.0145666666666666)/-0.0145666666666666</f>
        <v>2.3350107678556189E-2</v>
      </c>
    </row>
    <row r="5" spans="1:15" x14ac:dyDescent="0.3">
      <c r="A5">
        <v>20</v>
      </c>
      <c r="B5">
        <v>24</v>
      </c>
      <c r="C5">
        <f>Mortar[[#This Row],[nxi]]*3</f>
        <v>72</v>
      </c>
      <c r="D5">
        <v>4200</v>
      </c>
      <c r="E5">
        <v>-1.4843952427391199E-2</v>
      </c>
      <c r="F5">
        <v>7168</v>
      </c>
      <c r="G5">
        <v>-1.49006440981175E-2</v>
      </c>
      <c r="H5">
        <v>4200</v>
      </c>
      <c r="I5">
        <v>-1.48874279779575E-2</v>
      </c>
      <c r="J5">
        <v>7168</v>
      </c>
      <c r="K5">
        <v>-1.49006480066538E-2</v>
      </c>
      <c r="L5" s="3">
        <f>(Mortar[[#This Row],[disp_t3]]--0.0145666666666666)/-0.0145666666666666</f>
        <v>1.9035635747684299E-2</v>
      </c>
      <c r="M5" s="3">
        <f>(Mortar[[#This Row],[disp_t6]]--0.0145666666666666)/-0.0145666666666666</f>
        <v>2.2927512456583646E-2</v>
      </c>
      <c r="N5" s="3">
        <f>(Mortar[[#This Row],[disp_q4]]--0.0145666666666666)/-0.0145666666666666</f>
        <v>2.2020227319741542E-2</v>
      </c>
      <c r="O5" s="3">
        <f>(Mortar[[#This Row],[disp_q8]]--0.0145666666666666)/-0.0145666666666666</f>
        <v>2.2927780777153451E-2</v>
      </c>
    </row>
    <row r="6" spans="1:15" x14ac:dyDescent="0.3">
      <c r="A6">
        <v>20</v>
      </c>
      <c r="B6">
        <v>21</v>
      </c>
      <c r="C6">
        <f>Mortar[[#This Row],[nxi]]*3</f>
        <v>63</v>
      </c>
      <c r="D6">
        <v>3696</v>
      </c>
      <c r="E6">
        <v>-1.48270125171853E-2</v>
      </c>
      <c r="F6">
        <v>6298</v>
      </c>
      <c r="G6">
        <v>-1.4895183104480601E-2</v>
      </c>
      <c r="H6">
        <v>3696</v>
      </c>
      <c r="I6">
        <v>-1.48779811377185E-2</v>
      </c>
      <c r="J6">
        <v>6298</v>
      </c>
      <c r="K6">
        <v>-1.48951855104186E-2</v>
      </c>
      <c r="L6" s="3">
        <f>(Mortar[[#This Row],[disp_t3]]--0.0145666666666666)/-0.0145666666666666</f>
        <v>1.7872712850254154E-2</v>
      </c>
      <c r="M6" s="3">
        <f>(Mortar[[#This Row],[disp_t6]]--0.0145666666666666)/-0.0145666666666666</f>
        <v>2.2552615868238177E-2</v>
      </c>
      <c r="N6" s="3">
        <f>(Mortar[[#This Row],[disp_q4]]--0.0145666666666666)/-0.0145666666666666</f>
        <v>2.1371702818208382E-2</v>
      </c>
      <c r="O6" s="3">
        <f>(Mortar[[#This Row],[disp_q8]]--0.0145666666666666)/-0.0145666666666666</f>
        <v>2.2552781035606539E-2</v>
      </c>
    </row>
    <row r="7" spans="1:15" x14ac:dyDescent="0.3">
      <c r="A7">
        <v>20</v>
      </c>
      <c r="B7">
        <v>18</v>
      </c>
      <c r="C7">
        <f>Mortar[[#This Row],[nxi]]*3</f>
        <v>54</v>
      </c>
      <c r="D7">
        <v>3192</v>
      </c>
      <c r="E7">
        <v>-1.4801968578485199E-2</v>
      </c>
      <c r="F7">
        <v>5428</v>
      </c>
      <c r="G7">
        <v>-1.4887675370504E-2</v>
      </c>
      <c r="H7">
        <v>3192</v>
      </c>
      <c r="I7">
        <v>-1.48643492968003E-2</v>
      </c>
      <c r="J7">
        <v>5428</v>
      </c>
      <c r="K7">
        <v>-1.48876759281001E-2</v>
      </c>
      <c r="L7" s="3">
        <f>(Mortar[[#This Row],[disp_t3]]--0.0145666666666666)/-0.0145666666666666</f>
        <v>1.6153449323931427E-2</v>
      </c>
      <c r="M7" s="3">
        <f>(Mortar[[#This Row],[disp_t6]]--0.0145666666666666)/-0.0145666666666666</f>
        <v>2.2037210789753025E-2</v>
      </c>
      <c r="N7" s="3">
        <f>(Mortar[[#This Row],[disp_q4]]--0.0145666666666666)/-0.0145666666666666</f>
        <v>2.0435878498881167E-2</v>
      </c>
      <c r="O7" s="3">
        <f>(Mortar[[#This Row],[disp_q8]]--0.0145666666666666)/-0.0145666666666666</f>
        <v>2.2037249068661457E-2</v>
      </c>
    </row>
    <row r="8" spans="1:15" x14ac:dyDescent="0.3">
      <c r="A8">
        <v>20</v>
      </c>
      <c r="B8">
        <v>15</v>
      </c>
      <c r="C8">
        <f>Mortar[[#This Row],[nxi]]*3</f>
        <v>45</v>
      </c>
      <c r="D8">
        <v>2688</v>
      </c>
      <c r="E8">
        <v>-1.47626135229562E-2</v>
      </c>
      <c r="F8">
        <v>4558</v>
      </c>
      <c r="G8">
        <v>-1.48770121037935E-2</v>
      </c>
      <c r="H8">
        <v>2688</v>
      </c>
      <c r="I8">
        <v>-1.48435750935683E-2</v>
      </c>
      <c r="J8">
        <v>4558</v>
      </c>
      <c r="K8">
        <v>-1.4877010432988801E-2</v>
      </c>
      <c r="L8" s="3">
        <f>(Mortar[[#This Row],[disp_t3]]--0.0145666666666666)/-0.0145666666666666</f>
        <v>1.3451729264732372E-2</v>
      </c>
      <c r="M8" s="3">
        <f>(Mortar[[#This Row],[disp_t6]]--0.0145666666666666)/-0.0145666666666666</f>
        <v>2.1305178750130584E-2</v>
      </c>
      <c r="N8" s="3">
        <f>(Mortar[[#This Row],[disp_q4]]--0.0145666666666666)/-0.0145666666666666</f>
        <v>1.9009731823915476E-2</v>
      </c>
      <c r="O8" s="3">
        <f>(Mortar[[#This Row],[disp_q8]]--0.0145666666666666)/-0.0145666666666666</f>
        <v>2.1305064049579131E-2</v>
      </c>
    </row>
    <row r="9" spans="1:15" x14ac:dyDescent="0.3">
      <c r="A9">
        <v>20</v>
      </c>
      <c r="B9">
        <v>13</v>
      </c>
      <c r="C9">
        <f>Mortar[[#This Row],[nxi]]*3</f>
        <v>39</v>
      </c>
      <c r="D9">
        <v>2352</v>
      </c>
      <c r="E9">
        <v>-1.47221479902368E-2</v>
      </c>
      <c r="F9">
        <v>3978</v>
      </c>
      <c r="G9">
        <v>-1.48671258269175E-2</v>
      </c>
      <c r="H9">
        <v>2352</v>
      </c>
      <c r="I9">
        <v>-1.48227880354634E-2</v>
      </c>
      <c r="J9">
        <v>3978</v>
      </c>
      <c r="K9">
        <v>-1.48671225430216E-2</v>
      </c>
      <c r="L9" s="3">
        <f>(Mortar[[#This Row],[disp_t3]]--0.0145666666666666)/-0.0145666666666666</f>
        <v>1.0673775073469217E-2</v>
      </c>
      <c r="M9" s="3">
        <f>(Mortar[[#This Row],[disp_t6]]--0.0145666666666666)/-0.0145666666666666</f>
        <v>2.0626486973746128E-2</v>
      </c>
      <c r="N9" s="3">
        <f>(Mortar[[#This Row],[disp_q4]]--0.0145666666666666)/-0.0145666666666666</f>
        <v>1.7582702663395972E-2</v>
      </c>
      <c r="O9" s="3">
        <f>(Mortar[[#This Row],[disp_q8]]--0.0145666666666666)/-0.0145666666666666</f>
        <v>2.0626261534668323E-2</v>
      </c>
    </row>
    <row r="10" spans="1:15" x14ac:dyDescent="0.3">
      <c r="A10">
        <v>20</v>
      </c>
      <c r="B10">
        <v>11</v>
      </c>
      <c r="C10">
        <f>Mortar[[#This Row],[nxi]]*3</f>
        <v>33</v>
      </c>
      <c r="D10">
        <v>2016</v>
      </c>
      <c r="E10">
        <v>-1.4660994303161E-2</v>
      </c>
      <c r="F10">
        <v>3398</v>
      </c>
      <c r="G10">
        <v>-1.48536032576578E-2</v>
      </c>
      <c r="H10">
        <v>2016</v>
      </c>
      <c r="I10">
        <v>-1.47920274398069E-2</v>
      </c>
      <c r="J10">
        <v>3398</v>
      </c>
      <c r="K10">
        <v>-1.48535986374362E-2</v>
      </c>
      <c r="L10" s="3">
        <f>(Mortar[[#This Row],[disp_t3]]--0.0145666666666666)/-0.0145666666666666</f>
        <v>6.4755814527048729E-3</v>
      </c>
      <c r="M10" s="3">
        <f>(Mortar[[#This Row],[disp_t6]]--0.0145666666666666)/-0.0145666666666666</f>
        <v>1.9698164141272418E-2</v>
      </c>
      <c r="N10" s="3">
        <f>(Mortar[[#This Row],[disp_q4]]--0.0145666666666666)/-0.0145666666666666</f>
        <v>1.5470991291096243E-2</v>
      </c>
      <c r="O10" s="3">
        <f>(Mortar[[#This Row],[disp_q8]]--0.0145666666666666)/-0.0145666666666666</f>
        <v>1.9697846963588249E-2</v>
      </c>
    </row>
    <row r="11" spans="1:15" x14ac:dyDescent="0.3">
      <c r="A11">
        <v>20</v>
      </c>
      <c r="B11">
        <v>9</v>
      </c>
      <c r="C11">
        <f>Mortar[[#This Row],[nxi]]*3</f>
        <v>27</v>
      </c>
      <c r="D11">
        <v>1680</v>
      </c>
      <c r="E11">
        <v>-1.4561569767007799E-2</v>
      </c>
      <c r="F11">
        <v>2818</v>
      </c>
      <c r="G11">
        <v>-1.48339249540352E-2</v>
      </c>
      <c r="H11">
        <v>1680</v>
      </c>
      <c r="I11">
        <v>-1.47427693584563E-2</v>
      </c>
      <c r="J11">
        <v>2818</v>
      </c>
      <c r="K11">
        <v>-1.48339207704826E-2</v>
      </c>
      <c r="L11" s="3">
        <f>(Mortar[[#This Row],[disp_t3]]--0.0145666666666666)/-0.0145666666666666</f>
        <v>-3.4990157840733495E-4</v>
      </c>
      <c r="M11" s="3">
        <f>(Mortar[[#This Row],[disp_t6]]--0.0145666666666666)/-0.0145666666666666</f>
        <v>1.8347250849103096E-2</v>
      </c>
      <c r="N11" s="3">
        <f>(Mortar[[#This Row],[disp_q4]]--0.0145666666666666)/-0.0145666666666666</f>
        <v>1.2089429642313632E-2</v>
      </c>
      <c r="O11" s="3">
        <f>(Mortar[[#This Row],[disp_q8]]--0.0145666666666666)/-0.0145666666666666</f>
        <v>1.8346963648695785E-2</v>
      </c>
    </row>
    <row r="12" spans="1:15" x14ac:dyDescent="0.3">
      <c r="A12">
        <v>20</v>
      </c>
      <c r="B12">
        <v>8</v>
      </c>
      <c r="C12">
        <f>Mortar[[#This Row],[nxi]]*3</f>
        <v>24</v>
      </c>
      <c r="D12">
        <v>1512</v>
      </c>
      <c r="E12">
        <v>-1.44864786102517E-2</v>
      </c>
      <c r="F12">
        <v>2528</v>
      </c>
      <c r="G12">
        <v>-1.48202595733478E-2</v>
      </c>
      <c r="H12">
        <v>1512</v>
      </c>
      <c r="I12">
        <v>-1.4705688723690999E-2</v>
      </c>
      <c r="J12">
        <v>2528</v>
      </c>
      <c r="K12">
        <v>-1.48202578988314E-2</v>
      </c>
      <c r="L12" s="3">
        <f>(Mortar[[#This Row],[disp_t3]]--0.0145666666666666)/-0.0145666666666666</f>
        <v>-5.5049008980480067E-3</v>
      </c>
      <c r="M12" s="3">
        <f>(Mortar[[#This Row],[disp_t6]]--0.0145666666666666)/-0.0145666666666666</f>
        <v>1.7409124028457814E-2</v>
      </c>
      <c r="N12" s="3">
        <f>(Mortar[[#This Row],[disp_q4]]--0.0145666666666666)/-0.0145666666666666</f>
        <v>9.5438483083112487E-3</v>
      </c>
      <c r="O12" s="3">
        <f>(Mortar[[#This Row],[disp_q8]]--0.0145666666666666)/-0.0145666666666666</f>
        <v>1.7409009073098509E-2</v>
      </c>
    </row>
    <row r="13" spans="1:15" x14ac:dyDescent="0.3">
      <c r="A13">
        <v>20</v>
      </c>
      <c r="B13">
        <v>7</v>
      </c>
      <c r="C13">
        <f>Mortar[[#This Row],[nxi]]*3</f>
        <v>21</v>
      </c>
      <c r="D13">
        <v>1344</v>
      </c>
      <c r="E13">
        <v>-1.4383070638010699E-2</v>
      </c>
      <c r="F13">
        <v>2238</v>
      </c>
      <c r="G13">
        <v>-1.48025121175688E-2</v>
      </c>
      <c r="H13">
        <v>1344</v>
      </c>
      <c r="I13">
        <v>-1.4654336680294099E-2</v>
      </c>
      <c r="J13">
        <v>2238</v>
      </c>
      <c r="K13">
        <v>-1.48025171109152E-2</v>
      </c>
      <c r="L13" s="3">
        <f>(Mortar[[#This Row],[disp_t3]]--0.0145666666666666)/-0.0145666666666666</f>
        <v>-1.2603846360816991E-2</v>
      </c>
      <c r="M13" s="3">
        <f>(Mortar[[#This Row],[disp_t6]]--0.0145666666666666)/-0.0145666666666666</f>
        <v>1.6190763219830817E-2</v>
      </c>
      <c r="N13" s="3">
        <f>(Mortar[[#This Row],[disp_q4]]--0.0145666666666666)/-0.0145666666666666</f>
        <v>6.0185364046338903E-3</v>
      </c>
      <c r="O13" s="3">
        <f>(Mortar[[#This Row],[disp_q8]]--0.0145666666666666)/-0.0145666666666666</f>
        <v>1.6191106012489825E-2</v>
      </c>
    </row>
    <row r="14" spans="1:15" x14ac:dyDescent="0.3">
      <c r="A14">
        <v>20</v>
      </c>
      <c r="B14">
        <v>6</v>
      </c>
      <c r="C14">
        <f>Mortar[[#This Row],[nxi]]*3</f>
        <v>18</v>
      </c>
      <c r="D14">
        <v>1176</v>
      </c>
      <c r="E14">
        <v>-1.42355008111981E-2</v>
      </c>
      <c r="F14">
        <v>1948</v>
      </c>
      <c r="G14">
        <v>-1.4778559777009599E-2</v>
      </c>
      <c r="H14">
        <v>1176</v>
      </c>
      <c r="I14">
        <v>-1.4579841337155E-2</v>
      </c>
      <c r="J14">
        <v>1948</v>
      </c>
      <c r="K14">
        <v>-1.4778582001764301E-2</v>
      </c>
      <c r="L14" s="3">
        <f>(Mortar[[#This Row],[disp_t3]]--0.0145666666666666)/-0.0145666666666666</f>
        <v>-2.2734498087082448E-2</v>
      </c>
      <c r="M14" s="3">
        <f>(Mortar[[#This Row],[disp_t6]]--0.0145666666666666)/-0.0145666666666666</f>
        <v>1.4546437780984037E-2</v>
      </c>
      <c r="N14" s="3">
        <f>(Mortar[[#This Row],[disp_q4]]--0.0145666666666666)/-0.0145666666666666</f>
        <v>9.0443962162932152E-4</v>
      </c>
      <c r="O14" s="3">
        <f>(Mortar[[#This Row],[disp_q8]]--0.0145666666666666)/-0.0145666666666666</f>
        <v>1.4547963507851418E-2</v>
      </c>
    </row>
    <row r="15" spans="1:15" x14ac:dyDescent="0.3">
      <c r="A15">
        <v>20</v>
      </c>
      <c r="B15">
        <v>5</v>
      </c>
      <c r="C15">
        <f>Mortar[[#This Row],[nxi]]*3</f>
        <v>15</v>
      </c>
      <c r="D15">
        <v>1008</v>
      </c>
      <c r="E15">
        <v>-1.4016150427233901E-2</v>
      </c>
      <c r="F15">
        <v>1658</v>
      </c>
      <c r="G15">
        <v>-1.47446158592466E-2</v>
      </c>
      <c r="H15">
        <v>1008</v>
      </c>
      <c r="I15">
        <v>-1.44652098293836E-2</v>
      </c>
      <c r="J15">
        <v>1658</v>
      </c>
      <c r="K15">
        <v>-1.4744681680958899E-2</v>
      </c>
      <c r="L15" s="3">
        <f>(Mortar[[#This Row],[disp_t3]]--0.0145666666666666)/-0.0145666666666666</f>
        <v>-3.7792876848926849E-2</v>
      </c>
      <c r="M15" s="3">
        <f>(Mortar[[#This Row],[disp_t6]]--0.0145666666666666)/-0.0145666666666666</f>
        <v>1.2216191710297589E-2</v>
      </c>
      <c r="N15" s="3">
        <f>(Mortar[[#This Row],[disp_q4]]--0.0145666666666666)/-0.0145666666666666</f>
        <v>-6.9650002711441729E-3</v>
      </c>
      <c r="O15" s="3">
        <f>(Mortar[[#This Row],[disp_q8]]--0.0145666666666666)/-0.0145666666666666</f>
        <v>1.2220710363315852E-2</v>
      </c>
    </row>
    <row r="16" spans="1:15" x14ac:dyDescent="0.3">
      <c r="A16">
        <v>20</v>
      </c>
      <c r="B16">
        <v>4</v>
      </c>
      <c r="C16">
        <f>Mortar[[#This Row],[nxi]]*3</f>
        <v>12</v>
      </c>
      <c r="D16">
        <v>840</v>
      </c>
      <c r="E16">
        <v>-1.36756503682216E-2</v>
      </c>
      <c r="F16">
        <v>1368</v>
      </c>
      <c r="G16">
        <v>-1.4693503991711499E-2</v>
      </c>
      <c r="H16">
        <v>840</v>
      </c>
      <c r="I16">
        <v>-1.42749828156759E-2</v>
      </c>
      <c r="J16">
        <v>1368</v>
      </c>
      <c r="K16">
        <v>-1.46937056664137E-2</v>
      </c>
      <c r="L16" s="3">
        <f>(Mortar[[#This Row],[disp_t3]]--0.0145666666666666)/-0.0145666666666666</f>
        <v>-6.1168166941304586E-2</v>
      </c>
      <c r="M16" s="3">
        <f>(Mortar[[#This Row],[disp_t6]]--0.0145666666666666)/-0.0145666666666666</f>
        <v>8.7073678520526825E-3</v>
      </c>
      <c r="N16" s="3">
        <f>(Mortar[[#This Row],[disp_q4]]--0.0145666666666666)/-0.0145666666666666</f>
        <v>-2.0024062997073249E-2</v>
      </c>
      <c r="O16" s="3">
        <f>(Mortar[[#This Row],[disp_q8]]--0.0145666666666666)/-0.0145666666666666</f>
        <v>8.72121279728383E-3</v>
      </c>
    </row>
    <row r="17" spans="1:15" x14ac:dyDescent="0.3">
      <c r="A17">
        <v>20</v>
      </c>
      <c r="B17">
        <v>3</v>
      </c>
      <c r="C17">
        <f>Mortar[[#This Row],[nxi]]*3</f>
        <v>9</v>
      </c>
      <c r="D17">
        <v>672</v>
      </c>
      <c r="E17">
        <v>-1.31285478922719E-2</v>
      </c>
      <c r="F17">
        <v>1078</v>
      </c>
      <c r="G17">
        <v>-1.46115587562954E-2</v>
      </c>
      <c r="H17">
        <v>672</v>
      </c>
      <c r="I17">
        <v>-1.39282736982685E-2</v>
      </c>
      <c r="J17">
        <v>1078</v>
      </c>
      <c r="K17">
        <v>-1.46122090753557E-2</v>
      </c>
      <c r="L17" s="3">
        <f>(Mortar[[#This Row],[disp_t3]]--0.0145666666666666)/-0.0145666666666666</f>
        <v>-9.8726689317714403E-2</v>
      </c>
      <c r="M17" s="3">
        <f>(Mortar[[#This Row],[disp_t6]]--0.0145666666666666)/-0.0145666666666666</f>
        <v>3.0818368166224681E-3</v>
      </c>
      <c r="N17" s="3">
        <f>(Mortar[[#This Row],[disp_q4]]--0.0145666666666666)/-0.0145666666666666</f>
        <v>-4.3825604237855989E-2</v>
      </c>
      <c r="O17" s="3">
        <f>(Mortar[[#This Row],[disp_q8]]--0.0145666666666666)/-0.0145666666666666</f>
        <v>3.1264811457048726E-3</v>
      </c>
    </row>
    <row r="18" spans="1:15" x14ac:dyDescent="0.3">
      <c r="A18">
        <v>20</v>
      </c>
      <c r="B18">
        <v>2</v>
      </c>
      <c r="C18">
        <f>Mortar[[#This Row],[nxi]]*3</f>
        <v>6</v>
      </c>
      <c r="D18">
        <v>504</v>
      </c>
      <c r="E18">
        <v>-1.22752567915095E-2</v>
      </c>
      <c r="F18">
        <v>788</v>
      </c>
      <c r="G18">
        <v>-1.44899140233643E-2</v>
      </c>
      <c r="H18">
        <v>504</v>
      </c>
      <c r="I18">
        <v>-1.32427577448884E-2</v>
      </c>
      <c r="J18">
        <v>788</v>
      </c>
      <c r="K18">
        <v>-1.4493116500173001E-2</v>
      </c>
      <c r="L18" s="3">
        <f>(Mortar[[#This Row],[disp_t3]]--0.0145666666666666)/-0.0145666666666666</f>
        <v>-0.15730502575449265</v>
      </c>
      <c r="M18" s="3">
        <f>(Mortar[[#This Row],[disp_t6]]--0.0145666666666666)/-0.0145666666666666</f>
        <v>-5.2690601809359302E-3</v>
      </c>
      <c r="N18" s="3">
        <f>(Mortar[[#This Row],[disp_q4]]--0.0145666666666666)/-0.0145666666666666</f>
        <v>-9.0886196003080469E-2</v>
      </c>
      <c r="O18" s="3">
        <f>(Mortar[[#This Row],[disp_q8]]--0.0145666666666666)/-0.0145666666666666</f>
        <v>-5.0492105144347215E-3</v>
      </c>
    </row>
    <row r="19" spans="1:15" x14ac:dyDescent="0.3">
      <c r="A19">
        <v>15</v>
      </c>
      <c r="B19">
        <v>40</v>
      </c>
      <c r="C19">
        <f>Mortar[[#This Row],[nxi]]*3</f>
        <v>120</v>
      </c>
      <c r="D19">
        <v>5248</v>
      </c>
      <c r="E19">
        <v>-1.48566318175853E-2</v>
      </c>
      <c r="F19">
        <v>8958</v>
      </c>
      <c r="G19">
        <v>-1.4903263014323299E-2</v>
      </c>
      <c r="H19">
        <v>5248</v>
      </c>
      <c r="I19">
        <v>-1.48983316043167E-2</v>
      </c>
      <c r="J19">
        <v>8958</v>
      </c>
      <c r="K19">
        <v>-1.49032868226412E-2</v>
      </c>
      <c r="L19" s="3">
        <f>(Mortar[[#This Row],[disp_t3]]--0.0145666666666666)/-0.0145666666666666</f>
        <v>1.9906074433778179E-2</v>
      </c>
      <c r="M19" s="3">
        <f>(Mortar[[#This Row],[disp_t6]]--0.0145666666666666)/-0.0145666666666666</f>
        <v>2.3107300754464644E-2</v>
      </c>
      <c r="N19" s="3">
        <f>(Mortar[[#This Row],[disp_q4]]--0.0145666666666666)/-0.0145666666666666</f>
        <v>2.2768760021746139E-2</v>
      </c>
      <c r="O19" s="3">
        <f>(Mortar[[#This Row],[disp_q8]]--0.0145666666666666)/-0.0145666666666666</f>
        <v>2.3108935192764447E-2</v>
      </c>
    </row>
    <row r="20" spans="1:15" x14ac:dyDescent="0.3">
      <c r="A20">
        <v>15</v>
      </c>
      <c r="B20">
        <v>34</v>
      </c>
      <c r="C20">
        <f>Mortar[[#This Row],[nxi]]*3</f>
        <v>102</v>
      </c>
      <c r="D20">
        <v>4480</v>
      </c>
      <c r="E20">
        <v>-1.4849780466199799E-2</v>
      </c>
      <c r="F20">
        <v>7638</v>
      </c>
      <c r="G20">
        <v>-1.49016278666863E-2</v>
      </c>
      <c r="H20">
        <v>4480</v>
      </c>
      <c r="I20">
        <v>-1.48948900309123E-2</v>
      </c>
      <c r="J20">
        <v>7638</v>
      </c>
      <c r="K20">
        <v>-1.4901649880633401E-2</v>
      </c>
      <c r="L20" s="3">
        <f>(Mortar[[#This Row],[disp_t3]]--0.0145666666666666)/-0.0145666666666666</f>
        <v>1.9435729945071017E-2</v>
      </c>
      <c r="M20" s="3">
        <f>(Mortar[[#This Row],[disp_t6]]--0.0145666666666666)/-0.0145666666666666</f>
        <v>2.2995048056272446E-2</v>
      </c>
      <c r="N20" s="3">
        <f>(Mortar[[#This Row],[disp_q4]]--0.0145666666666666)/-0.0145666666666666</f>
        <v>2.2532496401306761E-2</v>
      </c>
      <c r="O20" s="3">
        <f>(Mortar[[#This Row],[disp_q8]]--0.0145666666666666)/-0.0145666666666666</f>
        <v>2.2996559311222169E-2</v>
      </c>
    </row>
    <row r="21" spans="1:15" x14ac:dyDescent="0.3">
      <c r="A21">
        <v>15</v>
      </c>
      <c r="B21">
        <v>29</v>
      </c>
      <c r="C21">
        <f>Mortar[[#This Row],[nxi]]*3</f>
        <v>87</v>
      </c>
      <c r="D21">
        <v>3840</v>
      </c>
      <c r="E21">
        <v>-1.48403045664206E-2</v>
      </c>
      <c r="F21">
        <v>6538</v>
      </c>
      <c r="G21">
        <v>-1.4899168241823999E-2</v>
      </c>
      <c r="H21">
        <v>3840</v>
      </c>
      <c r="I21">
        <v>-1.48899944483407E-2</v>
      </c>
      <c r="J21">
        <v>6538</v>
      </c>
      <c r="K21">
        <v>-1.4899187972027999E-2</v>
      </c>
      <c r="L21" s="3">
        <f>(Mortar[[#This Row],[disp_t3]]--0.0145666666666666)/-0.0145666666666666</f>
        <v>1.8785210509428048E-2</v>
      </c>
      <c r="M21" s="3">
        <f>(Mortar[[#This Row],[disp_t6]]--0.0145666666666666)/-0.0145666666666666</f>
        <v>2.2826195090897117E-2</v>
      </c>
      <c r="N21" s="3">
        <f>(Mortar[[#This Row],[disp_q4]]--0.0145666666666666)/-0.0145666666666666</f>
        <v>2.2196415217901735E-2</v>
      </c>
      <c r="O21" s="3">
        <f>(Mortar[[#This Row],[disp_q8]]--0.0145666666666666)/-0.0145666666666666</f>
        <v>2.2827549567144265E-2</v>
      </c>
    </row>
    <row r="22" spans="1:15" x14ac:dyDescent="0.3">
      <c r="A22">
        <v>15</v>
      </c>
      <c r="B22">
        <v>24</v>
      </c>
      <c r="C22">
        <f>Mortar[[#This Row],[nxi]]*3</f>
        <v>72</v>
      </c>
      <c r="D22">
        <v>3200</v>
      </c>
      <c r="E22">
        <v>-1.48241008560316E-2</v>
      </c>
      <c r="F22">
        <v>5438</v>
      </c>
      <c r="G22">
        <v>-1.48947472167387E-2</v>
      </c>
      <c r="H22">
        <v>3200</v>
      </c>
      <c r="I22">
        <v>-1.4881467052217099E-2</v>
      </c>
      <c r="J22">
        <v>5438</v>
      </c>
      <c r="K22">
        <v>-1.4894763473234599E-2</v>
      </c>
      <c r="L22" s="3">
        <f>(Mortar[[#This Row],[disp_t3]]--0.0145666666666666)/-0.0145666666666666</f>
        <v>1.7672827645194605E-2</v>
      </c>
      <c r="M22" s="3">
        <f>(Mortar[[#This Row],[disp_t6]]--0.0145666666666666)/-0.0145666666666666</f>
        <v>2.2522692224629423E-2</v>
      </c>
      <c r="N22" s="3">
        <f>(Mortar[[#This Row],[disp_q4]]--0.0145666666666666)/-0.0145666666666666</f>
        <v>2.1611010449691177E-2</v>
      </c>
      <c r="O22" s="3">
        <f>(Mortar[[#This Row],[disp_q8]]--0.0145666666666666)/-0.0145666666666666</f>
        <v>2.2523808231212906E-2</v>
      </c>
    </row>
    <row r="23" spans="1:15" x14ac:dyDescent="0.3">
      <c r="A23">
        <v>15</v>
      </c>
      <c r="B23">
        <v>21</v>
      </c>
      <c r="C23">
        <f>Mortar[[#This Row],[nxi]]*3</f>
        <v>63</v>
      </c>
      <c r="D23">
        <v>2816</v>
      </c>
      <c r="E23">
        <v>-1.4808432396904299E-2</v>
      </c>
      <c r="F23">
        <v>4778</v>
      </c>
      <c r="G23">
        <v>-1.48904496904266E-2</v>
      </c>
      <c r="H23">
        <v>2816</v>
      </c>
      <c r="I23">
        <v>-1.4873188356781799E-2</v>
      </c>
      <c r="J23">
        <v>4778</v>
      </c>
      <c r="K23">
        <v>-1.4890462992184E-2</v>
      </c>
      <c r="L23" s="3">
        <f>(Mortar[[#This Row],[disp_t3]]--0.0145666666666666)/-0.0145666666666666</f>
        <v>1.6597189718835306E-2</v>
      </c>
      <c r="M23" s="3">
        <f>(Mortar[[#This Row],[disp_t6]]--0.0145666666666666)/-0.0145666666666666</f>
        <v>2.2227667535011562E-2</v>
      </c>
      <c r="N23" s="3">
        <f>(Mortar[[#This Row],[disp_q4]]--0.0145666666666666)/-0.0145666666666666</f>
        <v>2.1042678955276981E-2</v>
      </c>
      <c r="O23" s="3">
        <f>(Mortar[[#This Row],[disp_q8]]--0.0145666666666666)/-0.0145666666666666</f>
        <v>2.2228580699135161E-2</v>
      </c>
    </row>
    <row r="24" spans="1:15" x14ac:dyDescent="0.3">
      <c r="A24">
        <v>15</v>
      </c>
      <c r="B24">
        <v>18</v>
      </c>
      <c r="C24">
        <f>Mortar[[#This Row],[nxi]]*3</f>
        <v>54</v>
      </c>
      <c r="D24">
        <v>2432</v>
      </c>
      <c r="E24">
        <v>-1.47847281906001E-2</v>
      </c>
      <c r="F24">
        <v>4118</v>
      </c>
      <c r="G24">
        <v>-1.48841201227988E-2</v>
      </c>
      <c r="H24">
        <v>2432</v>
      </c>
      <c r="I24">
        <v>-1.4860741135355E-2</v>
      </c>
      <c r="J24">
        <v>4118</v>
      </c>
      <c r="K24">
        <v>-1.48841295263122E-2</v>
      </c>
      <c r="L24" s="3">
        <f>(Mortar[[#This Row],[disp_t3]]--0.0145666666666666)/-0.0145666666666666</f>
        <v>1.4969898668203802E-2</v>
      </c>
      <c r="M24" s="3">
        <f>(Mortar[[#This Row],[disp_t6]]--0.0145666666666666)/-0.0145666666666666</f>
        <v>2.179314344156991E-2</v>
      </c>
      <c r="N24" s="3">
        <f>(Mortar[[#This Row],[disp_q4]]--0.0145666666666666)/-0.0145666666666666</f>
        <v>2.0188178628494417E-2</v>
      </c>
      <c r="O24" s="3">
        <f>(Mortar[[#This Row],[disp_q8]]--0.0145666666666666)/-0.0145666666666666</f>
        <v>2.179378899168892E-2</v>
      </c>
    </row>
    <row r="25" spans="1:15" x14ac:dyDescent="0.3">
      <c r="A25">
        <v>15</v>
      </c>
      <c r="B25">
        <v>15</v>
      </c>
      <c r="C25">
        <f>Mortar[[#This Row],[nxi]]*3</f>
        <v>45</v>
      </c>
      <c r="D25">
        <v>2048</v>
      </c>
      <c r="E25">
        <v>-1.47467333008306E-2</v>
      </c>
      <c r="F25">
        <v>3458</v>
      </c>
      <c r="G25">
        <v>-1.4874559817939399E-2</v>
      </c>
      <c r="H25">
        <v>2048</v>
      </c>
      <c r="I25">
        <v>-1.48410791651591E-2</v>
      </c>
      <c r="J25">
        <v>3458</v>
      </c>
      <c r="K25">
        <v>-1.48745640500169E-2</v>
      </c>
      <c r="L25" s="3">
        <f>(Mortar[[#This Row],[disp_t3]]--0.0145666666666666)/-0.0145666666666666</f>
        <v>1.2361553832768962E-2</v>
      </c>
      <c r="M25" s="3">
        <f>(Mortar[[#This Row],[disp_t6]]--0.0145666666666666)/-0.0145666666666666</f>
        <v>2.1136829606828465E-2</v>
      </c>
      <c r="N25" s="3">
        <f>(Mortar[[#This Row],[disp_q4]]--0.0145666666666666)/-0.0145666666666666</f>
        <v>1.8838386624199219E-2</v>
      </c>
      <c r="O25" s="3">
        <f>(Mortar[[#This Row],[disp_q8]]--0.0145666666666666)/-0.0145666666666666</f>
        <v>2.1137120138464686E-2</v>
      </c>
    </row>
    <row r="26" spans="1:15" x14ac:dyDescent="0.3">
      <c r="A26">
        <v>15</v>
      </c>
      <c r="B26">
        <v>13</v>
      </c>
      <c r="C26">
        <f>Mortar[[#This Row],[nxi]]*3</f>
        <v>39</v>
      </c>
      <c r="D26">
        <v>1792</v>
      </c>
      <c r="E26">
        <v>-1.47071811053428E-2</v>
      </c>
      <c r="F26">
        <v>3018</v>
      </c>
      <c r="G26">
        <v>-1.48653205999104E-2</v>
      </c>
      <c r="H26">
        <v>1792</v>
      </c>
      <c r="I26">
        <v>-1.48209477899864E-2</v>
      </c>
      <c r="J26">
        <v>3018</v>
      </c>
      <c r="K26">
        <v>-1.48653205136456E-2</v>
      </c>
      <c r="L26" s="3">
        <f>(Mortar[[#This Row],[disp_t3]]--0.0145666666666666)/-0.0145666666666666</f>
        <v>9.6463001379543355E-3</v>
      </c>
      <c r="M26" s="3">
        <f>(Mortar[[#This Row],[disp_t6]]--0.0145666666666666)/-0.0145666666666666</f>
        <v>2.0502558346256462E-2</v>
      </c>
      <c r="N26" s="3">
        <f>(Mortar[[#This Row],[disp_q4]]--0.0145666666666666)/-0.0145666666666666</f>
        <v>1.7456370021954371E-2</v>
      </c>
      <c r="O26" s="3">
        <f>(Mortar[[#This Row],[disp_q8]]--0.0145666666666666)/-0.0145666666666666</f>
        <v>2.0502552424187755E-2</v>
      </c>
    </row>
    <row r="27" spans="1:15" x14ac:dyDescent="0.3">
      <c r="A27">
        <v>15</v>
      </c>
      <c r="B27">
        <v>11</v>
      </c>
      <c r="C27">
        <f>Mortar[[#This Row],[nxi]]*3</f>
        <v>33</v>
      </c>
      <c r="D27">
        <v>1536</v>
      </c>
      <c r="E27">
        <v>-1.46469778224496E-2</v>
      </c>
      <c r="F27">
        <v>2578</v>
      </c>
      <c r="G27">
        <v>-1.48523465556135E-2</v>
      </c>
      <c r="H27">
        <v>1536</v>
      </c>
      <c r="I27">
        <v>-1.4790747324690399E-2</v>
      </c>
      <c r="J27">
        <v>2578</v>
      </c>
      <c r="K27">
        <v>-1.4852341519375201E-2</v>
      </c>
      <c r="L27" s="3">
        <f>(Mortar[[#This Row],[disp_t3]]--0.0145666666666666)/-0.0145666666666666</f>
        <v>5.5133516555835949E-3</v>
      </c>
      <c r="M27" s="3">
        <f>(Mortar[[#This Row],[disp_t6]]--0.0145666666666666)/-0.0145666666666666</f>
        <v>1.9611891689718691E-2</v>
      </c>
      <c r="N27" s="3">
        <f>(Mortar[[#This Row],[disp_q4]]--0.0145666666666666)/-0.0145666666666666</f>
        <v>1.5383111534814727E-2</v>
      </c>
      <c r="O27" s="3">
        <f>(Mortar[[#This Row],[disp_q8]]--0.0145666666666666)/-0.0145666666666666</f>
        <v>1.9611545952535649E-2</v>
      </c>
    </row>
    <row r="28" spans="1:15" x14ac:dyDescent="0.3">
      <c r="A28">
        <v>15</v>
      </c>
      <c r="B28">
        <v>9</v>
      </c>
      <c r="C28">
        <f>Mortar[[#This Row],[nxi]]*3</f>
        <v>27</v>
      </c>
      <c r="D28">
        <v>1280</v>
      </c>
      <c r="E28">
        <v>-1.4548632008165001E-2</v>
      </c>
      <c r="F28">
        <v>2138</v>
      </c>
      <c r="G28">
        <v>-1.48331019848114E-2</v>
      </c>
      <c r="H28">
        <v>1280</v>
      </c>
      <c r="I28">
        <v>-1.4741939009119799E-2</v>
      </c>
      <c r="J28">
        <v>2138</v>
      </c>
      <c r="K28">
        <v>-1.4833092345316001E-2</v>
      </c>
      <c r="L28" s="3">
        <f>(Mortar[[#This Row],[disp_t3]]--0.0145666666666666)/-0.0145666666666666</f>
        <v>-1.2380772426726951E-3</v>
      </c>
      <c r="M28" s="3">
        <f>(Mortar[[#This Row],[disp_t6]]--0.0145666666666666)/-0.0145666666666666</f>
        <v>1.8290754106050501E-2</v>
      </c>
      <c r="N28" s="3">
        <f>(Mortar[[#This Row],[disp_q4]]--0.0145666666666666)/-0.0145666666666666</f>
        <v>1.2032426255368484E-2</v>
      </c>
      <c r="O28" s="3">
        <f>(Mortar[[#This Row],[disp_q8]]--0.0145666666666666)/-0.0145666666666666</f>
        <v>1.8290092355794221E-2</v>
      </c>
    </row>
    <row r="29" spans="1:15" x14ac:dyDescent="0.3">
      <c r="A29">
        <v>15</v>
      </c>
      <c r="B29">
        <v>8</v>
      </c>
      <c r="C29">
        <f>Mortar[[#This Row],[nxi]]*3</f>
        <v>24</v>
      </c>
      <c r="D29">
        <v>1152</v>
      </c>
      <c r="E29">
        <v>-1.4474189267911299E-2</v>
      </c>
      <c r="F29">
        <v>1918</v>
      </c>
      <c r="G29">
        <v>-1.4819607697817301E-2</v>
      </c>
      <c r="H29">
        <v>1152</v>
      </c>
      <c r="I29">
        <v>-1.4705039829178699E-2</v>
      </c>
      <c r="J29">
        <v>1918</v>
      </c>
      <c r="K29">
        <v>-1.48195972289387E-2</v>
      </c>
      <c r="L29" s="3">
        <f>(Mortar[[#This Row],[disp_t3]]--0.0145666666666666)/-0.0145666666666666</f>
        <v>-6.3485628436133115E-3</v>
      </c>
      <c r="M29" s="3">
        <f>(Mortar[[#This Row],[disp_t6]]--0.0145666666666666)/-0.0145666666666666</f>
        <v>1.7364372847874319E-2</v>
      </c>
      <c r="N29" s="3">
        <f>(Mortar[[#This Row],[disp_q4]]--0.0145666666666666)/-0.0145666666666666</f>
        <v>9.4993017742860796E-3</v>
      </c>
      <c r="O29" s="3">
        <f>(Mortar[[#This Row],[disp_q8]]--0.0145666666666666)/-0.0145666666666666</f>
        <v>1.7363654160556182E-2</v>
      </c>
    </row>
    <row r="30" spans="1:15" x14ac:dyDescent="0.3">
      <c r="A30">
        <v>15</v>
      </c>
      <c r="B30">
        <v>7</v>
      </c>
      <c r="C30">
        <f>Mortar[[#This Row],[nxi]]*3</f>
        <v>21</v>
      </c>
      <c r="D30">
        <v>1024</v>
      </c>
      <c r="E30">
        <v>-1.4371562998159599E-2</v>
      </c>
      <c r="F30">
        <v>1698</v>
      </c>
      <c r="G30">
        <v>-1.4802000328373701E-2</v>
      </c>
      <c r="H30">
        <v>1024</v>
      </c>
      <c r="I30">
        <v>-1.46538403348393E-2</v>
      </c>
      <c r="J30">
        <v>1698</v>
      </c>
      <c r="K30">
        <v>-1.48019923049301E-2</v>
      </c>
      <c r="L30" s="3">
        <f>(Mortar[[#This Row],[disp_t3]]--0.0145666666666666)/-0.0145666666666666</f>
        <v>-1.3393844519931416E-2</v>
      </c>
      <c r="M30" s="3">
        <f>(Mortar[[#This Row],[disp_t6]]--0.0145666666666666)/-0.0145666666666666</f>
        <v>1.615562895014433E-2</v>
      </c>
      <c r="N30" s="3">
        <f>(Mortar[[#This Row],[disp_q4]]--0.0145666666666666)/-0.0145666666666666</f>
        <v>5.9844623459520147E-3</v>
      </c>
      <c r="O30" s="3">
        <f>(Mortar[[#This Row],[disp_q8]]--0.0145666666666666)/-0.0145666666666666</f>
        <v>1.615507814165917E-2</v>
      </c>
    </row>
    <row r="31" spans="1:15" x14ac:dyDescent="0.3">
      <c r="A31">
        <v>15</v>
      </c>
      <c r="B31">
        <v>6</v>
      </c>
      <c r="C31">
        <f>Mortar[[#This Row],[nxi]]*3</f>
        <v>18</v>
      </c>
      <c r="D31">
        <v>896</v>
      </c>
      <c r="E31">
        <v>-1.4224984954278199E-2</v>
      </c>
      <c r="F31">
        <v>1478</v>
      </c>
      <c r="G31">
        <v>-1.4778157218663299E-2</v>
      </c>
      <c r="H31">
        <v>896</v>
      </c>
      <c r="I31">
        <v>-1.45794694051871E-2</v>
      </c>
      <c r="J31">
        <v>1478</v>
      </c>
      <c r="K31">
        <v>-1.4778161179036801E-2</v>
      </c>
      <c r="L31" s="3">
        <f>(Mortar[[#This Row],[disp_t3]]--0.0145666666666666)/-0.0145666666666666</f>
        <v>-2.345641046144633E-2</v>
      </c>
      <c r="M31" s="3">
        <f>(Mortar[[#This Row],[disp_t6]]--0.0145666666666666)/-0.0145666666666666</f>
        <v>1.4518802196569864E-2</v>
      </c>
      <c r="N31" s="3">
        <f>(Mortar[[#This Row],[disp_q4]]--0.0145666666666666)/-0.0145666666666666</f>
        <v>8.7890653458817033E-4</v>
      </c>
      <c r="O31" s="3">
        <f>(Mortar[[#This Row],[disp_q8]]--0.0145666666666666)/-0.0145666666666666</f>
        <v>1.45190740757576E-2</v>
      </c>
    </row>
    <row r="32" spans="1:15" x14ac:dyDescent="0.3">
      <c r="A32">
        <v>15</v>
      </c>
      <c r="B32">
        <v>5</v>
      </c>
      <c r="C32">
        <f>Mortar[[#This Row],[nxi]]*3</f>
        <v>15</v>
      </c>
      <c r="D32">
        <v>768</v>
      </c>
      <c r="E32">
        <v>-1.4006952823307999E-2</v>
      </c>
      <c r="F32">
        <v>1258</v>
      </c>
      <c r="G32">
        <v>-1.47442930202769E-2</v>
      </c>
      <c r="H32">
        <v>768</v>
      </c>
      <c r="I32">
        <v>-1.44649365468595E-2</v>
      </c>
      <c r="J32">
        <v>1258</v>
      </c>
      <c r="K32">
        <v>-1.47443324263077E-2</v>
      </c>
      <c r="L32" s="3">
        <f>(Mortar[[#This Row],[disp_t3]]--0.0145666666666666)/-0.0145666666666666</f>
        <v>-3.8424291306082548E-2</v>
      </c>
      <c r="M32" s="3">
        <f>(Mortar[[#This Row],[disp_t6]]--0.0145666666666666)/-0.0145666666666666</f>
        <v>1.2194028851965796E-2</v>
      </c>
      <c r="N32" s="3">
        <f>(Mortar[[#This Row],[disp_q4]]--0.0145666666666666)/-0.0145666666666666</f>
        <v>-6.9837610851556063E-3</v>
      </c>
      <c r="O32" s="3">
        <f>(Mortar[[#This Row],[disp_q8]]--0.0145666666666666)/-0.0145666666666666</f>
        <v>1.2196734071471486E-2</v>
      </c>
    </row>
    <row r="33" spans="1:15" x14ac:dyDescent="0.3">
      <c r="A33">
        <v>15</v>
      </c>
      <c r="B33">
        <v>4</v>
      </c>
      <c r="C33">
        <f>Mortar[[#This Row],[nxi]]*3</f>
        <v>12</v>
      </c>
      <c r="D33">
        <v>640</v>
      </c>
      <c r="E33">
        <v>-1.3668257053627699E-2</v>
      </c>
      <c r="F33">
        <v>1038</v>
      </c>
      <c r="G33">
        <v>-1.4693235577578999E-2</v>
      </c>
      <c r="H33">
        <v>640</v>
      </c>
      <c r="I33">
        <v>-1.4274789229004501E-2</v>
      </c>
      <c r="J33">
        <v>1038</v>
      </c>
      <c r="K33">
        <v>-1.46934033881329E-2</v>
      </c>
      <c r="L33" s="3">
        <f>(Mortar[[#This Row],[disp_t3]]--0.0145666666666666)/-0.0145666666666666</f>
        <v>-6.1675717142258883E-2</v>
      </c>
      <c r="M33" s="3">
        <f>(Mortar[[#This Row],[disp_t6]]--0.0145666666666666)/-0.0145666666666666</f>
        <v>8.688941252567535E-3</v>
      </c>
      <c r="N33" s="3">
        <f>(Mortar[[#This Row],[disp_q4]]--0.0145666666666666)/-0.0145666666666666</f>
        <v>-2.0037352699915335E-2</v>
      </c>
      <c r="O33" s="3">
        <f>(Mortar[[#This Row],[disp_q8]]--0.0145666666666666)/-0.0145666666666666</f>
        <v>8.7004614278925196E-3</v>
      </c>
    </row>
    <row r="34" spans="1:15" x14ac:dyDescent="0.3">
      <c r="A34">
        <v>15</v>
      </c>
      <c r="B34">
        <v>3</v>
      </c>
      <c r="C34">
        <f>Mortar[[#This Row],[nxi]]*3</f>
        <v>9</v>
      </c>
      <c r="D34">
        <v>512</v>
      </c>
      <c r="E34">
        <v>-1.31235740192015E-2</v>
      </c>
      <c r="F34">
        <v>818</v>
      </c>
      <c r="G34">
        <v>-1.46113206010446E-2</v>
      </c>
      <c r="H34">
        <v>512</v>
      </c>
      <c r="I34">
        <v>-1.39281476276537E-2</v>
      </c>
      <c r="J34">
        <v>818</v>
      </c>
      <c r="K34">
        <v>-1.46119001344839E-2</v>
      </c>
      <c r="L34" s="3">
        <f>(Mortar[[#This Row],[disp_t3]]--0.0145666666666666)/-0.0145666666666666</f>
        <v>-9.9068145134904265E-2</v>
      </c>
      <c r="M34" s="3">
        <f>(Mortar[[#This Row],[disp_t6]]--0.0145666666666666)/-0.0145666666666666</f>
        <v>3.0654874859039538E-3</v>
      </c>
      <c r="N34" s="3">
        <f>(Mortar[[#This Row],[disp_q4]]--0.0145666666666666)/-0.0145666666666666</f>
        <v>-4.3834258971137463E-2</v>
      </c>
      <c r="O34" s="3">
        <f>(Mortar[[#This Row],[disp_q8]]--0.0145666666666666)/-0.0145666666666666</f>
        <v>3.1052723902037409E-3</v>
      </c>
    </row>
    <row r="35" spans="1:15" x14ac:dyDescent="0.3">
      <c r="A35">
        <v>15</v>
      </c>
      <c r="B35">
        <v>2</v>
      </c>
      <c r="C35">
        <f>Mortar[[#This Row],[nxi]]*3</f>
        <v>6</v>
      </c>
      <c r="D35">
        <v>384</v>
      </c>
      <c r="E35">
        <v>-1.22730556731789E-2</v>
      </c>
      <c r="F35">
        <v>598</v>
      </c>
      <c r="G35">
        <v>-1.4489626754392901E-2</v>
      </c>
      <c r="H35">
        <v>384</v>
      </c>
      <c r="I35">
        <v>-1.32426666892854E-2</v>
      </c>
      <c r="J35">
        <v>598</v>
      </c>
      <c r="K35">
        <v>-1.4492800339748899E-2</v>
      </c>
      <c r="L35" s="3">
        <f>(Mortar[[#This Row],[disp_t3]]--0.0145666666666666)/-0.0145666666666666</f>
        <v>-0.15745613227604419</v>
      </c>
      <c r="M35" s="3">
        <f>(Mortar[[#This Row],[disp_t6]]--0.0145666666666666)/-0.0145666666666666</f>
        <v>-5.2887811629541565E-3</v>
      </c>
      <c r="N35" s="3">
        <f>(Mortar[[#This Row],[disp_q4]]--0.0145666666666666)/-0.0145666666666666</f>
        <v>-9.0892446959808179E-2</v>
      </c>
      <c r="O35" s="3">
        <f>(Mortar[[#This Row],[disp_q8]]--0.0145666666666666)/-0.0145666666666666</f>
        <v>-5.070914891375314E-3</v>
      </c>
    </row>
    <row r="36" spans="1:15" x14ac:dyDescent="0.3">
      <c r="A36">
        <v>11</v>
      </c>
      <c r="B36">
        <v>40</v>
      </c>
      <c r="C36">
        <f>Mortar[[#This Row],[nxi]]*3</f>
        <v>120</v>
      </c>
      <c r="D36">
        <v>3936</v>
      </c>
      <c r="E36">
        <v>-1.4817549531614E-2</v>
      </c>
      <c r="F36">
        <v>6678</v>
      </c>
      <c r="G36">
        <v>-1.48916841138725E-2</v>
      </c>
      <c r="H36">
        <v>3936</v>
      </c>
      <c r="I36">
        <v>-1.48866351681004E-2</v>
      </c>
      <c r="J36">
        <v>6678</v>
      </c>
      <c r="K36">
        <v>-1.4891748504142399E-2</v>
      </c>
      <c r="L36" s="3">
        <f>(Mortar[[#This Row],[disp_t3]]--0.0145666666666666)/-0.0145666666666666</f>
        <v>1.7223079973505872E-2</v>
      </c>
      <c r="M36" s="3">
        <f>(Mortar[[#This Row],[disp_t6]]--0.0145666666666666)/-0.0145666666666666</f>
        <v>2.2312410563334276E-2</v>
      </c>
      <c r="N36" s="3">
        <f>(Mortar[[#This Row],[disp_q4]]--0.0145666666666666)/-0.0145666666666666</f>
        <v>2.1965801013762189E-2</v>
      </c>
      <c r="O36" s="3">
        <f>(Mortar[[#This Row],[disp_q8]]--0.0145666666666666)/-0.0145666666666666</f>
        <v>2.2316830947995536E-2</v>
      </c>
    </row>
    <row r="37" spans="1:15" x14ac:dyDescent="0.3">
      <c r="A37">
        <v>11</v>
      </c>
      <c r="B37">
        <v>34</v>
      </c>
      <c r="C37">
        <f>Mortar[[#This Row],[nxi]]*3</f>
        <v>102</v>
      </c>
      <c r="D37">
        <v>3360</v>
      </c>
      <c r="E37">
        <v>-1.48112819699687E-2</v>
      </c>
      <c r="F37">
        <v>5694</v>
      </c>
      <c r="G37">
        <v>-1.48905344228491E-2</v>
      </c>
      <c r="H37">
        <v>3360</v>
      </c>
      <c r="I37">
        <v>-1.48836839859595E-2</v>
      </c>
      <c r="J37">
        <v>5694</v>
      </c>
      <c r="K37">
        <v>-1.489059672159E-2</v>
      </c>
      <c r="L37" s="3">
        <f>(Mortar[[#This Row],[disp_t3]]--0.0145666666666666)/-0.0145666666666666</f>
        <v>1.6792812583668309E-2</v>
      </c>
      <c r="M37" s="3">
        <f>(Mortar[[#This Row],[disp_t6]]--0.0145666666666666)/-0.0145666666666666</f>
        <v>2.2233484406121422E-2</v>
      </c>
      <c r="N37" s="3">
        <f>(Mortar[[#This Row],[disp_q4]]--0.0145666666666666)/-0.0145666666666666</f>
        <v>2.1763202697453219E-2</v>
      </c>
      <c r="O37" s="3">
        <f>(Mortar[[#This Row],[disp_q8]]--0.0145666666666666)/-0.0145666666666666</f>
        <v>2.2237761207556231E-2</v>
      </c>
    </row>
    <row r="38" spans="1:15" x14ac:dyDescent="0.3">
      <c r="A38">
        <v>11</v>
      </c>
      <c r="B38">
        <v>29</v>
      </c>
      <c r="C38">
        <f>Mortar[[#This Row],[nxi]]*3</f>
        <v>87</v>
      </c>
      <c r="D38">
        <v>2880</v>
      </c>
      <c r="E38">
        <v>-1.48027883860254E-2</v>
      </c>
      <c r="F38">
        <v>4874</v>
      </c>
      <c r="G38">
        <v>-1.4888926529661501E-2</v>
      </c>
      <c r="H38">
        <v>2880</v>
      </c>
      <c r="I38">
        <v>-1.4879646273891401E-2</v>
      </c>
      <c r="J38">
        <v>4874</v>
      </c>
      <c r="K38">
        <v>-1.48889858293497E-2</v>
      </c>
      <c r="L38" s="3">
        <f>(Mortar[[#This Row],[disp_t3]]--0.0145666666666666)/-0.0145666666666666</f>
        <v>1.6209729017766704E-2</v>
      </c>
      <c r="M38" s="3">
        <f>(Mortar[[#This Row],[disp_t6]]--0.0145666666666666)/-0.0145666666666666</f>
        <v>2.2123102722762206E-2</v>
      </c>
      <c r="N38" s="3">
        <f>(Mortar[[#This Row],[disp_q4]]--0.0145666666666666)/-0.0145666666666666</f>
        <v>2.1486014225959003E-2</v>
      </c>
      <c r="O38" s="3">
        <f>(Mortar[[#This Row],[disp_q8]]--0.0145666666666666)/-0.0145666666666666</f>
        <v>2.212717363957226E-2</v>
      </c>
    </row>
    <row r="39" spans="1:15" x14ac:dyDescent="0.3">
      <c r="A39">
        <v>11</v>
      </c>
      <c r="B39">
        <v>24</v>
      </c>
      <c r="C39">
        <f>Mortar[[#This Row],[nxi]]*3</f>
        <v>72</v>
      </c>
      <c r="D39">
        <v>2400</v>
      </c>
      <c r="E39">
        <v>-1.4788289721158599E-2</v>
      </c>
      <c r="F39">
        <v>4054</v>
      </c>
      <c r="G39">
        <v>-1.4885994846659501E-2</v>
      </c>
      <c r="H39">
        <v>2400</v>
      </c>
      <c r="I39">
        <v>-1.4872617579591799E-2</v>
      </c>
      <c r="J39">
        <v>4054</v>
      </c>
      <c r="K39">
        <v>-1.4886048960169601E-2</v>
      </c>
      <c r="L39" s="3">
        <f>(Mortar[[#This Row],[disp_t3]]--0.0145666666666666)/-0.0145666666666666</f>
        <v>1.5214397333546988E-2</v>
      </c>
      <c r="M39" s="3">
        <f>(Mortar[[#This Row],[disp_t6]]--0.0145666666666666)/-0.0145666666666666</f>
        <v>2.1921843020107752E-2</v>
      </c>
      <c r="N39" s="3">
        <f>(Mortar[[#This Row],[disp_q4]]--0.0145666666666666)/-0.0145666666666666</f>
        <v>2.1003495166489798E-2</v>
      </c>
      <c r="O39" s="3">
        <f>(Mortar[[#This Row],[disp_q8]]--0.0145666666666666)/-0.0145666666666666</f>
        <v>2.1925557906384639E-2</v>
      </c>
    </row>
    <row r="40" spans="1:15" x14ac:dyDescent="0.3">
      <c r="A40">
        <v>11</v>
      </c>
      <c r="B40">
        <v>21</v>
      </c>
      <c r="C40">
        <f>Mortar[[#This Row],[nxi]]*3</f>
        <v>63</v>
      </c>
      <c r="D40">
        <v>2112</v>
      </c>
      <c r="E40">
        <v>-1.4774095903386001E-2</v>
      </c>
      <c r="F40">
        <v>3562</v>
      </c>
      <c r="G40">
        <v>-1.48829673411363E-2</v>
      </c>
      <c r="H40">
        <v>2112</v>
      </c>
      <c r="I40">
        <v>-1.48656171011211E-2</v>
      </c>
      <c r="J40">
        <v>3562</v>
      </c>
      <c r="K40">
        <v>-1.4883016522945301E-2</v>
      </c>
      <c r="L40" s="3">
        <f>(Mortar[[#This Row],[disp_t3]]--0.0145666666666666)/-0.0145666666666666</f>
        <v>1.4239993367464687E-2</v>
      </c>
      <c r="M40" s="3">
        <f>(Mortar[[#This Row],[disp_t6]]--0.0145666666666666)/-0.0145666666666666</f>
        <v>2.1714005112336541E-2</v>
      </c>
      <c r="N40" s="3">
        <f>(Mortar[[#This Row],[disp_q4]]--0.0145666666666666)/-0.0145666666666666</f>
        <v>2.0522913120446396E-2</v>
      </c>
      <c r="O40" s="3">
        <f>(Mortar[[#This Row],[disp_q8]]--0.0145666666666666)/-0.0145666666666666</f>
        <v>2.1717381437897209E-2</v>
      </c>
    </row>
    <row r="41" spans="1:15" x14ac:dyDescent="0.3">
      <c r="A41">
        <v>11</v>
      </c>
      <c r="B41">
        <v>18</v>
      </c>
      <c r="C41">
        <f>Mortar[[#This Row],[nxi]]*3</f>
        <v>54</v>
      </c>
      <c r="D41">
        <v>1824</v>
      </c>
      <c r="E41">
        <v>-1.4752238207983499E-2</v>
      </c>
      <c r="F41">
        <v>3070</v>
      </c>
      <c r="G41">
        <v>-1.4878177193396101E-2</v>
      </c>
      <c r="H41">
        <v>1824</v>
      </c>
      <c r="I41">
        <v>-1.48547206797312E-2</v>
      </c>
      <c r="J41">
        <v>3070</v>
      </c>
      <c r="K41">
        <v>-1.4878219236889201E-2</v>
      </c>
      <c r="L41" s="3">
        <f>(Mortar[[#This Row],[disp_t3]]--0.0145666666666666)/-0.0145666666666666</f>
        <v>1.2739465078963445E-2</v>
      </c>
      <c r="M41" s="3">
        <f>(Mortar[[#This Row],[disp_t6]]--0.0145666666666666)/-0.0145666666666666</f>
        <v>2.1385162018043663E-2</v>
      </c>
      <c r="N41" s="3">
        <f>(Mortar[[#This Row],[disp_q4]]--0.0145666666666666)/-0.0145666666666666</f>
        <v>1.9774875038759878E-2</v>
      </c>
      <c r="O41" s="3">
        <f>(Mortar[[#This Row],[disp_q8]]--0.0145666666666666)/-0.0145666666666666</f>
        <v>2.1388048299034523E-2</v>
      </c>
    </row>
    <row r="42" spans="1:15" x14ac:dyDescent="0.3">
      <c r="A42">
        <v>11</v>
      </c>
      <c r="B42">
        <v>15</v>
      </c>
      <c r="C42">
        <f>Mortar[[#This Row],[nxi]]*3</f>
        <v>45</v>
      </c>
      <c r="D42">
        <v>1536</v>
      </c>
      <c r="E42">
        <v>-1.47164476171279E-2</v>
      </c>
      <c r="F42">
        <v>2578</v>
      </c>
      <c r="G42">
        <v>-1.48703306091194E-2</v>
      </c>
      <c r="H42">
        <v>1536</v>
      </c>
      <c r="I42">
        <v>-1.48367889500807E-2</v>
      </c>
      <c r="J42">
        <v>2578</v>
      </c>
      <c r="K42">
        <v>-1.48703622003113E-2</v>
      </c>
      <c r="L42" s="3">
        <f>(Mortar[[#This Row],[disp_t3]]--0.0145666666666666)/-0.0145666666666666</f>
        <v>1.0282445111759797E-2</v>
      </c>
      <c r="M42" s="3">
        <f>(Mortar[[#This Row],[disp_t6]]--0.0145666666666666)/-0.0145666666666666</f>
        <v>2.0846494905226689E-2</v>
      </c>
      <c r="N42" s="3">
        <f>(Mortar[[#This Row],[disp_q4]]--0.0145666666666666)/-0.0145666666666666</f>
        <v>1.8543863849938343E-2</v>
      </c>
      <c r="O42" s="3">
        <f>(Mortar[[#This Row],[disp_q8]]--0.0145666666666666)/-0.0145666666666666</f>
        <v>2.0848663636936091E-2</v>
      </c>
    </row>
    <row r="43" spans="1:15" x14ac:dyDescent="0.3">
      <c r="A43">
        <v>11</v>
      </c>
      <c r="B43">
        <v>13</v>
      </c>
      <c r="C43">
        <f>Mortar[[#This Row],[nxi]]*3</f>
        <v>39</v>
      </c>
      <c r="D43">
        <v>1344</v>
      </c>
      <c r="E43">
        <v>-1.46785554914314E-2</v>
      </c>
      <c r="F43">
        <v>2250</v>
      </c>
      <c r="G43">
        <v>-1.4862242084570499E-2</v>
      </c>
      <c r="H43">
        <v>1344</v>
      </c>
      <c r="I43">
        <v>-1.48178238517043E-2</v>
      </c>
      <c r="J43">
        <v>2250</v>
      </c>
      <c r="K43">
        <v>-1.4862264093018201E-2</v>
      </c>
      <c r="L43" s="3">
        <f>(Mortar[[#This Row],[disp_t3]]--0.0145666666666666)/-0.0145666666666666</f>
        <v>7.6811550181785813E-3</v>
      </c>
      <c r="M43" s="3">
        <f>(Mortar[[#This Row],[disp_t6]]--0.0145666666666666)/-0.0145666666666666</f>
        <v>2.029121862040513E-2</v>
      </c>
      <c r="N43" s="3">
        <f>(Mortar[[#This Row],[disp_q4]]--0.0145666666666666)/-0.0145666666666666</f>
        <v>1.7241912016318195E-2</v>
      </c>
      <c r="O43" s="3">
        <f>(Mortar[[#This Row],[disp_q8]]--0.0145666666666666)/-0.0145666666666666</f>
        <v>2.0292729497821706E-2</v>
      </c>
    </row>
    <row r="44" spans="1:15" x14ac:dyDescent="0.3">
      <c r="A44">
        <v>11</v>
      </c>
      <c r="B44">
        <v>11</v>
      </c>
      <c r="C44">
        <f>Mortar[[#This Row],[nxi]]*3</f>
        <v>33</v>
      </c>
      <c r="D44">
        <v>1152</v>
      </c>
      <c r="E44">
        <v>-1.46201969790848E-2</v>
      </c>
      <c r="F44">
        <v>1922</v>
      </c>
      <c r="G44">
        <v>-1.48503424092527E-2</v>
      </c>
      <c r="H44">
        <v>1152</v>
      </c>
      <c r="I44">
        <v>-1.47887190696319E-2</v>
      </c>
      <c r="J44">
        <v>1922</v>
      </c>
      <c r="K44">
        <v>-1.4850352107673799E-2</v>
      </c>
      <c r="L44" s="3">
        <f>(Mortar[[#This Row],[disp_t3]]--0.0145666666666666)/-0.0145666666666666</f>
        <v>3.6748498227597583E-3</v>
      </c>
      <c r="M44" s="3">
        <f>(Mortar[[#This Row],[disp_t6]]--0.0145666666666666)/-0.0145666666666666</f>
        <v>1.9474307271357127E-2</v>
      </c>
      <c r="N44" s="3">
        <f>(Mortar[[#This Row],[disp_q4]]--0.0145666666666666)/-0.0145666666666666</f>
        <v>1.5243872057114513E-2</v>
      </c>
      <c r="O44" s="3">
        <f>(Mortar[[#This Row],[disp_q8]]--0.0145666666666666)/-0.0145666666666666</f>
        <v>1.9474973066855927E-2</v>
      </c>
    </row>
    <row r="45" spans="1:15" x14ac:dyDescent="0.3">
      <c r="A45">
        <v>11</v>
      </c>
      <c r="B45">
        <v>9</v>
      </c>
      <c r="C45">
        <f>Mortar[[#This Row],[nxi]]*3</f>
        <v>27</v>
      </c>
      <c r="D45">
        <v>960</v>
      </c>
      <c r="E45">
        <v>-1.4524012187517799E-2</v>
      </c>
      <c r="F45">
        <v>1594</v>
      </c>
      <c r="G45">
        <v>-1.4832020918297301E-2</v>
      </c>
      <c r="H45">
        <v>960</v>
      </c>
      <c r="I45">
        <v>-1.47408637835208E-2</v>
      </c>
      <c r="J45">
        <v>1594</v>
      </c>
      <c r="K45">
        <v>-1.4832015499292001E-2</v>
      </c>
      <c r="L45" s="3">
        <f>(Mortar[[#This Row],[disp_t3]]--0.0145666666666666)/-0.0145666666666666</f>
        <v>-2.9282251131899522E-3</v>
      </c>
      <c r="M45" s="3">
        <f>(Mortar[[#This Row],[disp_t6]]--0.0145666666666666)/-0.0145666666666666</f>
        <v>1.821653901354937E-2</v>
      </c>
      <c r="N45" s="3">
        <f>(Mortar[[#This Row],[disp_q4]]--0.0145666666666666)/-0.0145666666666666</f>
        <v>1.1958612141020709E-2</v>
      </c>
      <c r="O45" s="3">
        <f>(Mortar[[#This Row],[disp_q8]]--0.0145666666666666)/-0.0145666666666666</f>
        <v>1.8216166999455545E-2</v>
      </c>
    </row>
    <row r="46" spans="1:15" x14ac:dyDescent="0.3">
      <c r="A46">
        <v>11</v>
      </c>
      <c r="B46">
        <v>8</v>
      </c>
      <c r="C46">
        <f>Mortar[[#This Row],[nxi]]*3</f>
        <v>24</v>
      </c>
      <c r="D46">
        <v>864</v>
      </c>
      <c r="E46">
        <v>-1.44508682834511E-2</v>
      </c>
      <c r="F46">
        <v>1430</v>
      </c>
      <c r="G46">
        <v>-1.48189095011501E-2</v>
      </c>
      <c r="H46">
        <v>864</v>
      </c>
      <c r="I46">
        <v>-1.47043669382904E-2</v>
      </c>
      <c r="J46">
        <v>1430</v>
      </c>
      <c r="K46">
        <v>-1.48188962521688E-2</v>
      </c>
      <c r="L46" s="3">
        <f>(Mortar[[#This Row],[disp_t3]]--0.0145666666666666)/-0.0145666666666666</f>
        <v>-7.9495457585011496E-3</v>
      </c>
      <c r="M46" s="3">
        <f>(Mortar[[#This Row],[disp_t6]]--0.0145666666666666)/-0.0145666666666666</f>
        <v>1.7316441726556223E-2</v>
      </c>
      <c r="N46" s="3">
        <f>(Mortar[[#This Row],[disp_q4]]--0.0145666666666666)/-0.0145666666666666</f>
        <v>9.4531078917941529E-3</v>
      </c>
      <c r="O46" s="3">
        <f>(Mortar[[#This Row],[disp_q8]]--0.0145666666666666)/-0.0145666666666666</f>
        <v>1.7315532185505814E-2</v>
      </c>
    </row>
    <row r="47" spans="1:15" x14ac:dyDescent="0.3">
      <c r="A47">
        <v>11</v>
      </c>
      <c r="B47">
        <v>7</v>
      </c>
      <c r="C47">
        <f>Mortar[[#This Row],[nxi]]*3</f>
        <v>21</v>
      </c>
      <c r="D47">
        <v>768</v>
      </c>
      <c r="E47">
        <v>-1.43497909281352E-2</v>
      </c>
      <c r="F47">
        <v>1266</v>
      </c>
      <c r="G47">
        <v>-1.48016211692087E-2</v>
      </c>
      <c r="H47">
        <v>768</v>
      </c>
      <c r="I47">
        <v>-1.46535096929353E-2</v>
      </c>
      <c r="J47">
        <v>1266</v>
      </c>
      <c r="K47">
        <v>-1.4801601570972199E-2</v>
      </c>
      <c r="L47" s="3">
        <f>(Mortar[[#This Row],[disp_t3]]--0.0145666666666666)/-0.0145666666666666</f>
        <v>-1.4888494636022903E-2</v>
      </c>
      <c r="M47" s="3">
        <f>(Mortar[[#This Row],[disp_t6]]--0.0145666666666666)/-0.0145666666666666</f>
        <v>1.6129599716849092E-2</v>
      </c>
      <c r="N47" s="3">
        <f>(Mortar[[#This Row],[disp_q4]]--0.0145666666666666)/-0.0145666666666666</f>
        <v>5.9617638170732816E-3</v>
      </c>
      <c r="O47" s="3">
        <f>(Mortar[[#This Row],[disp_q8]]--0.0145666666666666)/-0.0145666666666666</f>
        <v>1.6128254300155683E-2</v>
      </c>
    </row>
    <row r="48" spans="1:15" x14ac:dyDescent="0.3">
      <c r="A48">
        <v>11</v>
      </c>
      <c r="B48">
        <v>6</v>
      </c>
      <c r="C48">
        <f>Mortar[[#This Row],[nxi]]*3</f>
        <v>18</v>
      </c>
      <c r="D48">
        <v>672</v>
      </c>
      <c r="E48">
        <v>-1.4205146308573601E-2</v>
      </c>
      <c r="F48">
        <v>1102</v>
      </c>
      <c r="G48">
        <v>-1.4778023569765099E-2</v>
      </c>
      <c r="H48">
        <v>672</v>
      </c>
      <c r="I48">
        <v>-1.4579411599959E-2</v>
      </c>
      <c r="J48">
        <v>1102</v>
      </c>
      <c r="K48">
        <v>-1.4778005053791199E-2</v>
      </c>
      <c r="L48" s="3">
        <f>(Mortar[[#This Row],[disp_t3]]--0.0145666666666666)/-0.0145666666666666</f>
        <v>-2.4818331219199099E-2</v>
      </c>
      <c r="M48" s="3">
        <f>(Mortar[[#This Row],[disp_t6]]--0.0145666666666666)/-0.0145666666666666</f>
        <v>1.4509627215000057E-2</v>
      </c>
      <c r="N48" s="3">
        <f>(Mortar[[#This Row],[disp_q4]]--0.0145666666666666)/-0.0145666666666666</f>
        <v>8.7493821229292783E-4</v>
      </c>
      <c r="O48" s="3">
        <f>(Mortar[[#This Row],[disp_q8]]--0.0145666666666666)/-0.0145666666666666</f>
        <v>1.4508356095510357E-2</v>
      </c>
    </row>
    <row r="49" spans="1:15" x14ac:dyDescent="0.3">
      <c r="A49">
        <v>11</v>
      </c>
      <c r="B49">
        <v>5</v>
      </c>
      <c r="C49">
        <f>Mortar[[#This Row],[nxi]]*3</f>
        <v>15</v>
      </c>
      <c r="D49">
        <v>576</v>
      </c>
      <c r="E49">
        <v>-1.39896339774289E-2</v>
      </c>
      <c r="F49">
        <v>938</v>
      </c>
      <c r="G49">
        <v>-1.4744319481907299E-2</v>
      </c>
      <c r="H49">
        <v>576</v>
      </c>
      <c r="I49">
        <v>-1.44650699169939E-2</v>
      </c>
      <c r="J49">
        <v>938</v>
      </c>
      <c r="K49">
        <v>-1.47443199429246E-2</v>
      </c>
      <c r="L49" s="3">
        <f>(Mortar[[#This Row],[disp_t3]]--0.0145666666666666)/-0.0145666666666666</f>
        <v>-3.9613228094121447E-2</v>
      </c>
      <c r="M49" s="3">
        <f>(Mortar[[#This Row],[disp_t6]]--0.0145666666666666)/-0.0145666666666666</f>
        <v>1.2195845439865042E-2</v>
      </c>
      <c r="N49" s="3">
        <f>(Mortar[[#This Row],[disp_q4]]--0.0145666666666666)/-0.0145666666666666</f>
        <v>-6.974605240688791E-3</v>
      </c>
      <c r="O49" s="3">
        <f>(Mortar[[#This Row],[disp_q8]]--0.0145666666666666)/-0.0145666666666666</f>
        <v>1.2195877088649989E-2</v>
      </c>
    </row>
    <row r="50" spans="1:15" x14ac:dyDescent="0.3">
      <c r="A50">
        <v>11</v>
      </c>
      <c r="B50">
        <v>4</v>
      </c>
      <c r="C50">
        <f>Mortar[[#This Row],[nxi]]*3</f>
        <v>12</v>
      </c>
      <c r="D50">
        <v>480</v>
      </c>
      <c r="E50">
        <v>-1.3654311509815E-2</v>
      </c>
      <c r="F50">
        <v>774</v>
      </c>
      <c r="G50">
        <v>-1.46933213361409E-2</v>
      </c>
      <c r="H50">
        <v>480</v>
      </c>
      <c r="I50">
        <v>-1.4275014409450599E-2</v>
      </c>
      <c r="J50">
        <v>774</v>
      </c>
      <c r="K50">
        <v>-1.46934346322494E-2</v>
      </c>
      <c r="L50" s="3">
        <f>(Mortar[[#This Row],[disp_t3]]--0.0145666666666666)/-0.0145666666666666</f>
        <v>-6.2633077129400722E-2</v>
      </c>
      <c r="M50" s="3">
        <f>(Mortar[[#This Row],[disp_t6]]--0.0145666666666666)/-0.0145666666666666</f>
        <v>8.6948285680298575E-3</v>
      </c>
      <c r="N50" s="3">
        <f>(Mortar[[#This Row],[disp_q4]]--0.0145666666666666)/-0.0145666666666666</f>
        <v>-2.002189408805502E-2</v>
      </c>
      <c r="O50" s="3">
        <f>(Mortar[[#This Row],[disp_q8]]--0.0145666666666666)/-0.0145666666666666</f>
        <v>8.7026063329154451E-3</v>
      </c>
    </row>
    <row r="51" spans="1:15" x14ac:dyDescent="0.3">
      <c r="A51">
        <v>11</v>
      </c>
      <c r="B51">
        <v>3</v>
      </c>
      <c r="C51">
        <f>Mortar[[#This Row],[nxi]]*3</f>
        <v>9</v>
      </c>
      <c r="D51">
        <v>384</v>
      </c>
      <c r="E51">
        <v>-1.31140425100735E-2</v>
      </c>
      <c r="F51">
        <v>610</v>
      </c>
      <c r="G51">
        <v>-1.4611335214201699E-2</v>
      </c>
      <c r="H51">
        <v>384</v>
      </c>
      <c r="I51">
        <v>-1.3928325199193599E-2</v>
      </c>
      <c r="J51">
        <v>610</v>
      </c>
      <c r="K51">
        <v>-1.4611789204554301E-2</v>
      </c>
      <c r="L51" s="3">
        <f>(Mortar[[#This Row],[disp_t3]]--0.0145666666666666)/-0.0145666666666666</f>
        <v>-9.9722482145979813E-2</v>
      </c>
      <c r="M51" s="3">
        <f>(Mortar[[#This Row],[disp_t6]]--0.0145666666666666)/-0.0145666666666666</f>
        <v>3.0664906774668359E-3</v>
      </c>
      <c r="N51" s="3">
        <f>(Mortar[[#This Row],[disp_q4]]--0.0145666666666666)/-0.0145666666666666</f>
        <v>-4.382206870524049E-2</v>
      </c>
      <c r="O51" s="3">
        <f>(Mortar[[#This Row],[disp_q8]]--0.0145666666666666)/-0.0145666666666666</f>
        <v>3.097657063228934E-3</v>
      </c>
    </row>
    <row r="52" spans="1:15" x14ac:dyDescent="0.3">
      <c r="A52">
        <v>11</v>
      </c>
      <c r="B52">
        <v>2</v>
      </c>
      <c r="C52">
        <f>Mortar[[#This Row],[nxi]]*3</f>
        <v>6</v>
      </c>
      <c r="D52">
        <v>288</v>
      </c>
      <c r="E52">
        <v>-1.22684562441366E-2</v>
      </c>
      <c r="F52">
        <v>446</v>
      </c>
      <c r="G52">
        <v>-1.4489322373655999E-2</v>
      </c>
      <c r="H52">
        <v>288</v>
      </c>
      <c r="I52">
        <v>-1.3242556514299E-2</v>
      </c>
      <c r="J52">
        <v>446</v>
      </c>
      <c r="K52">
        <v>-1.4492445019592501E-2</v>
      </c>
      <c r="L52" s="3">
        <f>(Mortar[[#This Row],[disp_t3]]--0.0145666666666666)/-0.0145666666666666</f>
        <v>-0.15777188255354757</v>
      </c>
      <c r="M52" s="3">
        <f>(Mortar[[#This Row],[disp_t6]]--0.0145666666666666)/-0.0145666666666666</f>
        <v>-5.3096768657162844E-3</v>
      </c>
      <c r="N52" s="3">
        <f>(Mortar[[#This Row],[disp_q4]]--0.0145666666666666)/-0.0145666666666666</f>
        <v>-9.0900010460018679E-2</v>
      </c>
      <c r="O52" s="3">
        <f>(Mortar[[#This Row],[disp_q8]]--0.0145666666666666)/-0.0145666666666666</f>
        <v>-5.0953075794575847E-3</v>
      </c>
    </row>
    <row r="53" spans="1:15" x14ac:dyDescent="0.3">
      <c r="A53">
        <v>9</v>
      </c>
      <c r="B53">
        <v>40</v>
      </c>
      <c r="C53">
        <f>Mortar[[#This Row],[nxi]]*3</f>
        <v>120</v>
      </c>
      <c r="D53">
        <v>3280</v>
      </c>
      <c r="E53">
        <v>-1.47822266333362E-2</v>
      </c>
      <c r="F53">
        <v>5538</v>
      </c>
      <c r="G53">
        <v>-1.48852238632516E-2</v>
      </c>
      <c r="H53">
        <v>3280</v>
      </c>
      <c r="I53">
        <v>-1.488008364648E-2</v>
      </c>
      <c r="J53">
        <v>5538</v>
      </c>
      <c r="K53">
        <v>-1.4885339633210801E-2</v>
      </c>
      <c r="L53" s="3">
        <f>(Mortar[[#This Row],[disp_t3]]--0.0145666666666666)/-0.0145666666666666</f>
        <v>1.4798167048256421E-2</v>
      </c>
      <c r="M53" s="3">
        <f>(Mortar[[#This Row],[disp_t6]]--0.0145666666666666)/-0.0145666666666666</f>
        <v>2.186891509736856E-2</v>
      </c>
      <c r="N53" s="3">
        <f>(Mortar[[#This Row],[disp_q4]]--0.0145666666666666)/-0.0145666666666666</f>
        <v>2.1516039804123734E-2</v>
      </c>
      <c r="O53" s="3">
        <f>(Mortar[[#This Row],[disp_q8]]--0.0145666666666666)/-0.0145666666666666</f>
        <v>2.1876862691821701E-2</v>
      </c>
    </row>
    <row r="54" spans="1:15" x14ac:dyDescent="0.3">
      <c r="A54">
        <v>9</v>
      </c>
      <c r="B54">
        <v>34</v>
      </c>
      <c r="C54">
        <f>Mortar[[#This Row],[nxi]]*3</f>
        <v>102</v>
      </c>
      <c r="D54">
        <v>2800</v>
      </c>
      <c r="E54">
        <v>-1.4776113655278301E-2</v>
      </c>
      <c r="F54">
        <v>4722</v>
      </c>
      <c r="G54">
        <v>-1.48841286813988E-2</v>
      </c>
      <c r="H54">
        <v>2800</v>
      </c>
      <c r="I54">
        <v>-1.4877191772480701E-2</v>
      </c>
      <c r="J54">
        <v>4722</v>
      </c>
      <c r="K54">
        <v>-1.4884242768966899E-2</v>
      </c>
      <c r="L54" s="3">
        <f>(Mortar[[#This Row],[disp_t3]]--0.0145666666666666)/-0.0145666666666666</f>
        <v>1.4378511804007033E-2</v>
      </c>
      <c r="M54" s="3">
        <f>(Mortar[[#This Row],[disp_t6]]--0.0145666666666666)/-0.0145666666666666</f>
        <v>2.1793730988480708E-2</v>
      </c>
      <c r="N54" s="3">
        <f>(Mortar[[#This Row],[disp_q4]]--0.0145666666666666)/-0.0145666666666666</f>
        <v>2.1317512984949841E-2</v>
      </c>
      <c r="O54" s="3">
        <f>(Mortar[[#This Row],[disp_q8]]--0.0145666666666666)/-0.0145666666666666</f>
        <v>2.1801563086977227E-2</v>
      </c>
    </row>
    <row r="55" spans="1:15" x14ac:dyDescent="0.3">
      <c r="A55">
        <v>9</v>
      </c>
      <c r="B55">
        <v>29</v>
      </c>
      <c r="C55">
        <f>Mortar[[#This Row],[nxi]]*3</f>
        <v>87</v>
      </c>
      <c r="D55">
        <v>2400</v>
      </c>
      <c r="E55">
        <v>-1.4767956450054199E-2</v>
      </c>
      <c r="F55">
        <v>4042</v>
      </c>
      <c r="G55">
        <v>-1.4882723983038E-2</v>
      </c>
      <c r="H55">
        <v>2400</v>
      </c>
      <c r="I55">
        <v>-1.48733632288739E-2</v>
      </c>
      <c r="J55">
        <v>4042</v>
      </c>
      <c r="K55">
        <v>-1.48828352746171E-2</v>
      </c>
      <c r="L55" s="3">
        <f>(Mortar[[#This Row],[disp_t3]]--0.0145666666666666)/-0.0145666666666666</f>
        <v>1.3818520598691134E-2</v>
      </c>
      <c r="M55" s="3">
        <f>(Mortar[[#This Row],[disp_t6]]--0.0145666666666666)/-0.0145666666666666</f>
        <v>2.1697298606732442E-2</v>
      </c>
      <c r="N55" s="3">
        <f>(Mortar[[#This Row],[disp_q4]]--0.0145666666666666)/-0.0145666666666666</f>
        <v>2.1054683904391417E-2</v>
      </c>
      <c r="O55" s="3">
        <f>(Mortar[[#This Row],[disp_q8]]--0.0145666666666666)/-0.0145666666666666</f>
        <v>2.1704938760904062E-2</v>
      </c>
    </row>
    <row r="56" spans="1:15" x14ac:dyDescent="0.3">
      <c r="A56">
        <v>9</v>
      </c>
      <c r="B56">
        <v>24</v>
      </c>
      <c r="C56">
        <f>Mortar[[#This Row],[nxi]]*3</f>
        <v>72</v>
      </c>
      <c r="D56">
        <v>2000</v>
      </c>
      <c r="E56">
        <v>-1.4754211465734701E-2</v>
      </c>
      <c r="F56">
        <v>3362</v>
      </c>
      <c r="G56">
        <v>-1.48803253864082E-2</v>
      </c>
      <c r="H56">
        <v>2000</v>
      </c>
      <c r="I56">
        <v>-1.48668767751948E-2</v>
      </c>
      <c r="J56">
        <v>3362</v>
      </c>
      <c r="K56">
        <v>-1.4880431178104401E-2</v>
      </c>
      <c r="L56" s="3">
        <f>(Mortar[[#This Row],[disp_t3]]--0.0145666666666666)/-0.0145666666666666</f>
        <v>1.2874928997810208E-2</v>
      </c>
      <c r="M56" s="3">
        <f>(Mortar[[#This Row],[disp_t6]]--0.0145666666666666)/-0.0145666666666666</f>
        <v>2.1532635222535641E-2</v>
      </c>
      <c r="N56" s="3">
        <f>(Mortar[[#This Row],[disp_q4]]--0.0145666666666666)/-0.0145666666666666</f>
        <v>2.0609389601478404E-2</v>
      </c>
      <c r="O56" s="3">
        <f>(Mortar[[#This Row],[disp_q8]]--0.0145666666666666)/-0.0145666666666666</f>
        <v>2.1539897810375467E-2</v>
      </c>
    </row>
    <row r="57" spans="1:15" x14ac:dyDescent="0.3">
      <c r="A57">
        <v>9</v>
      </c>
      <c r="B57">
        <v>21</v>
      </c>
      <c r="C57">
        <f>Mortar[[#This Row],[nxi]]*3</f>
        <v>63</v>
      </c>
      <c r="D57">
        <v>1760</v>
      </c>
      <c r="E57">
        <v>-1.4740822370804501E-2</v>
      </c>
      <c r="F57">
        <v>2954</v>
      </c>
      <c r="G57">
        <v>-1.4877892801048899E-2</v>
      </c>
      <c r="H57">
        <v>1760</v>
      </c>
      <c r="I57">
        <v>-1.48604792885156E-2</v>
      </c>
      <c r="J57">
        <v>2954</v>
      </c>
      <c r="K57">
        <v>-1.4877992809774501E-2</v>
      </c>
      <c r="L57" s="3">
        <f>(Mortar[[#This Row],[disp_t3]]--0.0145666666666666)/-0.0145666666666666</f>
        <v>1.1955769162785039E-2</v>
      </c>
      <c r="M57" s="3">
        <f>(Mortar[[#This Row],[disp_t6]]--0.0145666666666666)/-0.0145666666666666</f>
        <v>2.1365638515947465E-2</v>
      </c>
      <c r="N57" s="3">
        <f>(Mortar[[#This Row],[disp_q4]]--0.0145666666666666)/-0.0145666666666666</f>
        <v>2.0170202872929175E-2</v>
      </c>
      <c r="O57" s="3">
        <f>(Mortar[[#This Row],[disp_q8]]--0.0145666666666666)/-0.0145666666666666</f>
        <v>2.1372504103517345E-2</v>
      </c>
    </row>
    <row r="58" spans="1:15" x14ac:dyDescent="0.3">
      <c r="A58">
        <v>9</v>
      </c>
      <c r="B58">
        <v>18</v>
      </c>
      <c r="C58">
        <f>Mortar[[#This Row],[nxi]]*3</f>
        <v>54</v>
      </c>
      <c r="D58">
        <v>1520</v>
      </c>
      <c r="E58">
        <v>-1.47201643115214E-2</v>
      </c>
      <c r="F58">
        <v>2546</v>
      </c>
      <c r="G58">
        <v>-1.4873986651830699E-2</v>
      </c>
      <c r="H58">
        <v>1520</v>
      </c>
      <c r="I58">
        <v>-1.4850478139266E-2</v>
      </c>
      <c r="J58">
        <v>2546</v>
      </c>
      <c r="K58">
        <v>-1.4874077570186399E-2</v>
      </c>
      <c r="L58" s="3">
        <f>(Mortar[[#This Row],[disp_t3]]--0.0145666666666666)/-0.0145666666666666</f>
        <v>1.0537595756622506E-2</v>
      </c>
      <c r="M58" s="3">
        <f>(Mortar[[#This Row],[disp_t6]]--0.0145666666666666)/-0.0145666666666666</f>
        <v>2.109748181904586E-2</v>
      </c>
      <c r="N58" s="3">
        <f>(Mortar[[#This Row],[disp_q4]]--0.0145666666666666)/-0.0145666666666666</f>
        <v>1.9483625121240414E-2</v>
      </c>
      <c r="O58" s="3">
        <f>(Mortar[[#This Row],[disp_q8]]--0.0145666666666666)/-0.0145666666666666</f>
        <v>2.1103723353762108E-2</v>
      </c>
    </row>
    <row r="59" spans="1:15" x14ac:dyDescent="0.3">
      <c r="A59">
        <v>9</v>
      </c>
      <c r="B59">
        <v>15</v>
      </c>
      <c r="C59">
        <f>Mortar[[#This Row],[nxi]]*3</f>
        <v>45</v>
      </c>
      <c r="D59">
        <v>1280</v>
      </c>
      <c r="E59">
        <v>-1.46860825218246E-2</v>
      </c>
      <c r="F59">
        <v>2138</v>
      </c>
      <c r="G59">
        <v>-1.4867343124656899E-2</v>
      </c>
      <c r="H59">
        <v>1280</v>
      </c>
      <c r="I59">
        <v>-1.48337659422038E-2</v>
      </c>
      <c r="J59">
        <v>2138</v>
      </c>
      <c r="K59">
        <v>-1.4867419547114799E-2</v>
      </c>
      <c r="L59" s="3">
        <f>(Mortar[[#This Row],[disp_t3]]--0.0145666666666666)/-0.0145666666666666</f>
        <v>8.1978847934554948E-3</v>
      </c>
      <c r="M59" s="3">
        <f>(Mortar[[#This Row],[disp_t6]]--0.0145666666666666)/-0.0145666666666666</f>
        <v>2.0641404438693455E-2</v>
      </c>
      <c r="N59" s="3">
        <f>(Mortar[[#This Row],[disp_q4]]--0.0145666666666666)/-0.0145666666666666</f>
        <v>1.8336334705071056E-2</v>
      </c>
      <c r="O59" s="3">
        <f>(Mortar[[#This Row],[disp_q8]]--0.0145666666666666)/-0.0145666666666666</f>
        <v>2.0646650831684311E-2</v>
      </c>
    </row>
    <row r="60" spans="1:15" x14ac:dyDescent="0.3">
      <c r="A60">
        <v>9</v>
      </c>
      <c r="B60">
        <v>13</v>
      </c>
      <c r="C60">
        <f>Mortar[[#This Row],[nxi]]*3</f>
        <v>39</v>
      </c>
      <c r="D60">
        <v>1120</v>
      </c>
      <c r="E60">
        <v>-1.46496669536659E-2</v>
      </c>
      <c r="F60">
        <v>1866</v>
      </c>
      <c r="G60">
        <v>-1.48602044869012E-2</v>
      </c>
      <c r="H60">
        <v>1120</v>
      </c>
      <c r="I60">
        <v>-1.48157663949208E-2</v>
      </c>
      <c r="J60">
        <v>1866</v>
      </c>
      <c r="K60">
        <v>-1.4860266639273201E-2</v>
      </c>
      <c r="L60" s="3">
        <f>(Mortar[[#This Row],[disp_t3]]--0.0145666666666666)/-0.0145666666666666</f>
        <v>5.697960205901683E-3</v>
      </c>
      <c r="M60" s="3">
        <f>(Mortar[[#This Row],[disp_t6]]--0.0145666666666666)/-0.0145666666666666</f>
        <v>2.0151337773542475E-2</v>
      </c>
      <c r="N60" s="3">
        <f>(Mortar[[#This Row],[disp_q4]]--0.0145666666666666)/-0.0145666666666666</f>
        <v>1.7100667843537899E-2</v>
      </c>
      <c r="O60" s="3">
        <f>(Mortar[[#This Row],[disp_q8]]--0.0145666666666666)/-0.0145666666666666</f>
        <v>2.015560452676907E-2</v>
      </c>
    </row>
    <row r="61" spans="1:15" x14ac:dyDescent="0.3">
      <c r="A61">
        <v>9</v>
      </c>
      <c r="B61">
        <v>11</v>
      </c>
      <c r="C61">
        <f>Mortar[[#This Row],[nxi]]*3</f>
        <v>33</v>
      </c>
      <c r="D61">
        <v>960</v>
      </c>
      <c r="E61">
        <v>-1.45931095068758E-2</v>
      </c>
      <c r="F61">
        <v>1594</v>
      </c>
      <c r="G61">
        <v>-1.48493070962698E-2</v>
      </c>
      <c r="H61">
        <v>960</v>
      </c>
      <c r="I61">
        <v>-1.4787685578180399E-2</v>
      </c>
      <c r="J61">
        <v>1594</v>
      </c>
      <c r="K61">
        <v>-1.4849349721374999E-2</v>
      </c>
      <c r="L61" s="3">
        <f>(Mortar[[#This Row],[disp_t3]]--0.0145666666666666)/-0.0145666666666666</f>
        <v>1.8152979548650388E-3</v>
      </c>
      <c r="M61" s="3">
        <f>(Mortar[[#This Row],[disp_t6]]--0.0145666666666666)/-0.0145666666666666</f>
        <v>1.940323315353791E-2</v>
      </c>
      <c r="N61" s="3">
        <f>(Mortar[[#This Row],[disp_q4]]--0.0145666666666666)/-0.0145666666666666</f>
        <v>1.5172922987217469E-2</v>
      </c>
      <c r="O61" s="3">
        <f>(Mortar[[#This Row],[disp_q8]]--0.0145666666666666)/-0.0145666666666666</f>
        <v>1.9406159362132802E-2</v>
      </c>
    </row>
    <row r="62" spans="1:15" x14ac:dyDescent="0.3">
      <c r="A62">
        <v>9</v>
      </c>
      <c r="B62">
        <v>9</v>
      </c>
      <c r="C62">
        <f>Mortar[[#This Row],[nxi]]*3</f>
        <v>27</v>
      </c>
      <c r="D62">
        <v>800</v>
      </c>
      <c r="E62">
        <v>-1.4499171836442001E-2</v>
      </c>
      <c r="F62">
        <v>1322</v>
      </c>
      <c r="G62">
        <v>-1.48319455318855E-2</v>
      </c>
      <c r="H62">
        <v>800</v>
      </c>
      <c r="I62">
        <v>-1.4740821290688801E-2</v>
      </c>
      <c r="J62">
        <v>1322</v>
      </c>
      <c r="K62">
        <v>-1.48319619839357E-2</v>
      </c>
      <c r="L62" s="3">
        <f>(Mortar[[#This Row],[disp_t3]]--0.0145666666666666)/-0.0145666666666666</f>
        <v>-4.6335123723981004E-3</v>
      </c>
      <c r="M62" s="3">
        <f>(Mortar[[#This Row],[disp_t6]]--0.0145666666666666)/-0.0145666666666666</f>
        <v>1.8211363745004712E-2</v>
      </c>
      <c r="N62" s="3">
        <f>(Mortar[[#This Row],[disp_q4]]--0.0145666666666666)/-0.0145666666666666</f>
        <v>1.1955695012965816E-2</v>
      </c>
      <c r="O62" s="3">
        <f>(Mortar[[#This Row],[disp_q8]]--0.0145666666666666)/-0.0145666666666666</f>
        <v>1.8212493176368527E-2</v>
      </c>
    </row>
    <row r="63" spans="1:15" x14ac:dyDescent="0.3">
      <c r="A63">
        <v>9</v>
      </c>
      <c r="B63">
        <v>8</v>
      </c>
      <c r="C63">
        <f>Mortar[[#This Row],[nxi]]*3</f>
        <v>24</v>
      </c>
      <c r="D63">
        <v>720</v>
      </c>
      <c r="E63">
        <v>-1.4427409077567E-2</v>
      </c>
      <c r="F63">
        <v>1186</v>
      </c>
      <c r="G63">
        <v>-1.48192611713013E-2</v>
      </c>
      <c r="H63">
        <v>720</v>
      </c>
      <c r="I63">
        <v>-1.47047720920649E-2</v>
      </c>
      <c r="J63">
        <v>1186</v>
      </c>
      <c r="K63">
        <v>-1.48192621792932E-2</v>
      </c>
      <c r="L63" s="3">
        <f>(Mortar[[#This Row],[disp_t3]]--0.0145666666666666)/-0.0145666666666666</f>
        <v>-9.5600175583249337E-3</v>
      </c>
      <c r="M63" s="3">
        <f>(Mortar[[#This Row],[disp_t6]]--0.0145666666666666)/-0.0145666666666666</f>
        <v>1.7340583842199195E-2</v>
      </c>
      <c r="N63" s="3">
        <f>(Mortar[[#This Row],[disp_q4]]--0.0145666666666666)/-0.0145666666666666</f>
        <v>9.4809216520573298E-3</v>
      </c>
      <c r="O63" s="3">
        <f>(Mortar[[#This Row],[disp_q8]]--0.0145666666666666)/-0.0145666666666666</f>
        <v>1.7340653040727801E-2</v>
      </c>
    </row>
    <row r="64" spans="1:15" x14ac:dyDescent="0.3">
      <c r="A64">
        <v>9</v>
      </c>
      <c r="B64">
        <v>7</v>
      </c>
      <c r="C64">
        <f>Mortar[[#This Row],[nxi]]*3</f>
        <v>21</v>
      </c>
      <c r="D64">
        <v>640</v>
      </c>
      <c r="E64">
        <v>-1.4327982936750701E-2</v>
      </c>
      <c r="F64">
        <v>1050</v>
      </c>
      <c r="G64">
        <v>-1.48023419178075E-2</v>
      </c>
      <c r="H64">
        <v>640</v>
      </c>
      <c r="I64">
        <v>-1.4654308831284799E-2</v>
      </c>
      <c r="J64">
        <v>1050</v>
      </c>
      <c r="K64">
        <v>-1.48023269187058E-2</v>
      </c>
      <c r="L64" s="3">
        <f>(Mortar[[#This Row],[disp_t3]]--0.0145666666666666)/-0.0145666666666666</f>
        <v>-1.6385610749375258E-2</v>
      </c>
      <c r="M64" s="3">
        <f>(Mortar[[#This Row],[disp_t6]]--0.0145666666666666)/-0.0145666666666666</f>
        <v>1.6179079025691212E-2</v>
      </c>
      <c r="N64" s="3">
        <f>(Mortar[[#This Row],[disp_q4]]--0.0145666666666666)/-0.0145666666666666</f>
        <v>6.016624573331829E-3</v>
      </c>
      <c r="O64" s="3">
        <f>(Mortar[[#This Row],[disp_q8]]--0.0145666666666666)/-0.0145666666666666</f>
        <v>1.6178049339075636E-2</v>
      </c>
    </row>
    <row r="65" spans="1:15" x14ac:dyDescent="0.3">
      <c r="A65">
        <v>9</v>
      </c>
      <c r="B65">
        <v>6</v>
      </c>
      <c r="C65">
        <f>Mortar[[#This Row],[nxi]]*3</f>
        <v>18</v>
      </c>
      <c r="D65">
        <v>560</v>
      </c>
      <c r="E65">
        <v>-1.4185389484744E-2</v>
      </c>
      <c r="F65">
        <v>914</v>
      </c>
      <c r="G65">
        <v>-1.47790353031701E-2</v>
      </c>
      <c r="H65">
        <v>560</v>
      </c>
      <c r="I65">
        <v>-1.45805313479281E-2</v>
      </c>
      <c r="J65">
        <v>914</v>
      </c>
      <c r="K65">
        <v>-1.4779009275035299E-2</v>
      </c>
      <c r="L65" s="3">
        <f>(Mortar[[#This Row],[disp_t3]]--0.0145666666666666)/-0.0145666666666666</f>
        <v>-2.6174634914595055E-2</v>
      </c>
      <c r="M65" s="3">
        <f>(Mortar[[#This Row],[disp_t6]]--0.0145666666666666)/-0.0145666666666666</f>
        <v>1.457908259749436E-2</v>
      </c>
      <c r="N65" s="3">
        <f>(Mortar[[#This Row],[disp_q4]]--0.0145666666666666)/-0.0145666666666666</f>
        <v>9.5180878225407223E-4</v>
      </c>
      <c r="O65" s="3">
        <f>(Mortar[[#This Row],[disp_q8]]--0.0145666666666666)/-0.0145666666666666</f>
        <v>1.457729576901837E-2</v>
      </c>
    </row>
    <row r="66" spans="1:15" x14ac:dyDescent="0.3">
      <c r="A66">
        <v>9</v>
      </c>
      <c r="B66">
        <v>5</v>
      </c>
      <c r="C66">
        <f>Mortar[[#This Row],[nxi]]*3</f>
        <v>15</v>
      </c>
      <c r="D66">
        <v>480</v>
      </c>
      <c r="E66">
        <v>-1.3972524386715399E-2</v>
      </c>
      <c r="F66">
        <v>778</v>
      </c>
      <c r="G66">
        <v>-1.47455188450045E-2</v>
      </c>
      <c r="H66">
        <v>480</v>
      </c>
      <c r="I66">
        <v>-1.44664107505014E-2</v>
      </c>
      <c r="J66">
        <v>778</v>
      </c>
      <c r="K66">
        <v>-1.4745493857816899E-2</v>
      </c>
      <c r="L66" s="3">
        <f>(Mortar[[#This Row],[disp_t3]]--0.0145666666666666)/-0.0145666666666666</f>
        <v>-4.0787799538984169E-2</v>
      </c>
      <c r="M66" s="3">
        <f>(Mortar[[#This Row],[disp_t6]]--0.0145666666666666)/-0.0145666666666666</f>
        <v>1.2278181579260939E-2</v>
      </c>
      <c r="N66" s="3">
        <f>(Mortar[[#This Row],[disp_q4]]--0.0145666666666666)/-0.0145666666666666</f>
        <v>-6.8825571738123708E-3</v>
      </c>
      <c r="O66" s="3">
        <f>(Mortar[[#This Row],[disp_q8]]--0.0145666666666666)/-0.0145666666666666</f>
        <v>1.2276466211691126E-2</v>
      </c>
    </row>
    <row r="67" spans="1:15" x14ac:dyDescent="0.3">
      <c r="A67">
        <v>9</v>
      </c>
      <c r="B67">
        <v>4</v>
      </c>
      <c r="C67">
        <f>Mortar[[#This Row],[nxi]]*3</f>
        <v>12</v>
      </c>
      <c r="D67">
        <v>400</v>
      </c>
      <c r="E67">
        <v>-1.36407002795636E-2</v>
      </c>
      <c r="F67">
        <v>642</v>
      </c>
      <c r="G67">
        <v>-1.4694569926692901E-2</v>
      </c>
      <c r="H67">
        <v>400</v>
      </c>
      <c r="I67">
        <v>-1.42764367819563E-2</v>
      </c>
      <c r="J67">
        <v>642</v>
      </c>
      <c r="K67">
        <v>-1.4694640079373201E-2</v>
      </c>
      <c r="L67" s="3">
        <f>(Mortar[[#This Row],[disp_t3]]--0.0145666666666666)/-0.0145666666666666</f>
        <v>-6.3567486528810307E-2</v>
      </c>
      <c r="M67" s="3">
        <f>(Mortar[[#This Row],[disp_t6]]--0.0145666666666666)/-0.0145666666666666</f>
        <v>8.7805441665653426E-3</v>
      </c>
      <c r="N67" s="3">
        <f>(Mortar[[#This Row],[disp_q4]]--0.0145666666666666)/-0.0145666666666666</f>
        <v>-1.9924248378281509E-2</v>
      </c>
      <c r="O67" s="3">
        <f>(Mortar[[#This Row],[disp_q8]]--0.0145666666666666)/-0.0145666666666666</f>
        <v>8.7853601400413334E-3</v>
      </c>
    </row>
    <row r="68" spans="1:15" x14ac:dyDescent="0.3">
      <c r="A68">
        <v>9</v>
      </c>
      <c r="B68">
        <v>3</v>
      </c>
      <c r="C68">
        <f>Mortar[[#This Row],[nxi]]*3</f>
        <v>9</v>
      </c>
      <c r="D68">
        <v>320</v>
      </c>
      <c r="E68">
        <v>-1.31049403316396E-2</v>
      </c>
      <c r="F68">
        <v>506</v>
      </c>
      <c r="G68">
        <v>-1.4612438694779999E-2</v>
      </c>
      <c r="H68">
        <v>320</v>
      </c>
      <c r="I68">
        <v>-1.39296141034935E-2</v>
      </c>
      <c r="J68">
        <v>506</v>
      </c>
      <c r="K68">
        <v>-1.46127757928894E-2</v>
      </c>
      <c r="L68" s="3">
        <f>(Mortar[[#This Row],[disp_t3]]--0.0145666666666666)/-0.0145666666666666</f>
        <v>-0.10034734565402786</v>
      </c>
      <c r="M68" s="3">
        <f>(Mortar[[#This Row],[disp_t6]]--0.0145666666666666)/-0.0145666666666666</f>
        <v>3.142244492910768E-3</v>
      </c>
      <c r="N68" s="3">
        <f>(Mortar[[#This Row],[disp_q4]]--0.0145666666666666)/-0.0145666666666666</f>
        <v>-4.3733585572524179E-2</v>
      </c>
      <c r="O68" s="3">
        <f>(Mortar[[#This Row],[disp_q8]]--0.0145666666666666)/-0.0145666666666666</f>
        <v>3.1653862395515258E-3</v>
      </c>
    </row>
    <row r="69" spans="1:15" x14ac:dyDescent="0.3">
      <c r="A69">
        <v>9</v>
      </c>
      <c r="B69">
        <v>2</v>
      </c>
      <c r="C69">
        <f>Mortar[[#This Row],[nxi]]*3</f>
        <v>6</v>
      </c>
      <c r="D69">
        <v>240</v>
      </c>
      <c r="E69">
        <v>-1.22643051572386E-2</v>
      </c>
      <c r="F69">
        <v>370</v>
      </c>
      <c r="G69">
        <v>-1.4489952187988899E-2</v>
      </c>
      <c r="H69">
        <v>240</v>
      </c>
      <c r="I69">
        <v>-1.3243351286488399E-2</v>
      </c>
      <c r="J69">
        <v>370</v>
      </c>
      <c r="K69">
        <v>-1.44930274706508E-2</v>
      </c>
      <c r="L69" s="3">
        <f>(Mortar[[#This Row],[disp_t3]]--0.0145666666666666)/-0.0145666666666666</f>
        <v>-0.15805685419414253</v>
      </c>
      <c r="M69" s="3">
        <f>(Mortar[[#This Row],[disp_t6]]--0.0145666666666666)/-0.0145666666666666</f>
        <v>-5.2664401838238371E-3</v>
      </c>
      <c r="N69" s="3">
        <f>(Mortar[[#This Row],[disp_q4]]--0.0145666666666666)/-0.0145666666666666</f>
        <v>-9.0845449440151452E-2</v>
      </c>
      <c r="O69" s="3">
        <f>(Mortar[[#This Row],[disp_q8]]--0.0145666666666666)/-0.0145666666666666</f>
        <v>-5.0553223809473519E-3</v>
      </c>
    </row>
    <row r="70" spans="1:15" x14ac:dyDescent="0.3">
      <c r="A70">
        <v>7</v>
      </c>
      <c r="B70">
        <v>40</v>
      </c>
      <c r="C70">
        <f>Mortar[[#This Row],[nxi]]*3</f>
        <v>120</v>
      </c>
      <c r="D70">
        <v>2624</v>
      </c>
      <c r="E70">
        <v>-1.4719436869999301E-2</v>
      </c>
      <c r="F70">
        <v>4398</v>
      </c>
      <c r="G70">
        <v>-1.48779843943208E-2</v>
      </c>
      <c r="H70">
        <v>2624</v>
      </c>
      <c r="I70">
        <v>-1.48727339042508E-2</v>
      </c>
      <c r="J70">
        <v>4398</v>
      </c>
      <c r="K70">
        <v>-1.4878211249633301E-2</v>
      </c>
      <c r="L70" s="3">
        <f>(Mortar[[#This Row],[disp_t3]]--0.0145666666666666)/-0.0145666666666666</f>
        <v>1.0487656979361697E-2</v>
      </c>
      <c r="M70" s="3">
        <f>(Mortar[[#This Row],[disp_t6]]--0.0145666666666666)/-0.0145666666666666</f>
        <v>2.1371926383583689E-2</v>
      </c>
      <c r="N70" s="3">
        <f>(Mortar[[#This Row],[disp_q4]]--0.0145666666666666)/-0.0145666666666666</f>
        <v>2.1011480841020742E-2</v>
      </c>
      <c r="O70" s="3">
        <f>(Mortar[[#This Row],[disp_q8]]--0.0145666666666666)/-0.0145666666666666</f>
        <v>2.1387499974830856E-2</v>
      </c>
    </row>
    <row r="71" spans="1:15" x14ac:dyDescent="0.3">
      <c r="A71">
        <v>7</v>
      </c>
      <c r="B71">
        <v>34</v>
      </c>
      <c r="C71">
        <f>Mortar[[#This Row],[nxi]]*3</f>
        <v>102</v>
      </c>
      <c r="D71">
        <v>2240</v>
      </c>
      <c r="E71">
        <v>-1.4713474088803699E-2</v>
      </c>
      <c r="F71">
        <v>3750</v>
      </c>
      <c r="G71">
        <v>-1.48768534251803E-2</v>
      </c>
      <c r="H71">
        <v>2240</v>
      </c>
      <c r="I71">
        <v>-1.48698150001162E-2</v>
      </c>
      <c r="J71">
        <v>3750</v>
      </c>
      <c r="K71">
        <v>-1.4877080435019801E-2</v>
      </c>
      <c r="L71" s="3">
        <f>(Mortar[[#This Row],[disp_t3]]--0.0145666666666666)/-0.0145666666666666</f>
        <v>1.0078312732524082E-2</v>
      </c>
      <c r="M71" s="3">
        <f>(Mortar[[#This Row],[disp_t6]]--0.0145666666666666)/-0.0145666666666666</f>
        <v>2.129428548148982E-2</v>
      </c>
      <c r="N71" s="3">
        <f>(Mortar[[#This Row],[disp_q4]]--0.0145666666666666)/-0.0145666666666666</f>
        <v>2.0811098406151186E-2</v>
      </c>
      <c r="O71" s="3">
        <f>(Mortar[[#This Row],[disp_q8]]--0.0145666666666666)/-0.0145666666666666</f>
        <v>2.1309869680997892E-2</v>
      </c>
    </row>
    <row r="72" spans="1:15" x14ac:dyDescent="0.3">
      <c r="A72">
        <v>7</v>
      </c>
      <c r="B72">
        <v>29</v>
      </c>
      <c r="C72">
        <f>Mortar[[#This Row],[nxi]]*3</f>
        <v>87</v>
      </c>
      <c r="D72">
        <v>1920</v>
      </c>
      <c r="E72">
        <v>-1.47055939231536E-2</v>
      </c>
      <c r="F72">
        <v>3210</v>
      </c>
      <c r="G72">
        <v>-1.48754778512956E-2</v>
      </c>
      <c r="H72">
        <v>1920</v>
      </c>
      <c r="I72">
        <v>-1.48660264388179E-2</v>
      </c>
      <c r="J72">
        <v>3210</v>
      </c>
      <c r="K72">
        <v>-1.48757039258278E-2</v>
      </c>
      <c r="L72" s="3">
        <f>(Mortar[[#This Row],[disp_t3]]--0.0145666666666666)/-0.0145666666666666</f>
        <v>9.5373402622655271E-3</v>
      </c>
      <c r="M72" s="3">
        <f>(Mortar[[#This Row],[disp_t6]]--0.0145666666666666)/-0.0145666666666666</f>
        <v>2.1199852491693493E-2</v>
      </c>
      <c r="N72" s="3">
        <f>(Mortar[[#This Row],[disp_q4]]--0.0145666666666666)/-0.0145666666666666</f>
        <v>2.0551014106496682E-2</v>
      </c>
      <c r="O72" s="3">
        <f>(Mortar[[#This Row],[disp_q8]]--0.0145666666666666)/-0.0145666666666666</f>
        <v>2.121537248246241E-2</v>
      </c>
    </row>
    <row r="73" spans="1:15" x14ac:dyDescent="0.3">
      <c r="A73">
        <v>7</v>
      </c>
      <c r="B73">
        <v>24</v>
      </c>
      <c r="C73">
        <f>Mortar[[#This Row],[nxi]]*3</f>
        <v>72</v>
      </c>
      <c r="D73">
        <v>1600</v>
      </c>
      <c r="E73">
        <v>-1.46924950791499E-2</v>
      </c>
      <c r="F73">
        <v>2670</v>
      </c>
      <c r="G73">
        <v>-1.48733138912557E-2</v>
      </c>
      <c r="H73">
        <v>1600</v>
      </c>
      <c r="I73">
        <v>-1.48597912291638E-2</v>
      </c>
      <c r="J73">
        <v>2670</v>
      </c>
      <c r="K73">
        <v>-1.4873536416526801E-2</v>
      </c>
      <c r="L73" s="3">
        <f>(Mortar[[#This Row],[disp_t3]]--0.0145666666666666)/-0.0145666666666666</f>
        <v>8.6381061201350993E-3</v>
      </c>
      <c r="M73" s="3">
        <f>(Mortar[[#This Row],[disp_t6]]--0.0145666666666666)/-0.0145666666666666</f>
        <v>2.1051296882547074E-2</v>
      </c>
      <c r="N73" s="3">
        <f>(Mortar[[#This Row],[disp_q4]]--0.0145666666666666)/-0.0145666666666666</f>
        <v>2.0122967677153436E-2</v>
      </c>
      <c r="O73" s="3">
        <f>(Mortar[[#This Row],[disp_q8]]--0.0145666666666666)/-0.0145666666666666</f>
        <v>2.1066573216947552E-2</v>
      </c>
    </row>
    <row r="74" spans="1:15" x14ac:dyDescent="0.3">
      <c r="A74">
        <v>7</v>
      </c>
      <c r="B74">
        <v>21</v>
      </c>
      <c r="C74">
        <f>Mortar[[#This Row],[nxi]]*3</f>
        <v>63</v>
      </c>
      <c r="D74">
        <v>1408</v>
      </c>
      <c r="E74">
        <v>-1.4679875054142E-2</v>
      </c>
      <c r="F74">
        <v>2346</v>
      </c>
      <c r="G74">
        <v>-1.4871258132210401E-2</v>
      </c>
      <c r="H74">
        <v>1408</v>
      </c>
      <c r="I74">
        <v>-1.4853785236728799E-2</v>
      </c>
      <c r="J74">
        <v>2346</v>
      </c>
      <c r="K74">
        <v>-1.48714756895897E-2</v>
      </c>
      <c r="L74" s="3">
        <f>(Mortar[[#This Row],[disp_t3]]--0.0145666666666666)/-0.0145666666666666</f>
        <v>7.7717428472815538E-3</v>
      </c>
      <c r="M74" s="3">
        <f>(Mortar[[#This Row],[disp_t6]]--0.0145666666666666)/-0.0145666666666666</f>
        <v>2.0910169259299959E-2</v>
      </c>
      <c r="N74" s="3">
        <f>(Mortar[[#This Row],[disp_q4]]--0.0145666666666666)/-0.0145666666666666</f>
        <v>1.9710656983675145E-2</v>
      </c>
      <c r="O74" s="3">
        <f>(Mortar[[#This Row],[disp_q8]]--0.0145666666666666)/-0.0145666666666666</f>
        <v>2.0925104548496703E-2</v>
      </c>
    </row>
    <row r="75" spans="1:15" x14ac:dyDescent="0.3">
      <c r="A75">
        <v>7</v>
      </c>
      <c r="B75">
        <v>18</v>
      </c>
      <c r="C75">
        <f>Mortar[[#This Row],[nxi]]*3</f>
        <v>54</v>
      </c>
      <c r="D75">
        <v>1216</v>
      </c>
      <c r="E75">
        <v>-1.46605180310869E-2</v>
      </c>
      <c r="F75">
        <v>2022</v>
      </c>
      <c r="G75">
        <v>-1.48680616028117E-2</v>
      </c>
      <c r="H75">
        <v>1216</v>
      </c>
      <c r="I75">
        <v>-1.4844514284833601E-2</v>
      </c>
      <c r="J75">
        <v>2022</v>
      </c>
      <c r="K75">
        <v>-1.48682698138396E-2</v>
      </c>
      <c r="L75" s="3">
        <f>(Mortar[[#This Row],[disp_t3]]--0.0145666666666666)/-0.0145666666666666</f>
        <v>6.4428854293112556E-3</v>
      </c>
      <c r="M75" s="3">
        <f>(Mortar[[#This Row],[disp_t6]]--0.0145666666666666)/-0.0145666666666666</f>
        <v>2.0690727881814783E-2</v>
      </c>
      <c r="N75" s="3">
        <f>(Mortar[[#This Row],[disp_q4]]--0.0145666666666666)/-0.0145666666666666</f>
        <v>1.9074207196819407E-2</v>
      </c>
      <c r="O75" s="3">
        <f>(Mortar[[#This Row],[disp_q8]]--0.0145666666666666)/-0.0145666666666666</f>
        <v>2.0705021545057337E-2</v>
      </c>
    </row>
    <row r="76" spans="1:15" x14ac:dyDescent="0.3">
      <c r="A76">
        <v>7</v>
      </c>
      <c r="B76">
        <v>15</v>
      </c>
      <c r="C76">
        <f>Mortar[[#This Row],[nxi]]*3</f>
        <v>45</v>
      </c>
      <c r="D76">
        <v>1024</v>
      </c>
      <c r="E76">
        <v>-1.46285974427262E-2</v>
      </c>
      <c r="F76">
        <v>1698</v>
      </c>
      <c r="G76">
        <v>-1.48626290707946E-2</v>
      </c>
      <c r="H76">
        <v>1024</v>
      </c>
      <c r="I76">
        <v>-1.4829043348113601E-2</v>
      </c>
      <c r="J76">
        <v>1698</v>
      </c>
      <c r="K76">
        <v>-1.48628197324306E-2</v>
      </c>
      <c r="L76" s="3">
        <f>(Mortar[[#This Row],[disp_t3]]--0.0145666666666666)/-0.0145666666666666</f>
        <v>4.251540690590425E-3</v>
      </c>
      <c r="M76" s="3">
        <f>(Mortar[[#This Row],[disp_t6]]--0.0145666666666666)/-0.0145666666666666</f>
        <v>2.0317785180412027E-2</v>
      </c>
      <c r="N76" s="3">
        <f>(Mortar[[#This Row],[disp_q4]]--0.0145666666666666)/-0.0145666666666666</f>
        <v>1.8012129161121448E-2</v>
      </c>
      <c r="O76" s="3">
        <f>(Mortar[[#This Row],[disp_q8]]--0.0145666666666666)/-0.0145666666666666</f>
        <v>2.0330874079908596E-2</v>
      </c>
    </row>
    <row r="77" spans="1:15" x14ac:dyDescent="0.3">
      <c r="A77">
        <v>7</v>
      </c>
      <c r="B77">
        <v>13</v>
      </c>
      <c r="C77">
        <f>Mortar[[#This Row],[nxi]]*3</f>
        <v>39</v>
      </c>
      <c r="D77">
        <v>896</v>
      </c>
      <c r="E77">
        <v>-1.45943253466768E-2</v>
      </c>
      <c r="F77">
        <v>1482</v>
      </c>
      <c r="G77">
        <v>-1.4856641654977E-2</v>
      </c>
      <c r="H77">
        <v>896</v>
      </c>
      <c r="I77">
        <v>-1.4812223980705501E-2</v>
      </c>
      <c r="J77">
        <v>1482</v>
      </c>
      <c r="K77">
        <v>-1.4856812704813E-2</v>
      </c>
      <c r="L77" s="3">
        <f>(Mortar[[#This Row],[disp_t3]]--0.0145666666666666)/-0.0145666666666666</f>
        <v>1.8987652180915953E-3</v>
      </c>
      <c r="M77" s="3">
        <f>(Mortar[[#This Row],[disp_t6]]--0.0145666666666666)/-0.0145666666666666</f>
        <v>1.9906749769592814E-2</v>
      </c>
      <c r="N77" s="3">
        <f>(Mortar[[#This Row],[disp_q4]]--0.0145666666666666)/-0.0145666666666666</f>
        <v>1.6857481512968123E-2</v>
      </c>
      <c r="O77" s="3">
        <f>(Mortar[[#This Row],[disp_q8]]--0.0145666666666666)/-0.0145666666666666</f>
        <v>1.9918492321263304E-2</v>
      </c>
    </row>
    <row r="78" spans="1:15" x14ac:dyDescent="0.3">
      <c r="A78">
        <v>7</v>
      </c>
      <c r="B78">
        <v>11</v>
      </c>
      <c r="C78">
        <f>Mortar[[#This Row],[nxi]]*3</f>
        <v>33</v>
      </c>
      <c r="D78">
        <v>768</v>
      </c>
      <c r="E78">
        <v>-1.4540689843767499E-2</v>
      </c>
      <c r="F78">
        <v>1266</v>
      </c>
      <c r="G78">
        <v>-1.48471569197194E-2</v>
      </c>
      <c r="H78">
        <v>768</v>
      </c>
      <c r="I78">
        <v>-1.47855961869356E-2</v>
      </c>
      <c r="J78">
        <v>1266</v>
      </c>
      <c r="K78">
        <v>-1.4847298207623601E-2</v>
      </c>
      <c r="L78" s="3">
        <f>(Mortar[[#This Row],[disp_t3]]--0.0145666666666666)/-0.0145666666666666</f>
        <v>-1.7833059198466921E-3</v>
      </c>
      <c r="M78" s="3">
        <f>(Mortar[[#This Row],[disp_t6]]--0.0145666666666666)/-0.0145666666666666</f>
        <v>1.9255623779368545E-2</v>
      </c>
      <c r="N78" s="3">
        <f>(Mortar[[#This Row],[disp_q4]]--0.0145666666666666)/-0.0145666666666666</f>
        <v>1.5029486517322803E-2</v>
      </c>
      <c r="O78" s="3">
        <f>(Mortar[[#This Row],[disp_q8]]--0.0145666666666666)/-0.0145666666666666</f>
        <v>1.9265323177826268E-2</v>
      </c>
    </row>
    <row r="79" spans="1:15" x14ac:dyDescent="0.3">
      <c r="A79">
        <v>7</v>
      </c>
      <c r="B79">
        <v>9</v>
      </c>
      <c r="C79">
        <f>Mortar[[#This Row],[nxi]]*3</f>
        <v>27</v>
      </c>
      <c r="D79">
        <v>640</v>
      </c>
      <c r="E79">
        <v>-1.44507570168459E-2</v>
      </c>
      <c r="F79">
        <v>1050</v>
      </c>
      <c r="G79">
        <v>-1.4831359087056401E-2</v>
      </c>
      <c r="H79">
        <v>640</v>
      </c>
      <c r="I79">
        <v>-1.4740354289408701E-2</v>
      </c>
      <c r="J79">
        <v>1050</v>
      </c>
      <c r="K79">
        <v>-1.4831455830271199E-2</v>
      </c>
      <c r="L79" s="3">
        <f>(Mortar[[#This Row],[disp_t3]]--0.0145666666666666)/-0.0145666666666666</f>
        <v>-7.9571841982174173E-3</v>
      </c>
      <c r="M79" s="3">
        <f>(Mortar[[#This Row],[disp_t6]]--0.0145666666666666)/-0.0145666666666666</f>
        <v>1.8171104374585998E-2</v>
      </c>
      <c r="N79" s="3">
        <f>(Mortar[[#This Row],[disp_q4]]--0.0145666666666666)/-0.0145666666666666</f>
        <v>1.1923635428519604E-2</v>
      </c>
      <c r="O79" s="3">
        <f>(Mortar[[#This Row],[disp_q8]]--0.0145666666666666)/-0.0145666666666666</f>
        <v>1.81777457852129E-2</v>
      </c>
    </row>
    <row r="80" spans="1:15" x14ac:dyDescent="0.3">
      <c r="A80">
        <v>7</v>
      </c>
      <c r="B80">
        <v>8</v>
      </c>
      <c r="C80">
        <f>Mortar[[#This Row],[nxi]]*3</f>
        <v>24</v>
      </c>
      <c r="D80">
        <v>576</v>
      </c>
      <c r="E80">
        <v>-1.43815796052497E-2</v>
      </c>
      <c r="F80">
        <v>942</v>
      </c>
      <c r="G80">
        <v>-1.48194450760848E-2</v>
      </c>
      <c r="H80">
        <v>576</v>
      </c>
      <c r="I80">
        <v>-1.47051150328164E-2</v>
      </c>
      <c r="J80">
        <v>942</v>
      </c>
      <c r="K80">
        <v>-1.4819512588049999E-2</v>
      </c>
      <c r="L80" s="3">
        <f>(Mortar[[#This Row],[disp_t3]]--0.0145666666666666)/-0.0145666666666666</f>
        <v>-1.2706205589260914E-2</v>
      </c>
      <c r="M80" s="3">
        <f>(Mortar[[#This Row],[disp_t6]]--0.0145666666666666)/-0.0145666666666666</f>
        <v>1.735320888454478E-2</v>
      </c>
      <c r="N80" s="3">
        <f>(Mortar[[#This Row],[disp_q4]]--0.0145666666666666)/-0.0145666666666666</f>
        <v>9.5044644954097104E-3</v>
      </c>
      <c r="O80" s="3">
        <f>(Mortar[[#This Row],[disp_q8]]--0.0145666666666666)/-0.0145666666666666</f>
        <v>1.7357843573231196E-2</v>
      </c>
    </row>
    <row r="81" spans="1:15" x14ac:dyDescent="0.3">
      <c r="A81">
        <v>7</v>
      </c>
      <c r="B81">
        <v>7</v>
      </c>
      <c r="C81">
        <f>Mortar[[#This Row],[nxi]]*3</f>
        <v>21</v>
      </c>
      <c r="D81">
        <v>512</v>
      </c>
      <c r="E81">
        <v>-1.42853076609441E-2</v>
      </c>
      <c r="F81">
        <v>834</v>
      </c>
      <c r="G81">
        <v>-1.48032352339593E-2</v>
      </c>
      <c r="H81">
        <v>512</v>
      </c>
      <c r="I81">
        <v>-1.46554100504165E-2</v>
      </c>
      <c r="J81">
        <v>834</v>
      </c>
      <c r="K81">
        <v>-1.4803268550603901E-2</v>
      </c>
      <c r="L81" s="3">
        <f>(Mortar[[#This Row],[disp_t3]]--0.0145666666666666)/-0.0145666666666666</f>
        <v>-1.9315263550743728E-2</v>
      </c>
      <c r="M81" s="3">
        <f>(Mortar[[#This Row],[disp_t6]]--0.0145666666666666)/-0.0145666666666666</f>
        <v>1.6240405077302147E-2</v>
      </c>
      <c r="N81" s="3">
        <f>(Mortar[[#This Row],[disp_q4]]--0.0145666666666666)/-0.0145666666666666</f>
        <v>6.0922231407254572E-3</v>
      </c>
      <c r="O81" s="3">
        <f>(Mortar[[#This Row],[disp_q8]]--0.0145666666666666)/-0.0145666666666666</f>
        <v>1.6242692261142042E-2</v>
      </c>
    </row>
    <row r="82" spans="1:15" x14ac:dyDescent="0.3">
      <c r="A82">
        <v>7</v>
      </c>
      <c r="B82">
        <v>6</v>
      </c>
      <c r="C82">
        <f>Mortar[[#This Row],[nxi]]*3</f>
        <v>18</v>
      </c>
      <c r="D82">
        <v>448</v>
      </c>
      <c r="E82">
        <v>-1.41466759341201E-2</v>
      </c>
      <c r="F82">
        <v>726</v>
      </c>
      <c r="G82">
        <v>-1.4780525906289499E-2</v>
      </c>
      <c r="H82">
        <v>448</v>
      </c>
      <c r="I82">
        <v>-1.4582289630985399E-2</v>
      </c>
      <c r="J82">
        <v>726</v>
      </c>
      <c r="K82">
        <v>-1.4780524488240399E-2</v>
      </c>
      <c r="L82" s="3">
        <f>(Mortar[[#This Row],[disp_t3]]--0.0145666666666666)/-0.0145666666666666</f>
        <v>-2.8832315735457761E-2</v>
      </c>
      <c r="M82" s="3">
        <f>(Mortar[[#This Row],[disp_t6]]--0.0145666666666666)/-0.0145666666666666</f>
        <v>1.4681412331091595E-2</v>
      </c>
      <c r="N82" s="3">
        <f>(Mortar[[#This Row],[disp_q4]]--0.0145666666666666)/-0.0145666666666666</f>
        <v>1.0725147129611045E-3</v>
      </c>
      <c r="O82" s="3">
        <f>(Mortar[[#This Row],[disp_q8]]--0.0145666666666666)/-0.0145666666666666</f>
        <v>1.4681314982183127E-2</v>
      </c>
    </row>
    <row r="83" spans="1:15" x14ac:dyDescent="0.3">
      <c r="A83">
        <v>7</v>
      </c>
      <c r="B83">
        <v>5</v>
      </c>
      <c r="C83">
        <f>Mortar[[#This Row],[nxi]]*3</f>
        <v>15</v>
      </c>
      <c r="D83">
        <v>384</v>
      </c>
      <c r="E83">
        <v>-1.3938945499189E-2</v>
      </c>
      <c r="F83">
        <v>618</v>
      </c>
      <c r="G83">
        <v>-1.4747431430617099E-2</v>
      </c>
      <c r="H83">
        <v>384</v>
      </c>
      <c r="I83">
        <v>-1.44686611804736E-2</v>
      </c>
      <c r="J83">
        <v>618</v>
      </c>
      <c r="K83">
        <v>-1.47473960756736E-2</v>
      </c>
      <c r="L83" s="3">
        <f>(Mortar[[#This Row],[disp_t3]]--0.0145666666666666)/-0.0145666666666666</f>
        <v>-4.3092986325693493E-2</v>
      </c>
      <c r="M83" s="3">
        <f>(Mortar[[#This Row],[disp_t6]]--0.0145666666666666)/-0.0145666666666666</f>
        <v>1.2409480362734612E-2</v>
      </c>
      <c r="N83" s="3">
        <f>(Mortar[[#This Row],[disp_q4]]--0.0145666666666666)/-0.0145666666666666</f>
        <v>-6.7280654137070574E-3</v>
      </c>
      <c r="O83" s="3">
        <f>(Mortar[[#This Row],[disp_q8]]--0.0145666666666666)/-0.0145666666666666</f>
        <v>1.2407053249908602E-2</v>
      </c>
    </row>
    <row r="84" spans="1:15" x14ac:dyDescent="0.3">
      <c r="A84">
        <v>7</v>
      </c>
      <c r="B84">
        <v>4</v>
      </c>
      <c r="C84">
        <f>Mortar[[#This Row],[nxi]]*3</f>
        <v>12</v>
      </c>
      <c r="D84">
        <v>320</v>
      </c>
      <c r="E84">
        <v>-1.36139084137915E-2</v>
      </c>
      <c r="F84">
        <v>510</v>
      </c>
      <c r="G84">
        <v>-1.4696645241142101E-2</v>
      </c>
      <c r="H84">
        <v>320</v>
      </c>
      <c r="I84">
        <v>-1.4278921546971701E-2</v>
      </c>
      <c r="J84">
        <v>510</v>
      </c>
      <c r="K84">
        <v>-1.46966683253113E-2</v>
      </c>
      <c r="L84" s="3">
        <f>(Mortar[[#This Row],[disp_t3]]--0.0145666666666666)/-0.0145666666666666</f>
        <v>-6.5406745048634099E-2</v>
      </c>
      <c r="M84" s="3">
        <f>(Mortar[[#This Row],[disp_t6]]--0.0145666666666666)/-0.0145666666666666</f>
        <v>8.9230142660527579E-3</v>
      </c>
      <c r="N84" s="3">
        <f>(Mortar[[#This Row],[disp_q4]]--0.0145666666666666)/-0.0145666666666666</f>
        <v>-1.975366954427232E-2</v>
      </c>
      <c r="O84" s="3">
        <f>(Mortar[[#This Row],[disp_q8]]--0.0145666666666666)/-0.0145666666666666</f>
        <v>8.9245989916270883E-3</v>
      </c>
    </row>
    <row r="85" spans="1:15" x14ac:dyDescent="0.3">
      <c r="A85">
        <v>7</v>
      </c>
      <c r="B85">
        <v>3</v>
      </c>
      <c r="C85">
        <f>Mortar[[#This Row],[nxi]]*3</f>
        <v>9</v>
      </c>
      <c r="D85">
        <v>256</v>
      </c>
      <c r="E85">
        <v>-1.30868821133285E-2</v>
      </c>
      <c r="F85">
        <v>402</v>
      </c>
      <c r="G85">
        <v>-1.4614289268013199E-2</v>
      </c>
      <c r="H85">
        <v>256</v>
      </c>
      <c r="I85">
        <v>-1.3931907716059001E-2</v>
      </c>
      <c r="J85">
        <v>402</v>
      </c>
      <c r="K85">
        <v>-1.46144402434304E-2</v>
      </c>
      <c r="L85" s="3">
        <f>(Mortar[[#This Row],[disp_t3]]--0.0145666666666666)/-0.0145666666666666</f>
        <v>-0.10158704027492717</v>
      </c>
      <c r="M85" s="3">
        <f>(Mortar[[#This Row],[disp_t6]]--0.0145666666666666)/-0.0145666666666666</f>
        <v>3.2692861336338745E-3</v>
      </c>
      <c r="N85" s="3">
        <f>(Mortar[[#This Row],[disp_q4]]--0.0145666666666666)/-0.0145666666666666</f>
        <v>-4.3576129332329634E-2</v>
      </c>
      <c r="O85" s="3">
        <f>(Mortar[[#This Row],[disp_q8]]--0.0145666666666666)/-0.0145666666666666</f>
        <v>3.2796505787506466E-3</v>
      </c>
    </row>
    <row r="86" spans="1:15" x14ac:dyDescent="0.3">
      <c r="A86">
        <v>7</v>
      </c>
      <c r="B86">
        <v>2</v>
      </c>
      <c r="C86">
        <f>Mortar[[#This Row],[nxi]]*3</f>
        <v>6</v>
      </c>
      <c r="D86">
        <v>192</v>
      </c>
      <c r="E86">
        <v>-1.2255804742501E-2</v>
      </c>
      <c r="F86">
        <v>294</v>
      </c>
      <c r="G86">
        <v>-1.4490912116257901E-2</v>
      </c>
      <c r="H86">
        <v>192</v>
      </c>
      <c r="I86">
        <v>-1.3244698706999699E-2</v>
      </c>
      <c r="J86">
        <v>294</v>
      </c>
      <c r="K86">
        <v>-1.4493914303504199E-2</v>
      </c>
      <c r="L86" s="3">
        <f>(Mortar[[#This Row],[disp_t3]]--0.0145666666666666)/-0.0145666666666666</f>
        <v>-0.1586404066932913</v>
      </c>
      <c r="M86" s="3">
        <f>(Mortar[[#This Row],[disp_t6]]--0.0145666666666666)/-0.0145666666666666</f>
        <v>-5.2005412179884844E-3</v>
      </c>
      <c r="N86" s="3">
        <f>(Mortar[[#This Row],[disp_q4]]--0.0145666666666666)/-0.0145666666666666</f>
        <v>-9.0752949176217818E-2</v>
      </c>
      <c r="O86" s="3">
        <f>(Mortar[[#This Row],[disp_q8]]--0.0145666666666666)/-0.0145666666666666</f>
        <v>-4.9944414070297741E-3</v>
      </c>
    </row>
    <row r="87" spans="1:15" x14ac:dyDescent="0.3">
      <c r="A87">
        <v>5</v>
      </c>
      <c r="B87">
        <v>40</v>
      </c>
      <c r="C87">
        <f>Mortar[[#This Row],[nxi]]*3</f>
        <v>120</v>
      </c>
      <c r="D87">
        <v>1968</v>
      </c>
      <c r="E87">
        <v>-1.4586987804598999E-2</v>
      </c>
      <c r="F87">
        <v>3258</v>
      </c>
      <c r="G87">
        <v>-1.4873177506730201E-2</v>
      </c>
      <c r="H87">
        <v>1968</v>
      </c>
      <c r="I87">
        <v>-1.48679069112091E-2</v>
      </c>
      <c r="J87">
        <v>3258</v>
      </c>
      <c r="K87">
        <v>-1.4873682638262199E-2</v>
      </c>
      <c r="L87" s="3">
        <f>(Mortar[[#This Row],[disp_t3]]--0.0145666666666666)/-0.0145666666666666</f>
        <v>1.3950437939862837E-3</v>
      </c>
      <c r="M87" s="3">
        <f>(Mortar[[#This Row],[disp_t6]]--0.0145666666666666)/-0.0145666666666666</f>
        <v>2.1041934100476167E-2</v>
      </c>
      <c r="N87" s="3">
        <f>(Mortar[[#This Row],[disp_q4]]--0.0145666666666666)/-0.0145666666666666</f>
        <v>2.0680108320995542E-2</v>
      </c>
      <c r="O87" s="3">
        <f>(Mortar[[#This Row],[disp_q8]]--0.0145666666666666)/-0.0145666666666666</f>
        <v>2.107661132235249E-2</v>
      </c>
    </row>
    <row r="88" spans="1:15" x14ac:dyDescent="0.3">
      <c r="A88">
        <v>5</v>
      </c>
      <c r="B88">
        <v>34</v>
      </c>
      <c r="C88">
        <f>Mortar[[#This Row],[nxi]]*3</f>
        <v>102</v>
      </c>
      <c r="D88">
        <v>1680</v>
      </c>
      <c r="E88">
        <v>-1.4581401735965799E-2</v>
      </c>
      <c r="F88">
        <v>2778</v>
      </c>
      <c r="G88">
        <v>-1.48720210813479E-2</v>
      </c>
      <c r="H88">
        <v>1680</v>
      </c>
      <c r="I88">
        <v>-1.4864980582551399E-2</v>
      </c>
      <c r="J88">
        <v>2778</v>
      </c>
      <c r="K88">
        <v>-1.48725318451862E-2</v>
      </c>
      <c r="L88" s="3">
        <f>(Mortar[[#This Row],[disp_t3]]--0.0145666666666666)/-0.0145666666666666</f>
        <v>1.0115608214553927E-3</v>
      </c>
      <c r="M88" s="3">
        <f>(Mortar[[#This Row],[disp_t6]]--0.0145666666666666)/-0.0145666666666666</f>
        <v>2.0962545630295322E-2</v>
      </c>
      <c r="N88" s="3">
        <f>(Mortar[[#This Row],[disp_q4]]--0.0145666666666666)/-0.0145666666666666</f>
        <v>2.0479216193464624E-2</v>
      </c>
      <c r="O88" s="3">
        <f>(Mortar[[#This Row],[disp_q8]]--0.0145666666666666)/-0.0145666666666666</f>
        <v>2.0997609509354843E-2</v>
      </c>
    </row>
    <row r="89" spans="1:15" x14ac:dyDescent="0.3">
      <c r="A89">
        <v>5</v>
      </c>
      <c r="B89">
        <v>29</v>
      </c>
      <c r="C89">
        <f>Mortar[[#This Row],[nxi]]*3</f>
        <v>87</v>
      </c>
      <c r="D89">
        <v>1440</v>
      </c>
      <c r="E89">
        <v>-1.45740169260978E-2</v>
      </c>
      <c r="F89">
        <v>2378</v>
      </c>
      <c r="G89">
        <v>-1.48706033666328E-2</v>
      </c>
      <c r="H89">
        <v>1440</v>
      </c>
      <c r="I89">
        <v>-1.4861172526194901E-2</v>
      </c>
      <c r="J89">
        <v>2378</v>
      </c>
      <c r="K89">
        <v>-1.48711197093685E-2</v>
      </c>
      <c r="L89" s="3">
        <f>(Mortar[[#This Row],[disp_t3]]--0.0145666666666666)/-0.0145666666666666</f>
        <v>5.0459446896111433E-4</v>
      </c>
      <c r="M89" s="3">
        <f>(Mortar[[#This Row],[disp_t6]]--0.0145666666666666)/-0.0145666666666666</f>
        <v>2.086521967731365E-2</v>
      </c>
      <c r="N89" s="3">
        <f>(Mortar[[#This Row],[disp_q4]]--0.0145666666666666)/-0.0145666666666666</f>
        <v>2.0217793560295384E-2</v>
      </c>
      <c r="O89" s="3">
        <f>(Mortar[[#This Row],[disp_q8]]--0.0145666666666666)/-0.0145666666666666</f>
        <v>2.0900666547041334E-2</v>
      </c>
    </row>
    <row r="90" spans="1:15" x14ac:dyDescent="0.3">
      <c r="A90">
        <v>5</v>
      </c>
      <c r="B90">
        <v>24</v>
      </c>
      <c r="C90">
        <f>Mortar[[#This Row],[nxi]]*3</f>
        <v>72</v>
      </c>
      <c r="D90">
        <v>1200</v>
      </c>
      <c r="E90">
        <v>-1.45618032406692E-2</v>
      </c>
      <c r="F90">
        <v>1978</v>
      </c>
      <c r="G90">
        <v>-1.4868429604388E-2</v>
      </c>
      <c r="H90">
        <v>1200</v>
      </c>
      <c r="I90">
        <v>-1.48549625045469E-2</v>
      </c>
      <c r="J90">
        <v>1978</v>
      </c>
      <c r="K90">
        <v>-1.48689515727222E-2</v>
      </c>
      <c r="L90" s="3">
        <f>(Mortar[[#This Row],[disp_t3]]--0.0145666666666666)/-0.0145666666666666</f>
        <v>-3.3387363826542016E-4</v>
      </c>
      <c r="M90" s="3">
        <f>(Mortar[[#This Row],[disp_t6]]--0.0145666666666666)/-0.0145666666666666</f>
        <v>2.0715991147922368E-2</v>
      </c>
      <c r="N90" s="3">
        <f>(Mortar[[#This Row],[disp_q4]]--0.0145666666666666)/-0.0145666666666666</f>
        <v>1.9791476284688931E-2</v>
      </c>
      <c r="O90" s="3">
        <f>(Mortar[[#This Row],[disp_q8]]--0.0145666666666666)/-0.0145666666666666</f>
        <v>2.0751824214343361E-2</v>
      </c>
    </row>
    <row r="91" spans="1:15" x14ac:dyDescent="0.3">
      <c r="A91">
        <v>5</v>
      </c>
      <c r="B91">
        <v>21</v>
      </c>
      <c r="C91">
        <f>Mortar[[#This Row],[nxi]]*3</f>
        <v>63</v>
      </c>
      <c r="D91">
        <v>1056</v>
      </c>
      <c r="E91">
        <v>-1.45501298195882E-2</v>
      </c>
      <c r="F91">
        <v>1738</v>
      </c>
      <c r="G91">
        <v>-1.4866464712123301E-2</v>
      </c>
      <c r="H91">
        <v>1056</v>
      </c>
      <c r="I91">
        <v>-1.48490785245395E-2</v>
      </c>
      <c r="J91">
        <v>1738</v>
      </c>
      <c r="K91">
        <v>-1.48669888592426E-2</v>
      </c>
      <c r="L91" s="3">
        <f>(Mortar[[#This Row],[disp_t3]]--0.0145666666666666)/-0.0145666666666666</f>
        <v>-1.1352526598443827E-3</v>
      </c>
      <c r="M91" s="3">
        <f>(Mortar[[#This Row],[disp_t6]]--0.0145666666666666)/-0.0145666666666666</f>
        <v>2.0581101518766777E-2</v>
      </c>
      <c r="N91" s="3">
        <f>(Mortar[[#This Row],[disp_q4]]--0.0145666666666666)/-0.0145666666666666</f>
        <v>1.9387541730405189E-2</v>
      </c>
      <c r="O91" s="3">
        <f>(Mortar[[#This Row],[disp_q8]]--0.0145666666666666)/-0.0145666666666666</f>
        <v>2.0617084158535613E-2</v>
      </c>
    </row>
    <row r="92" spans="1:15" x14ac:dyDescent="0.3">
      <c r="A92">
        <v>5</v>
      </c>
      <c r="B92">
        <v>18</v>
      </c>
      <c r="C92">
        <f>Mortar[[#This Row],[nxi]]*3</f>
        <v>54</v>
      </c>
      <c r="D92">
        <v>912</v>
      </c>
      <c r="E92">
        <v>-1.4532374265750899E-2</v>
      </c>
      <c r="F92">
        <v>1498</v>
      </c>
      <c r="G92">
        <v>-1.4863575312914899E-2</v>
      </c>
      <c r="H92">
        <v>912</v>
      </c>
      <c r="I92">
        <v>-1.48401587496995E-2</v>
      </c>
      <c r="J92">
        <v>1498</v>
      </c>
      <c r="K92">
        <v>-1.48640983783614E-2</v>
      </c>
      <c r="L92" s="3">
        <f>(Mortar[[#This Row],[disp_t3]]--0.0145666666666666)/-0.0145666666666666</f>
        <v>-2.3541693992471468E-3</v>
      </c>
      <c r="M92" s="3">
        <f>(Mortar[[#This Row],[disp_t6]]--0.0145666666666666)/-0.0145666666666666</f>
        <v>2.0382744593704892E-2</v>
      </c>
      <c r="N92" s="3">
        <f>(Mortar[[#This Row],[disp_q4]]--0.0145666666666666)/-0.0145666666666666</f>
        <v>1.8775200208208338E-2</v>
      </c>
      <c r="O92" s="3">
        <f>(Mortar[[#This Row],[disp_q8]]--0.0145666666666666)/-0.0145666666666666</f>
        <v>2.0418652976759894E-2</v>
      </c>
    </row>
    <row r="93" spans="1:15" x14ac:dyDescent="0.3">
      <c r="A93">
        <v>5</v>
      </c>
      <c r="B93">
        <v>15</v>
      </c>
      <c r="C93">
        <f>Mortar[[#This Row],[nxi]]*3</f>
        <v>45</v>
      </c>
      <c r="D93">
        <v>768</v>
      </c>
      <c r="E93">
        <v>-1.45033260824254E-2</v>
      </c>
      <c r="F93">
        <v>1258</v>
      </c>
      <c r="G93">
        <v>-1.48589272532577E-2</v>
      </c>
      <c r="H93">
        <v>768</v>
      </c>
      <c r="I93">
        <v>-1.48255378788331E-2</v>
      </c>
      <c r="J93">
        <v>1258</v>
      </c>
      <c r="K93">
        <v>-1.4859440720788699E-2</v>
      </c>
      <c r="L93" s="3">
        <f>(Mortar[[#This Row],[disp_t3]]--0.0145666666666666)/-0.0145666666666666</f>
        <v>-4.3483238609519029E-3</v>
      </c>
      <c r="M93" s="3">
        <f>(Mortar[[#This Row],[disp_t6]]--0.0145666666666666)/-0.0145666666666666</f>
        <v>2.00636558300528E-2</v>
      </c>
      <c r="N93" s="3">
        <f>(Mortar[[#This Row],[disp_q4]]--0.0145666666666666)/-0.0145666666666666</f>
        <v>1.7771479096098511E-2</v>
      </c>
      <c r="O93" s="3">
        <f>(Mortar[[#This Row],[disp_q8]]--0.0145666666666666)/-0.0145666666666666</f>
        <v>2.009890531730673E-2</v>
      </c>
    </row>
    <row r="94" spans="1:15" x14ac:dyDescent="0.3">
      <c r="A94">
        <v>5</v>
      </c>
      <c r="B94">
        <v>13</v>
      </c>
      <c r="C94">
        <f>Mortar[[#This Row],[nxi]]*3</f>
        <v>39</v>
      </c>
      <c r="D94">
        <v>672</v>
      </c>
      <c r="E94">
        <v>-1.44722434609896E-2</v>
      </c>
      <c r="F94">
        <v>1098</v>
      </c>
      <c r="G94">
        <v>-1.48539401368193E-2</v>
      </c>
      <c r="H94">
        <v>672</v>
      </c>
      <c r="I94">
        <v>-1.4809782504082899E-2</v>
      </c>
      <c r="J94">
        <v>1098</v>
      </c>
      <c r="K94">
        <v>-1.4854436639198E-2</v>
      </c>
      <c r="L94" s="3">
        <f>(Mortar[[#This Row],[disp_t3]]--0.0145666666666666)/-0.0145666666666666</f>
        <v>-6.4821422661555999E-3</v>
      </c>
      <c r="M94" s="3">
        <f>(Mortar[[#This Row],[disp_t6]]--0.0145666666666666)/-0.0145666666666666</f>
        <v>1.9721290857164907E-2</v>
      </c>
      <c r="N94" s="3">
        <f>(Mortar[[#This Row],[disp_q4]]--0.0145666666666666)/-0.0145666666666666</f>
        <v>1.668987442217169E-2</v>
      </c>
      <c r="O94" s="3">
        <f>(Mortar[[#This Row],[disp_q8]]--0.0145666666666666)/-0.0145666666666666</f>
        <v>1.9755375688654628E-2</v>
      </c>
    </row>
    <row r="95" spans="1:15" x14ac:dyDescent="0.3">
      <c r="A95">
        <v>5</v>
      </c>
      <c r="B95">
        <v>11</v>
      </c>
      <c r="C95">
        <f>Mortar[[#This Row],[nxi]]*3</f>
        <v>33</v>
      </c>
      <c r="D95">
        <v>576</v>
      </c>
      <c r="E95">
        <v>-1.44235159193031E-2</v>
      </c>
      <c r="F95">
        <v>938</v>
      </c>
      <c r="G95">
        <v>-1.48460193711591E-2</v>
      </c>
      <c r="H95">
        <v>576</v>
      </c>
      <c r="I95">
        <v>-1.4784808939117201E-2</v>
      </c>
      <c r="J95">
        <v>938</v>
      </c>
      <c r="K95">
        <v>-1.4846481993644699E-2</v>
      </c>
      <c r="L95" s="3">
        <f>(Mortar[[#This Row],[disp_t3]]--0.0145666666666666)/-0.0145666666666666</f>
        <v>-9.8272824277002117E-3</v>
      </c>
      <c r="M95" s="3">
        <f>(Mortar[[#This Row],[disp_t6]]--0.0145666666666666)/-0.0145666666666666</f>
        <v>1.9177531200858272E-2</v>
      </c>
      <c r="N95" s="3">
        <f>(Mortar[[#This Row],[disp_q4]]--0.0145666666666666)/-0.0145666666666666</f>
        <v>1.4975442044663775E-2</v>
      </c>
      <c r="O95" s="3">
        <f>(Mortar[[#This Row],[disp_q8]]--0.0145666666666666)/-0.0145666666666666</f>
        <v>1.9209290181563022E-2</v>
      </c>
    </row>
    <row r="96" spans="1:15" x14ac:dyDescent="0.3">
      <c r="A96">
        <v>5</v>
      </c>
      <c r="B96">
        <v>9</v>
      </c>
      <c r="C96">
        <f>Mortar[[#This Row],[nxi]]*3</f>
        <v>27</v>
      </c>
      <c r="D96">
        <v>480</v>
      </c>
      <c r="E96">
        <v>-1.4341233521152101E-2</v>
      </c>
      <c r="F96">
        <v>778</v>
      </c>
      <c r="G96">
        <v>-1.4832433090738799E-2</v>
      </c>
      <c r="H96">
        <v>480</v>
      </c>
      <c r="I96">
        <v>-1.4741912784486199E-2</v>
      </c>
      <c r="J96">
        <v>778</v>
      </c>
      <c r="K96">
        <v>-1.4832831390528101E-2</v>
      </c>
      <c r="L96" s="3">
        <f>(Mortar[[#This Row],[disp_t3]]--0.0145666666666666)/-0.0145666666666666</f>
        <v>-1.5475959646304323E-2</v>
      </c>
      <c r="M96" s="3">
        <f>(Mortar[[#This Row],[disp_t6]]--0.0145666666666666)/-0.0145666666666666</f>
        <v>1.8244834604498928E-2</v>
      </c>
      <c r="N96" s="3">
        <f>(Mortar[[#This Row],[disp_q4]]--0.0145666666666666)/-0.0145666666666666</f>
        <v>1.2030625937272367E-2</v>
      </c>
      <c r="O96" s="3">
        <f>(Mortar[[#This Row],[disp_q8]]--0.0145666666666666)/-0.0145666666666666</f>
        <v>1.8272177839462413E-2</v>
      </c>
    </row>
    <row r="97" spans="1:15" x14ac:dyDescent="0.3">
      <c r="A97">
        <v>5</v>
      </c>
      <c r="B97">
        <v>8</v>
      </c>
      <c r="C97">
        <f>Mortar[[#This Row],[nxi]]*3</f>
        <v>24</v>
      </c>
      <c r="D97">
        <v>432</v>
      </c>
      <c r="E97">
        <v>-1.4277428338445201E-2</v>
      </c>
      <c r="F97">
        <v>698</v>
      </c>
      <c r="G97">
        <v>-1.48218258945267E-2</v>
      </c>
      <c r="H97">
        <v>432</v>
      </c>
      <c r="I97">
        <v>-1.4708073246895201E-2</v>
      </c>
      <c r="J97">
        <v>698</v>
      </c>
      <c r="K97">
        <v>-1.48221742641526E-2</v>
      </c>
      <c r="L97" s="3">
        <f>(Mortar[[#This Row],[disp_t3]]--0.0145666666666666)/-0.0145666666666666</f>
        <v>-1.985617813876888E-2</v>
      </c>
      <c r="M97" s="3">
        <f>(Mortar[[#This Row],[disp_t6]]--0.0145666666666666)/-0.0145666666666666</f>
        <v>1.7516651798176294E-2</v>
      </c>
      <c r="N97" s="3">
        <f>(Mortar[[#This Row],[disp_q4]]--0.0145666666666666)/-0.0145666666666666</f>
        <v>9.7075455534509445E-3</v>
      </c>
      <c r="O97" s="3">
        <f>(Mortar[[#This Row],[disp_q8]]--0.0145666666666666)/-0.0145666666666666</f>
        <v>1.7540567333135106E-2</v>
      </c>
    </row>
    <row r="98" spans="1:15" x14ac:dyDescent="0.3">
      <c r="A98">
        <v>5</v>
      </c>
      <c r="B98">
        <v>7</v>
      </c>
      <c r="C98">
        <f>Mortar[[#This Row],[nxi]]*3</f>
        <v>21</v>
      </c>
      <c r="D98">
        <v>384</v>
      </c>
      <c r="E98">
        <v>-1.4188016284604E-2</v>
      </c>
      <c r="F98">
        <v>618</v>
      </c>
      <c r="G98">
        <v>-1.4806973620551601E-2</v>
      </c>
      <c r="H98">
        <v>384</v>
      </c>
      <c r="I98">
        <v>-1.46598438184493E-2</v>
      </c>
      <c r="J98">
        <v>618</v>
      </c>
      <c r="K98">
        <v>-1.4807255837150399E-2</v>
      </c>
      <c r="L98" s="3">
        <f>(Mortar[[#This Row],[disp_t3]]--0.0145666666666666)/-0.0145666666666666</f>
        <v>-2.5994305404755252E-2</v>
      </c>
      <c r="M98" s="3">
        <f>(Mortar[[#This Row],[disp_t6]]--0.0145666666666666)/-0.0145666666666666</f>
        <v>1.6497044889130608E-2</v>
      </c>
      <c r="N98" s="3">
        <f>(Mortar[[#This Row],[disp_q4]]--0.0145666666666666)/-0.0145666666666666</f>
        <v>6.3966008088810937E-3</v>
      </c>
      <c r="O98" s="3">
        <f>(Mortar[[#This Row],[disp_q8]]--0.0145666666666666)/-0.0145666666666666</f>
        <v>1.6516419026347907E-2</v>
      </c>
    </row>
    <row r="99" spans="1:15" x14ac:dyDescent="0.3">
      <c r="A99">
        <v>5</v>
      </c>
      <c r="B99">
        <v>6</v>
      </c>
      <c r="C99">
        <f>Mortar[[#This Row],[nxi]]*3</f>
        <v>18</v>
      </c>
      <c r="D99">
        <v>336</v>
      </c>
      <c r="E99">
        <v>-1.4058291190415699E-2</v>
      </c>
      <c r="F99">
        <v>538</v>
      </c>
      <c r="G99">
        <v>-1.4785554008266699E-2</v>
      </c>
      <c r="H99">
        <v>336</v>
      </c>
      <c r="I99">
        <v>-1.45881641204461E-2</v>
      </c>
      <c r="J99">
        <v>538</v>
      </c>
      <c r="K99">
        <v>-1.47857535894913E-2</v>
      </c>
      <c r="L99" s="3">
        <f>(Mortar[[#This Row],[disp_t3]]--0.0145666666666666)/-0.0145666666666666</f>
        <v>-3.489991827809398E-2</v>
      </c>
      <c r="M99" s="3">
        <f>(Mortar[[#This Row],[disp_t6]]--0.0145666666666666)/-0.0145666666666666</f>
        <v>1.5026590956528663E-2</v>
      </c>
      <c r="N99" s="3">
        <f>(Mortar[[#This Row],[disp_q4]]--0.0145666666666666)/-0.0145666666666666</f>
        <v>1.4757977422998204E-3</v>
      </c>
      <c r="O99" s="3">
        <f>(Mortar[[#This Row],[disp_q8]]--0.0145666666666666)/-0.0145666666666666</f>
        <v>1.5040292184762126E-2</v>
      </c>
    </row>
    <row r="100" spans="1:15" x14ac:dyDescent="0.3">
      <c r="A100">
        <v>5</v>
      </c>
      <c r="B100">
        <v>5</v>
      </c>
      <c r="C100">
        <f>Mortar[[#This Row],[nxi]]*3</f>
        <v>15</v>
      </c>
      <c r="D100">
        <v>288</v>
      </c>
      <c r="E100">
        <v>-1.38623541724318E-2</v>
      </c>
      <c r="F100">
        <v>458</v>
      </c>
      <c r="G100">
        <v>-1.4753505368415101E-2</v>
      </c>
      <c r="H100">
        <v>288</v>
      </c>
      <c r="I100">
        <v>-1.4475772747279901E-2</v>
      </c>
      <c r="J100">
        <v>458</v>
      </c>
      <c r="K100">
        <v>-1.47535964975708E-2</v>
      </c>
      <c r="L100" s="3">
        <f>(Mortar[[#This Row],[disp_t3]]--0.0145666666666666)/-0.0145666666666666</f>
        <v>-4.8350972144265619E-2</v>
      </c>
      <c r="M100" s="3">
        <f>(Mortar[[#This Row],[disp_t6]]--0.0145666666666666)/-0.0145666666666666</f>
        <v>1.2826455497608842E-2</v>
      </c>
      <c r="N100" s="3">
        <f>(Mortar[[#This Row],[disp_q4]]--0.0145666666666666)/-0.0145666666666666</f>
        <v>-6.239857166134944E-3</v>
      </c>
      <c r="O100" s="3">
        <f>(Mortar[[#This Row],[disp_q8]]--0.0145666666666666)/-0.0145666666666666</f>
        <v>1.2832711503720898E-2</v>
      </c>
    </row>
    <row r="101" spans="1:15" x14ac:dyDescent="0.3">
      <c r="A101">
        <v>5</v>
      </c>
      <c r="B101">
        <v>4</v>
      </c>
      <c r="C101">
        <f>Mortar[[#This Row],[nxi]]*3</f>
        <v>12</v>
      </c>
      <c r="D101">
        <v>240</v>
      </c>
      <c r="E101">
        <v>-1.35531101614156E-2</v>
      </c>
      <c r="F101">
        <v>378</v>
      </c>
      <c r="G101">
        <v>-1.4703266775773599E-2</v>
      </c>
      <c r="H101">
        <v>240</v>
      </c>
      <c r="I101">
        <v>-1.42868071310708E-2</v>
      </c>
      <c r="J101">
        <v>378</v>
      </c>
      <c r="K101">
        <v>-1.4703325753374E-2</v>
      </c>
      <c r="L101" s="3">
        <f>(Mortar[[#This Row],[disp_t3]]--0.0145666666666666)/-0.0145666666666666</f>
        <v>-6.9580538117917909E-2</v>
      </c>
      <c r="M101" s="3">
        <f>(Mortar[[#This Row],[disp_t6]]--0.0145666666666666)/-0.0145666666666666</f>
        <v>9.3775818608924973E-3</v>
      </c>
      <c r="N101" s="3">
        <f>(Mortar[[#This Row],[disp_q4]]--0.0145666666666666)/-0.0145666666666666</f>
        <v>-1.9212325098109859E-2</v>
      </c>
      <c r="O101" s="3">
        <f>(Mortar[[#This Row],[disp_q8]]--0.0145666666666666)/-0.0145666666666666</f>
        <v>9.3816306664119917E-3</v>
      </c>
    </row>
    <row r="102" spans="1:15" x14ac:dyDescent="0.3">
      <c r="A102">
        <v>5</v>
      </c>
      <c r="B102">
        <v>3</v>
      </c>
      <c r="C102">
        <f>Mortar[[#This Row],[nxi]]*3</f>
        <v>9</v>
      </c>
      <c r="D102">
        <v>192</v>
      </c>
      <c r="E102">
        <v>-1.30465931162981E-2</v>
      </c>
      <c r="F102">
        <v>298</v>
      </c>
      <c r="G102">
        <v>-1.4620568861504099E-2</v>
      </c>
      <c r="H102">
        <v>192</v>
      </c>
      <c r="I102">
        <v>-1.3939648917197E-2</v>
      </c>
      <c r="J102">
        <v>298</v>
      </c>
      <c r="K102">
        <v>-1.4620451543436899E-2</v>
      </c>
      <c r="L102" s="3">
        <f>(Mortar[[#This Row],[disp_t3]]--0.0145666666666666)/-0.0145666666666666</f>
        <v>-0.1043528753113391</v>
      </c>
      <c r="M102" s="3">
        <f>(Mortar[[#This Row],[disp_t6]]--0.0145666666666666)/-0.0145666666666666</f>
        <v>3.7003795082952164E-3</v>
      </c>
      <c r="N102" s="3">
        <f>(Mortar[[#This Row],[disp_q4]]--0.0145666666666666)/-0.0145666666666666</f>
        <v>-4.3044696759926955E-2</v>
      </c>
      <c r="O102" s="3">
        <f>(Mortar[[#This Row],[disp_q8]]--0.0145666666666666)/-0.0145666666666666</f>
        <v>3.6923256364050439E-3</v>
      </c>
    </row>
    <row r="103" spans="1:15" x14ac:dyDescent="0.3">
      <c r="A103">
        <v>5</v>
      </c>
      <c r="B103">
        <v>2</v>
      </c>
      <c r="C103">
        <f>Mortar[[#This Row],[nxi]]*3</f>
        <v>6</v>
      </c>
      <c r="D103">
        <v>144</v>
      </c>
      <c r="E103">
        <v>-1.22381052409999E-2</v>
      </c>
      <c r="F103">
        <v>218</v>
      </c>
      <c r="G103">
        <v>-1.44952357152681E-2</v>
      </c>
      <c r="H103">
        <v>144</v>
      </c>
      <c r="I103">
        <v>-1.3250525299468E-2</v>
      </c>
      <c r="J103">
        <v>218</v>
      </c>
      <c r="K103">
        <v>-1.4498154433512499E-2</v>
      </c>
      <c r="L103" s="3">
        <f>(Mortar[[#This Row],[disp_t3]]--0.0145666666666666)/-0.0145666666666666</f>
        <v>-0.15985547544622725</v>
      </c>
      <c r="M103" s="3">
        <f>(Mortar[[#This Row],[disp_t6]]--0.0145666666666666)/-0.0145666666666666</f>
        <v>-4.903726640629243E-3</v>
      </c>
      <c r="N103" s="3">
        <f>(Mortar[[#This Row],[disp_q4]]--0.0145666666666666)/-0.0145666666666666</f>
        <v>-9.0352954269927149E-2</v>
      </c>
      <c r="O103" s="3">
        <f>(Mortar[[#This Row],[disp_q8]]--0.0145666666666666)/-0.0145666666666666</f>
        <v>-4.7033569671007039E-3</v>
      </c>
    </row>
    <row r="104" spans="1:15" x14ac:dyDescent="0.3">
      <c r="A104">
        <v>4</v>
      </c>
      <c r="B104">
        <v>40</v>
      </c>
      <c r="C104">
        <f>Mortar[[#This Row],[nxi]]*3</f>
        <v>120</v>
      </c>
      <c r="D104">
        <v>1640</v>
      </c>
      <c r="E104">
        <v>-1.4453317741922199E-2</v>
      </c>
      <c r="F104">
        <v>2688</v>
      </c>
      <c r="G104">
        <v>-1.4874624494280699E-2</v>
      </c>
      <c r="H104">
        <v>1640</v>
      </c>
      <c r="I104">
        <v>-1.4869774193539E-2</v>
      </c>
      <c r="J104">
        <v>2688</v>
      </c>
      <c r="K104">
        <v>-1.4875437589075601E-2</v>
      </c>
      <c r="L104" s="3">
        <f>(Mortar[[#This Row],[disp_t3]]--0.0145666666666666)/-0.0145666666666666</f>
        <v>-7.7813907147185769E-3</v>
      </c>
      <c r="M104" s="3">
        <f>(Mortar[[#This Row],[disp_t6]]--0.0145666666666666)/-0.0145666666666666</f>
        <v>2.1141269630258669E-2</v>
      </c>
      <c r="N104" s="3">
        <f>(Mortar[[#This Row],[disp_q4]]--0.0145666666666666)/-0.0145666666666666</f>
        <v>2.0808297039295306E-2</v>
      </c>
      <c r="O104" s="3">
        <f>(Mortar[[#This Row],[disp_q8]]--0.0145666666666666)/-0.0145666666666666</f>
        <v>2.1197088494897227E-2</v>
      </c>
    </row>
    <row r="105" spans="1:15" x14ac:dyDescent="0.3">
      <c r="A105">
        <v>4</v>
      </c>
      <c r="B105">
        <v>34</v>
      </c>
      <c r="C105">
        <f>Mortar[[#This Row],[nxi]]*3</f>
        <v>102</v>
      </c>
      <c r="D105">
        <v>1400</v>
      </c>
      <c r="E105">
        <v>-1.4448159396249599E-2</v>
      </c>
      <c r="F105">
        <v>2292</v>
      </c>
      <c r="G105">
        <v>-1.48734920161619E-2</v>
      </c>
      <c r="H105">
        <v>1400</v>
      </c>
      <c r="I105">
        <v>-1.4866890600835601E-2</v>
      </c>
      <c r="J105">
        <v>2292</v>
      </c>
      <c r="K105">
        <v>-1.48743157068568E-2</v>
      </c>
      <c r="L105" s="3">
        <f>(Mortar[[#This Row],[disp_t3]]--0.0145666666666666)/-0.0145666666666666</f>
        <v>-8.1355105549428212E-3</v>
      </c>
      <c r="M105" s="3">
        <f>(Mortar[[#This Row],[disp_t6]]--0.0145666666666666)/-0.0145666666666666</f>
        <v>2.1063525136977276E-2</v>
      </c>
      <c r="N105" s="3">
        <f>(Mortar[[#This Row],[disp_q4]]--0.0145666666666666)/-0.0145666666666666</f>
        <v>2.0610338730137488E-2</v>
      </c>
      <c r="O105" s="3">
        <f>(Mortar[[#This Row],[disp_q8]]--0.0145666666666666)/-0.0145666666666666</f>
        <v>2.1120071408938328E-2</v>
      </c>
    </row>
    <row r="106" spans="1:15" x14ac:dyDescent="0.3">
      <c r="A106">
        <v>4</v>
      </c>
      <c r="B106">
        <v>29</v>
      </c>
      <c r="C106">
        <f>Mortar[[#This Row],[nxi]]*3</f>
        <v>87</v>
      </c>
      <c r="D106">
        <v>1200</v>
      </c>
      <c r="E106">
        <v>-1.4441317244026501E-2</v>
      </c>
      <c r="F106">
        <v>1962</v>
      </c>
      <c r="G106">
        <v>-1.48720759133997E-2</v>
      </c>
      <c r="H106">
        <v>1200</v>
      </c>
      <c r="I106">
        <v>-1.4863108590691201E-2</v>
      </c>
      <c r="J106">
        <v>1962</v>
      </c>
      <c r="K106">
        <v>-1.48729115962819E-2</v>
      </c>
      <c r="L106" s="3">
        <f>(Mortar[[#This Row],[disp_t3]]--0.0145666666666666)/-0.0145666666666666</f>
        <v>-8.6052235222036019E-3</v>
      </c>
      <c r="M106" s="3">
        <f>(Mortar[[#This Row],[disp_t6]]--0.0145666666666666)/-0.0145666666666666</f>
        <v>2.0966309844377706E-2</v>
      </c>
      <c r="N106" s="3">
        <f>(Mortar[[#This Row],[disp_q4]]--0.0145666666666666)/-0.0145666666666666</f>
        <v>2.0350704166448699E-2</v>
      </c>
      <c r="O106" s="3">
        <f>(Mortar[[#This Row],[disp_q8]]--0.0145666666666666)/-0.0145666666666666</f>
        <v>2.1023679378624833E-2</v>
      </c>
    </row>
    <row r="107" spans="1:15" x14ac:dyDescent="0.3">
      <c r="A107">
        <v>4</v>
      </c>
      <c r="B107">
        <v>24</v>
      </c>
      <c r="C107">
        <f>Mortar[[#This Row],[nxi]]*3</f>
        <v>72</v>
      </c>
      <c r="D107">
        <v>1000</v>
      </c>
      <c r="E107">
        <v>-1.4429981914623901E-2</v>
      </c>
      <c r="F107">
        <v>1632</v>
      </c>
      <c r="G107">
        <v>-1.4869876810057201E-2</v>
      </c>
      <c r="H107">
        <v>1000</v>
      </c>
      <c r="I107">
        <v>-1.48569123522294E-2</v>
      </c>
      <c r="J107">
        <v>1632</v>
      </c>
      <c r="K107">
        <v>-1.4870728206312E-2</v>
      </c>
      <c r="L107" s="3">
        <f>(Mortar[[#This Row],[disp_t3]]--0.0145666666666666)/-0.0145666666666666</f>
        <v>-9.3833925887436623E-3</v>
      </c>
      <c r="M107" s="3">
        <f>(Mortar[[#This Row],[disp_t6]]--0.0145666666666666)/-0.0145666666666666</f>
        <v>2.0815341651528797E-2</v>
      </c>
      <c r="N107" s="3">
        <f>(Mortar[[#This Row],[disp_q4]]--0.0145666666666666)/-0.0145666666666666</f>
        <v>1.9925333104997854E-2</v>
      </c>
      <c r="O107" s="3">
        <f>(Mortar[[#This Row],[disp_q8]]--0.0145666666666666)/-0.0145666666666666</f>
        <v>2.0873789907007018E-2</v>
      </c>
    </row>
    <row r="108" spans="1:15" x14ac:dyDescent="0.3">
      <c r="A108">
        <v>4</v>
      </c>
      <c r="B108">
        <v>21</v>
      </c>
      <c r="C108">
        <f>Mortar[[#This Row],[nxi]]*3</f>
        <v>63</v>
      </c>
      <c r="D108">
        <v>880</v>
      </c>
      <c r="E108">
        <v>-1.44191514755856E-2</v>
      </c>
      <c r="F108">
        <v>1434</v>
      </c>
      <c r="G108">
        <v>-1.48678880846859E-2</v>
      </c>
      <c r="H108">
        <v>880</v>
      </c>
      <c r="I108">
        <v>-1.48510403585348E-2</v>
      </c>
      <c r="J108">
        <v>1434</v>
      </c>
      <c r="K108">
        <v>-1.48687506204533E-2</v>
      </c>
      <c r="L108" s="3">
        <f>(Mortar[[#This Row],[disp_t3]]--0.0145666666666666)/-0.0145666666666666</f>
        <v>-1.0126900989542317E-2</v>
      </c>
      <c r="M108" s="3">
        <f>(Mortar[[#This Row],[disp_t6]]--0.0145666666666666)/-0.0145666666666666</f>
        <v>2.067881588233194E-2</v>
      </c>
      <c r="N108" s="3">
        <f>(Mortar[[#This Row],[disp_q4]]--0.0145666666666666)/-0.0145666666666666</f>
        <v>1.9522221409716396E-2</v>
      </c>
      <c r="O108" s="3">
        <f>(Mortar[[#This Row],[disp_q8]]--0.0145666666666666)/-0.0145666666666666</f>
        <v>2.0738028864075646E-2</v>
      </c>
    </row>
    <row r="109" spans="1:15" x14ac:dyDescent="0.3">
      <c r="A109">
        <v>4</v>
      </c>
      <c r="B109">
        <v>18</v>
      </c>
      <c r="C109">
        <f>Mortar[[#This Row],[nxi]]*3</f>
        <v>54</v>
      </c>
      <c r="D109">
        <v>760</v>
      </c>
      <c r="E109">
        <v>-1.4402708503514701E-2</v>
      </c>
      <c r="F109">
        <v>1236</v>
      </c>
      <c r="G109">
        <v>-1.48649958502712E-2</v>
      </c>
      <c r="H109">
        <v>760</v>
      </c>
      <c r="I109">
        <v>-1.48421694574305E-2</v>
      </c>
      <c r="J109">
        <v>1236</v>
      </c>
      <c r="K109">
        <v>-1.4865869629173301E-2</v>
      </c>
      <c r="L109" s="3">
        <f>(Mortar[[#This Row],[disp_t3]]--0.0145666666666666)/-0.0145666666666666</f>
        <v>-1.1255709140862666E-2</v>
      </c>
      <c r="M109" s="3">
        <f>(Mortar[[#This Row],[disp_t6]]--0.0145666666666666)/-0.0145666666666666</f>
        <v>2.0480264320682031E-2</v>
      </c>
      <c r="N109" s="3">
        <f>(Mortar[[#This Row],[disp_q4]]--0.0145666666666666)/-0.0145666666666666</f>
        <v>1.8913235063883448E-2</v>
      </c>
      <c r="O109" s="3">
        <f>(Mortar[[#This Row],[disp_q8]]--0.0145666666666666)/-0.0145666666666666</f>
        <v>2.0540249142336563E-2</v>
      </c>
    </row>
    <row r="110" spans="1:15" x14ac:dyDescent="0.3">
      <c r="A110">
        <v>4</v>
      </c>
      <c r="B110">
        <v>15</v>
      </c>
      <c r="C110">
        <f>Mortar[[#This Row],[nxi]]*3</f>
        <v>45</v>
      </c>
      <c r="D110">
        <v>640</v>
      </c>
      <c r="E110">
        <v>-1.4375897384543699E-2</v>
      </c>
      <c r="F110">
        <v>1038</v>
      </c>
      <c r="G110">
        <v>-1.48604532315884E-2</v>
      </c>
      <c r="H110">
        <v>640</v>
      </c>
      <c r="I110">
        <v>-1.48277324365629E-2</v>
      </c>
      <c r="J110">
        <v>1038</v>
      </c>
      <c r="K110">
        <v>-1.48613343020861E-2</v>
      </c>
      <c r="L110" s="3">
        <f>(Mortar[[#This Row],[disp_t3]]--0.0145666666666666)/-0.0145666666666666</f>
        <v>-1.3096289390588165E-2</v>
      </c>
      <c r="M110" s="3">
        <f>(Mortar[[#This Row],[disp_t6]]--0.0145666666666666)/-0.0145666666666666</f>
        <v>2.0168414067858288E-2</v>
      </c>
      <c r="N110" s="3">
        <f>(Mortar[[#This Row],[disp_q4]]--0.0145666666666666)/-0.0145666666666666</f>
        <v>1.7922135233155743E-2</v>
      </c>
      <c r="O110" s="3">
        <f>(Mortar[[#This Row],[disp_q8]]--0.0145666666666666)/-0.0145666666666666</f>
        <v>2.0228899456716354E-2</v>
      </c>
    </row>
    <row r="111" spans="1:15" x14ac:dyDescent="0.3">
      <c r="A111">
        <v>4</v>
      </c>
      <c r="B111">
        <v>13</v>
      </c>
      <c r="C111">
        <f>Mortar[[#This Row],[nxi]]*3</f>
        <v>39</v>
      </c>
      <c r="D111">
        <v>560</v>
      </c>
      <c r="E111">
        <v>-1.4347301813952501E-2</v>
      </c>
      <c r="F111">
        <v>906</v>
      </c>
      <c r="G111">
        <v>-1.48557065798671E-2</v>
      </c>
      <c r="H111">
        <v>560</v>
      </c>
      <c r="I111">
        <v>-1.4812294624207399E-2</v>
      </c>
      <c r="J111">
        <v>906</v>
      </c>
      <c r="K111">
        <v>-1.48565846095238E-2</v>
      </c>
      <c r="L111" s="3">
        <f>(Mortar[[#This Row],[disp_t3]]--0.0145666666666666)/-0.0145666666666666</f>
        <v>-1.5059372039869543E-2</v>
      </c>
      <c r="M111" s="3">
        <f>(Mortar[[#This Row],[disp_t6]]--0.0145666666666666)/-0.0145666666666666</f>
        <v>1.9842556970286199E-2</v>
      </c>
      <c r="N111" s="3">
        <f>(Mortar[[#This Row],[disp_q4]]--0.0145666666666666)/-0.0145666666666666</f>
        <v>1.6862331181290702E-2</v>
      </c>
      <c r="O111" s="3">
        <f>(Mortar[[#This Row],[disp_q8]]--0.0145666666666666)/-0.0145666666666666</f>
        <v>1.9902833605757595E-2</v>
      </c>
    </row>
    <row r="112" spans="1:15" x14ac:dyDescent="0.3">
      <c r="A112">
        <v>4</v>
      </c>
      <c r="B112">
        <v>11</v>
      </c>
      <c r="C112">
        <f>Mortar[[#This Row],[nxi]]*3</f>
        <v>33</v>
      </c>
      <c r="D112">
        <v>480</v>
      </c>
      <c r="E112">
        <v>-1.4302562062233799E-2</v>
      </c>
      <c r="F112">
        <v>774</v>
      </c>
      <c r="G112">
        <v>-1.4848321083183401E-2</v>
      </c>
      <c r="H112">
        <v>480</v>
      </c>
      <c r="I112">
        <v>-1.4787966652600799E-2</v>
      </c>
      <c r="J112">
        <v>774</v>
      </c>
      <c r="K112">
        <v>-1.48491796122862E-2</v>
      </c>
      <c r="L112" s="3">
        <f>(Mortar[[#This Row],[disp_t3]]--0.0145666666666666)/-0.0145666666666666</f>
        <v>-1.8130750876393681E-2</v>
      </c>
      <c r="M112" s="3">
        <f>(Mortar[[#This Row],[disp_t6]]--0.0145666666666666)/-0.0145666666666666</f>
        <v>1.9335543467972709E-2</v>
      </c>
      <c r="N112" s="3">
        <f>(Mortar[[#This Row],[disp_q4]]--0.0145666666666666)/-0.0145666666666666</f>
        <v>1.5192218714018381E-2</v>
      </c>
      <c r="O112" s="3">
        <f>(Mortar[[#This Row],[disp_q8]]--0.0145666666666666)/-0.0145666666666666</f>
        <v>1.9394481392650001E-2</v>
      </c>
    </row>
    <row r="113" spans="1:15" x14ac:dyDescent="0.3">
      <c r="A113">
        <v>4</v>
      </c>
      <c r="B113">
        <v>9</v>
      </c>
      <c r="C113">
        <f>Mortar[[#This Row],[nxi]]*3</f>
        <v>27</v>
      </c>
      <c r="D113">
        <v>400</v>
      </c>
      <c r="E113">
        <v>-1.42269838187248E-2</v>
      </c>
      <c r="F113">
        <v>642</v>
      </c>
      <c r="G113">
        <v>-1.48357746202742E-2</v>
      </c>
      <c r="H113">
        <v>400</v>
      </c>
      <c r="I113">
        <v>-1.47462766051322E-2</v>
      </c>
      <c r="J113">
        <v>642</v>
      </c>
      <c r="K113">
        <v>-1.4836577205288E-2</v>
      </c>
      <c r="L113" s="3">
        <f>(Mortar[[#This Row],[disp_t3]]--0.0145666666666666)/-0.0145666666666666</f>
        <v>-2.3319188645890217E-2</v>
      </c>
      <c r="M113" s="3">
        <f>(Mortar[[#This Row],[disp_t6]]--0.0145666666666666)/-0.0145666666666666</f>
        <v>1.8474230224778131E-2</v>
      </c>
      <c r="N113" s="3">
        <f>(Mortar[[#This Row],[disp_q4]]--0.0145666666666666)/-0.0145666666666666</f>
        <v>1.2330201725327363E-2</v>
      </c>
      <c r="O113" s="3">
        <f>(Mortar[[#This Row],[disp_q8]]--0.0145666666666666)/-0.0145666666666666</f>
        <v>1.8529327594146602E-2</v>
      </c>
    </row>
    <row r="114" spans="1:15" x14ac:dyDescent="0.3">
      <c r="A114">
        <v>4</v>
      </c>
      <c r="B114">
        <v>8</v>
      </c>
      <c r="C114">
        <f>Mortar[[#This Row],[nxi]]*3</f>
        <v>24</v>
      </c>
      <c r="D114">
        <v>360</v>
      </c>
      <c r="E114">
        <v>-1.41682190533634E-2</v>
      </c>
      <c r="F114">
        <v>576</v>
      </c>
      <c r="G114">
        <v>-1.48259370562629E-2</v>
      </c>
      <c r="H114">
        <v>360</v>
      </c>
      <c r="I114">
        <v>-1.4713324080169199E-2</v>
      </c>
      <c r="J114">
        <v>576</v>
      </c>
      <c r="K114">
        <v>-1.48266865186494E-2</v>
      </c>
      <c r="L114" s="3">
        <f>(Mortar[[#This Row],[disp_t3]]--0.0145666666666666)/-0.0145666666666666</f>
        <v>-2.7353383064293003E-2</v>
      </c>
      <c r="M114" s="3">
        <f>(Mortar[[#This Row],[disp_t6]]--0.0145666666666666)/-0.0145666666666666</f>
        <v>1.7798882580981799E-2</v>
      </c>
      <c r="N114" s="3">
        <f>(Mortar[[#This Row],[disp_q4]]--0.0145666666666666)/-0.0145666666666666</f>
        <v>1.0068014656929102E-2</v>
      </c>
      <c r="O114" s="3">
        <f>(Mortar[[#This Row],[disp_q8]]--0.0145666666666666)/-0.0145666666666666</f>
        <v>1.7850333088064191E-2</v>
      </c>
    </row>
    <row r="115" spans="1:15" x14ac:dyDescent="0.3">
      <c r="A115">
        <v>4</v>
      </c>
      <c r="B115">
        <v>7</v>
      </c>
      <c r="C115">
        <f>Mortar[[#This Row],[nxi]]*3</f>
        <v>21</v>
      </c>
      <c r="D115">
        <v>320</v>
      </c>
      <c r="E115">
        <v>-1.40855692881548E-2</v>
      </c>
      <c r="F115">
        <v>510</v>
      </c>
      <c r="G115">
        <v>-1.4812018939874E-2</v>
      </c>
      <c r="H115">
        <v>320</v>
      </c>
      <c r="I115">
        <v>-1.4666182136197E-2</v>
      </c>
      <c r="J115">
        <v>510</v>
      </c>
      <c r="K115">
        <v>-1.481268885984E-2</v>
      </c>
      <c r="L115" s="3">
        <f>(Mortar[[#This Row],[disp_t3]]--0.0145666666666666)/-0.0145666666666666</f>
        <v>-3.3027279989368559E-2</v>
      </c>
      <c r="M115" s="3">
        <f>(Mortar[[#This Row],[disp_t6]]--0.0145666666666666)/-0.0145666666666666</f>
        <v>1.6843405483345626E-2</v>
      </c>
      <c r="N115" s="3">
        <f>(Mortar[[#This Row],[disp_q4]]--0.0145666666666666)/-0.0145666666666666</f>
        <v>6.8317255970526871E-3</v>
      </c>
      <c r="O115" s="3">
        <f>(Mortar[[#This Row],[disp_q8]]--0.0145666666666666)/-0.0145666666666666</f>
        <v>1.6889395412361712E-2</v>
      </c>
    </row>
    <row r="116" spans="1:15" x14ac:dyDescent="0.3">
      <c r="A116">
        <v>4</v>
      </c>
      <c r="B116">
        <v>6</v>
      </c>
      <c r="C116">
        <f>Mortar[[#This Row],[nxi]]*3</f>
        <v>18</v>
      </c>
      <c r="D116">
        <v>280</v>
      </c>
      <c r="E116">
        <v>-1.3965039722033201E-2</v>
      </c>
      <c r="F116">
        <v>444</v>
      </c>
      <c r="G116">
        <v>-1.4791638734922299E-2</v>
      </c>
      <c r="H116">
        <v>280</v>
      </c>
      <c r="I116">
        <v>-1.4595749109584499E-2</v>
      </c>
      <c r="J116">
        <v>444</v>
      </c>
      <c r="K116">
        <v>-1.47921947895484E-2</v>
      </c>
      <c r="L116" s="3">
        <f>(Mortar[[#This Row],[disp_t3]]--0.0145666666666666)/-0.0145666666666666</f>
        <v>-4.1301620913048141E-2</v>
      </c>
      <c r="M116" s="3">
        <f>(Mortar[[#This Row],[disp_t6]]--0.0145666666666666)/-0.0145666666666666</f>
        <v>1.544430674524264E-2</v>
      </c>
      <c r="N116" s="3">
        <f>(Mortar[[#This Row],[disp_q4]]--0.0145666666666666)/-0.0145666666666666</f>
        <v>1.9965063788032122E-3</v>
      </c>
      <c r="O116" s="3">
        <f>(Mortar[[#This Row],[disp_q8]]--0.0145666666666666)/-0.0145666666666666</f>
        <v>1.5482479831702664E-2</v>
      </c>
    </row>
    <row r="117" spans="1:15" x14ac:dyDescent="0.3">
      <c r="A117">
        <v>4</v>
      </c>
      <c r="B117">
        <v>5</v>
      </c>
      <c r="C117">
        <f>Mortar[[#This Row],[nxi]]*3</f>
        <v>15</v>
      </c>
      <c r="D117">
        <v>240</v>
      </c>
      <c r="E117">
        <v>-1.3781781566153501E-2</v>
      </c>
      <c r="F117">
        <v>378</v>
      </c>
      <c r="G117">
        <v>-1.47605902420613E-2</v>
      </c>
      <c r="H117">
        <v>240</v>
      </c>
      <c r="I117">
        <v>-1.44846504300756E-2</v>
      </c>
      <c r="J117">
        <v>378</v>
      </c>
      <c r="K117">
        <v>-1.47609789284166E-2</v>
      </c>
      <c r="L117" s="3">
        <f>(Mortar[[#This Row],[disp_t3]]--0.0145666666666666)/-0.0145666666666666</f>
        <v>-5.3882272346437228E-2</v>
      </c>
      <c r="M117" s="3">
        <f>(Mortar[[#This Row],[disp_t6]]--0.0145666666666666)/-0.0145666666666666</f>
        <v>1.3312831262794179E-2</v>
      </c>
      <c r="N117" s="3">
        <f>(Mortar[[#This Row],[disp_q4]]--0.0145666666666666)/-0.0145666666666666</f>
        <v>-5.6304052579633614E-3</v>
      </c>
      <c r="O117" s="3">
        <f>(Mortar[[#This Row],[disp_q8]]--0.0145666666666666)/-0.0145666666666666</f>
        <v>1.3339514536613365E-2</v>
      </c>
    </row>
    <row r="118" spans="1:15" x14ac:dyDescent="0.3">
      <c r="A118">
        <v>4</v>
      </c>
      <c r="B118">
        <v>4</v>
      </c>
      <c r="C118">
        <f>Mortar[[#This Row],[nxi]]*3</f>
        <v>12</v>
      </c>
      <c r="D118">
        <v>200</v>
      </c>
      <c r="E118">
        <v>-1.3490124855408899E-2</v>
      </c>
      <c r="F118">
        <v>312</v>
      </c>
      <c r="G118">
        <v>-1.4711035190886601E-2</v>
      </c>
      <c r="H118">
        <v>200</v>
      </c>
      <c r="I118">
        <v>-1.4296801497947299E-2</v>
      </c>
      <c r="J118">
        <v>312</v>
      </c>
      <c r="K118">
        <v>-1.4711297925043399E-2</v>
      </c>
      <c r="L118" s="3">
        <f>(Mortar[[#This Row],[disp_t3]]--0.0145666666666666)/-0.0145666666666666</f>
        <v>-7.3904472168721175E-2</v>
      </c>
      <c r="M118" s="3">
        <f>(Mortar[[#This Row],[disp_t6]]--0.0145666666666666)/-0.0145666666666666</f>
        <v>9.9108826695653574E-3</v>
      </c>
      <c r="N118" s="3">
        <f>(Mortar[[#This Row],[disp_q4]]--0.0145666666666666)/-0.0145666666666666</f>
        <v>-1.8526212955558438E-2</v>
      </c>
      <c r="O118" s="3">
        <f>(Mortar[[#This Row],[disp_q8]]--0.0145666666666666)/-0.0145666666666666</f>
        <v>9.9289193393684739E-3</v>
      </c>
    </row>
    <row r="119" spans="1:15" x14ac:dyDescent="0.3">
      <c r="A119">
        <v>4</v>
      </c>
      <c r="B119">
        <v>3</v>
      </c>
      <c r="C119">
        <f>Mortar[[#This Row],[nxi]]*3</f>
        <v>9</v>
      </c>
      <c r="D119">
        <v>160</v>
      </c>
      <c r="E119">
        <v>-1.3007245552125599E-2</v>
      </c>
      <c r="F119">
        <v>246</v>
      </c>
      <c r="G119">
        <v>-1.4628210504834401E-2</v>
      </c>
      <c r="H119">
        <v>160</v>
      </c>
      <c r="I119">
        <v>-1.3950206230810801E-2</v>
      </c>
      <c r="J119">
        <v>246</v>
      </c>
      <c r="K119">
        <v>-1.46280050999645E-2</v>
      </c>
      <c r="L119" s="3">
        <f>(Mortar[[#This Row],[disp_t3]]--0.0145666666666666)/-0.0145666666666666</f>
        <v>-0.10705408108977166</v>
      </c>
      <c r="M119" s="3">
        <f>(Mortar[[#This Row],[disp_t6]]--0.0145666666666666)/-0.0145666666666666</f>
        <v>4.2249774485905115E-3</v>
      </c>
      <c r="N119" s="3">
        <f>(Mortar[[#This Row],[disp_q4]]--0.0145666666666666)/-0.0145666666666666</f>
        <v>-4.2319938388270126E-2</v>
      </c>
      <c r="O119" s="3">
        <f>(Mortar[[#This Row],[disp_q8]]--0.0145666666666666)/-0.0145666666666666</f>
        <v>4.2108764277734995E-3</v>
      </c>
    </row>
    <row r="120" spans="1:15" x14ac:dyDescent="0.3">
      <c r="A120">
        <v>4</v>
      </c>
      <c r="B120">
        <v>2</v>
      </c>
      <c r="C120">
        <f>Mortar[[#This Row],[nxi]]*3</f>
        <v>6</v>
      </c>
      <c r="D120">
        <v>120</v>
      </c>
      <c r="E120">
        <v>-1.2225806384348999E-2</v>
      </c>
      <c r="F120">
        <v>180</v>
      </c>
      <c r="G120">
        <v>-1.4501101637746301E-2</v>
      </c>
      <c r="H120">
        <v>120</v>
      </c>
      <c r="I120">
        <v>-1.3260424120032E-2</v>
      </c>
      <c r="J120">
        <v>180</v>
      </c>
      <c r="K120">
        <v>-1.4504051126251199E-2</v>
      </c>
      <c r="L120" s="3">
        <f>(Mortar[[#This Row],[disp_t3]]--0.0145666666666666)/-0.0145666666666666</f>
        <v>-0.16069979054811973</v>
      </c>
      <c r="M120" s="3">
        <f>(Mortar[[#This Row],[disp_t6]]--0.0145666666666666)/-0.0145666666666666</f>
        <v>-4.5010317336589582E-3</v>
      </c>
      <c r="N120" s="3">
        <f>(Mortar[[#This Row],[disp_q4]]--0.0145666666666666)/-0.0145666666666666</f>
        <v>-8.9673401370796726E-2</v>
      </c>
      <c r="O120" s="3">
        <f>(Mortar[[#This Row],[disp_q8]]--0.0145666666666666)/-0.0145666666666666</f>
        <v>-4.2985496852677657E-3</v>
      </c>
    </row>
    <row r="121" spans="1:15" x14ac:dyDescent="0.3">
      <c r="A121">
        <v>3</v>
      </c>
      <c r="B121">
        <v>40</v>
      </c>
      <c r="C121">
        <f>Mortar[[#This Row],[nxi]]*3</f>
        <v>120</v>
      </c>
      <c r="D121">
        <v>1312</v>
      </c>
      <c r="E121">
        <v>-1.42025255105299E-2</v>
      </c>
      <c r="F121">
        <v>2118</v>
      </c>
      <c r="G121">
        <v>-1.48828784089001E-2</v>
      </c>
      <c r="H121">
        <v>1312</v>
      </c>
      <c r="I121">
        <v>-1.4878798096621499E-2</v>
      </c>
      <c r="J121">
        <v>2118</v>
      </c>
      <c r="K121">
        <v>-1.48843060983515E-2</v>
      </c>
      <c r="L121" s="3">
        <f>(Mortar[[#This Row],[disp_t3]]--0.0145666666666666)/-0.0145666666666666</f>
        <v>-2.4998248705036672E-2</v>
      </c>
      <c r="M121" s="3">
        <f>(Mortar[[#This Row],[disp_t6]]--0.0145666666666666)/-0.0145666666666666</f>
        <v>2.1707899924496711E-2</v>
      </c>
      <c r="N121" s="3">
        <f>(Mortar[[#This Row],[disp_q4]]--0.0145666666666666)/-0.0145666666666666</f>
        <v>2.1427786953425731E-2</v>
      </c>
      <c r="O121" s="3">
        <f>(Mortar[[#This Row],[disp_q8]]--0.0145666666666666)/-0.0145666666666666</f>
        <v>2.1805910641984162E-2</v>
      </c>
    </row>
    <row r="122" spans="1:15" x14ac:dyDescent="0.3">
      <c r="A122">
        <v>3</v>
      </c>
      <c r="B122">
        <v>34</v>
      </c>
      <c r="C122">
        <f>Mortar[[#This Row],[nxi]]*3</f>
        <v>102</v>
      </c>
      <c r="D122">
        <v>1120</v>
      </c>
      <c r="E122">
        <v>-1.4198109322658701E-2</v>
      </c>
      <c r="F122">
        <v>1806</v>
      </c>
      <c r="G122">
        <v>-1.48818084712872E-2</v>
      </c>
      <c r="H122">
        <v>1120</v>
      </c>
      <c r="I122">
        <v>-1.48759956202061E-2</v>
      </c>
      <c r="J122">
        <v>1806</v>
      </c>
      <c r="K122">
        <v>-1.48832519517715E-2</v>
      </c>
      <c r="L122" s="3">
        <f>(Mortar[[#This Row],[disp_t3]]--0.0145666666666666)/-0.0145666666666666</f>
        <v>-2.5301419497109876E-2</v>
      </c>
      <c r="M122" s="3">
        <f>(Mortar[[#This Row],[disp_t6]]--0.0145666666666666)/-0.0145666666666666</f>
        <v>2.1634448829789623E-2</v>
      </c>
      <c r="N122" s="3">
        <f>(Mortar[[#This Row],[disp_q4]]--0.0145666666666666)/-0.0145666666666666</f>
        <v>2.1235397268158006E-2</v>
      </c>
      <c r="O122" s="3">
        <f>(Mortar[[#This Row],[disp_q8]]--0.0145666666666666)/-0.0145666666666666</f>
        <v>2.1733543599878884E-2</v>
      </c>
    </row>
    <row r="123" spans="1:15" x14ac:dyDescent="0.3">
      <c r="A123">
        <v>3</v>
      </c>
      <c r="B123">
        <v>29</v>
      </c>
      <c r="C123">
        <f>Mortar[[#This Row],[nxi]]*3</f>
        <v>87</v>
      </c>
      <c r="D123">
        <v>960</v>
      </c>
      <c r="E123">
        <v>-1.4192225755712599E-2</v>
      </c>
      <c r="F123">
        <v>1546</v>
      </c>
      <c r="G123">
        <v>-1.4880437338646701E-2</v>
      </c>
      <c r="H123">
        <v>960</v>
      </c>
      <c r="I123">
        <v>-1.48722839644408E-2</v>
      </c>
      <c r="J123">
        <v>1546</v>
      </c>
      <c r="K123">
        <v>-1.4881900163193001E-2</v>
      </c>
      <c r="L123" s="3">
        <f>(Mortar[[#This Row],[disp_t3]]--0.0145666666666666)/-0.0145666666666666</f>
        <v>-2.5705325694782722E-2</v>
      </c>
      <c r="M123" s="3">
        <f>(Mortar[[#This Row],[disp_t6]]--0.0145666666666666)/-0.0145666666666666</f>
        <v>2.1540320730899513E-2</v>
      </c>
      <c r="N123" s="3">
        <f>(Mortar[[#This Row],[disp_q4]]--0.0145666666666666)/-0.0145666666666666</f>
        <v>2.0980592524544751E-2</v>
      </c>
      <c r="O123" s="3">
        <f>(Mortar[[#This Row],[disp_q8]]--0.0145666666666666)/-0.0145666666666666</f>
        <v>2.1640743468631776E-2</v>
      </c>
    </row>
    <row r="124" spans="1:15" x14ac:dyDescent="0.3">
      <c r="A124">
        <v>3</v>
      </c>
      <c r="B124">
        <v>24</v>
      </c>
      <c r="C124">
        <f>Mortar[[#This Row],[nxi]]*3</f>
        <v>72</v>
      </c>
      <c r="D124">
        <v>800</v>
      </c>
      <c r="E124">
        <v>-1.4182442192676101E-2</v>
      </c>
      <c r="F124">
        <v>1286</v>
      </c>
      <c r="G124">
        <v>-1.48782579168657E-2</v>
      </c>
      <c r="H124">
        <v>800</v>
      </c>
      <c r="I124">
        <v>-1.4866150492363801E-2</v>
      </c>
      <c r="J124">
        <v>1286</v>
      </c>
      <c r="K124">
        <v>-1.48797493461864E-2</v>
      </c>
      <c r="L124" s="3">
        <f>(Mortar[[#This Row],[disp_t3]]--0.0145666666666666)/-0.0145666666666666</f>
        <v>-2.6376966177837555E-2</v>
      </c>
      <c r="M124" s="3">
        <f>(Mortar[[#This Row],[disp_t6]]--0.0145666666666666)/-0.0145666666666666</f>
        <v>2.1390703674995588E-2</v>
      </c>
      <c r="N124" s="3">
        <f>(Mortar[[#This Row],[disp_q4]]--0.0145666666666666)/-0.0145666666666666</f>
        <v>2.0559530368229016E-2</v>
      </c>
      <c r="O124" s="3">
        <f>(Mortar[[#This Row],[disp_q8]]--0.0145666666666666)/-0.0145666666666666</f>
        <v>2.1493090127217545E-2</v>
      </c>
    </row>
    <row r="125" spans="1:15" x14ac:dyDescent="0.3">
      <c r="A125">
        <v>3</v>
      </c>
      <c r="B125">
        <v>21</v>
      </c>
      <c r="C125">
        <f>Mortar[[#This Row],[nxi]]*3</f>
        <v>63</v>
      </c>
      <c r="D125">
        <v>704</v>
      </c>
      <c r="E125">
        <v>-1.4173074139038899E-2</v>
      </c>
      <c r="F125">
        <v>1130</v>
      </c>
      <c r="G125">
        <v>-1.4876256325493799E-2</v>
      </c>
      <c r="H125">
        <v>704</v>
      </c>
      <c r="I125">
        <v>-1.4860307334105699E-2</v>
      </c>
      <c r="J125">
        <v>1130</v>
      </c>
      <c r="K125">
        <v>-1.4877771653956699E-2</v>
      </c>
      <c r="L125" s="3">
        <f>(Mortar[[#This Row],[disp_t3]]--0.0145666666666666)/-0.0145666666666666</f>
        <v>-2.7020081988171758E-2</v>
      </c>
      <c r="M125" s="3">
        <f>(Mortar[[#This Row],[disp_t6]]--0.0145666666666666)/-0.0145666666666666</f>
        <v>2.1253294656329625E-2</v>
      </c>
      <c r="N125" s="3">
        <f>(Mortar[[#This Row],[disp_q4]]--0.0145666666666666)/-0.0145666666666666</f>
        <v>2.0158398222363941E-2</v>
      </c>
      <c r="O125" s="3">
        <f>(Mortar[[#This Row],[disp_q8]]--0.0145666666666666)/-0.0145666666666666</f>
        <v>2.1357321781929155E-2</v>
      </c>
    </row>
    <row r="126" spans="1:15" x14ac:dyDescent="0.3">
      <c r="A126">
        <v>3</v>
      </c>
      <c r="B126">
        <v>18</v>
      </c>
      <c r="C126">
        <f>Mortar[[#This Row],[nxi]]*3</f>
        <v>54</v>
      </c>
      <c r="D126">
        <v>608</v>
      </c>
      <c r="E126">
        <v>-1.4158840451592899E-2</v>
      </c>
      <c r="F126">
        <v>974</v>
      </c>
      <c r="G126">
        <v>-1.48733264574171E-2</v>
      </c>
      <c r="H126">
        <v>608</v>
      </c>
      <c r="I126">
        <v>-1.4851462276255899E-2</v>
      </c>
      <c r="J126">
        <v>974</v>
      </c>
      <c r="K126">
        <v>-1.4874872658796501E-2</v>
      </c>
      <c r="L126" s="3">
        <f>(Mortar[[#This Row],[disp_t3]]--0.0145666666666666)/-0.0145666666666666</f>
        <v>-2.7997223002771309E-2</v>
      </c>
      <c r="M126" s="3">
        <f>(Mortar[[#This Row],[disp_t6]]--0.0145666666666666)/-0.0145666666666666</f>
        <v>2.1052159548089384E-2</v>
      </c>
      <c r="N126" s="3">
        <f>(Mortar[[#This Row],[disp_q4]]--0.0145666666666666)/-0.0145666666666666</f>
        <v>1.9551186012995516E-2</v>
      </c>
      <c r="O126" s="3">
        <f>(Mortar[[#This Row],[disp_q8]]--0.0145666666666666)/-0.0145666666666666</f>
        <v>2.1158306095874338E-2</v>
      </c>
    </row>
    <row r="127" spans="1:15" x14ac:dyDescent="0.3">
      <c r="A127">
        <v>3</v>
      </c>
      <c r="B127">
        <v>15</v>
      </c>
      <c r="C127">
        <f>Mortar[[#This Row],[nxi]]*3</f>
        <v>45</v>
      </c>
      <c r="D127">
        <v>512</v>
      </c>
      <c r="E127">
        <v>-1.41356419835902E-2</v>
      </c>
      <c r="F127">
        <v>818</v>
      </c>
      <c r="G127">
        <v>-1.4868740058920501E-2</v>
      </c>
      <c r="H127">
        <v>512</v>
      </c>
      <c r="I127">
        <v>-1.4837084091684801E-2</v>
      </c>
      <c r="J127">
        <v>818</v>
      </c>
      <c r="K127">
        <v>-1.48703250593623E-2</v>
      </c>
      <c r="L127" s="3">
        <f>(Mortar[[#This Row],[disp_t3]]--0.0145666666666666)/-0.0145666666666666</f>
        <v>-2.9589795176869674E-2</v>
      </c>
      <c r="M127" s="3">
        <f>(Mortar[[#This Row],[disp_t6]]--0.0145666666666666)/-0.0145666666666666</f>
        <v>2.0737303816057383E-2</v>
      </c>
      <c r="N127" s="3">
        <f>(Mortar[[#This Row],[disp_q4]]--0.0145666666666666)/-0.0145666666666666</f>
        <v>1.85641252872908E-2</v>
      </c>
      <c r="O127" s="3">
        <f>(Mortar[[#This Row],[disp_q8]]--0.0145666666666666)/-0.0145666666666666</f>
        <v>2.0846113915036754E-2</v>
      </c>
    </row>
    <row r="128" spans="1:15" x14ac:dyDescent="0.3">
      <c r="A128">
        <v>3</v>
      </c>
      <c r="B128">
        <v>13</v>
      </c>
      <c r="C128">
        <f>Mortar[[#This Row],[nxi]]*3</f>
        <v>39</v>
      </c>
      <c r="D128">
        <v>448</v>
      </c>
      <c r="E128">
        <v>-1.4110932195776599E-2</v>
      </c>
      <c r="F128">
        <v>714</v>
      </c>
      <c r="G128">
        <v>-1.48640112661289E-2</v>
      </c>
      <c r="H128">
        <v>448</v>
      </c>
      <c r="I128">
        <v>-1.4821771463193901E-2</v>
      </c>
      <c r="J128">
        <v>714</v>
      </c>
      <c r="K128">
        <v>-1.48656249517366E-2</v>
      </c>
      <c r="L128" s="3">
        <f>(Mortar[[#This Row],[disp_t3]]--0.0145666666666666)/-0.0145666666666666</f>
        <v>-3.1286119283066502E-2</v>
      </c>
      <c r="M128" s="3">
        <f>(Mortar[[#This Row],[disp_t6]]--0.0145666666666666)/-0.0145666666666666</f>
        <v>2.0412672731965818E-2</v>
      </c>
      <c r="N128" s="3">
        <f>(Mortar[[#This Row],[disp_q4]]--0.0145666666666666)/-0.0145666666666666</f>
        <v>1.7512915093407508E-2</v>
      </c>
      <c r="O128" s="3">
        <f>(Mortar[[#This Row],[disp_q8]]--0.0145666666666666)/-0.0145666666666666</f>
        <v>2.052345206430221E-2</v>
      </c>
    </row>
    <row r="129" spans="1:15" x14ac:dyDescent="0.3">
      <c r="A129">
        <v>3</v>
      </c>
      <c r="B129">
        <v>11</v>
      </c>
      <c r="C129">
        <f>Mortar[[#This Row],[nxi]]*3</f>
        <v>33</v>
      </c>
      <c r="D129">
        <v>384</v>
      </c>
      <c r="E129">
        <v>-1.40723254744127E-2</v>
      </c>
      <c r="F129">
        <v>610</v>
      </c>
      <c r="G129">
        <v>-1.48567958644513E-2</v>
      </c>
      <c r="H129">
        <v>384</v>
      </c>
      <c r="I129">
        <v>-1.4797776454376599E-2</v>
      </c>
      <c r="J129">
        <v>610</v>
      </c>
      <c r="K129">
        <v>-1.4858434104688499E-2</v>
      </c>
      <c r="L129" s="3">
        <f>(Mortar[[#This Row],[disp_t3]]--0.0145666666666666)/-0.0145666666666666</f>
        <v>-3.3936466287453185E-2</v>
      </c>
      <c r="M129" s="3">
        <f>(Mortar[[#This Row],[disp_t6]]--0.0145666666666666)/-0.0145666666666666</f>
        <v>1.9917336232359372E-2</v>
      </c>
      <c r="N129" s="3">
        <f>(Mortar[[#This Row],[disp_q4]]--0.0145666666666666)/-0.0145666666666666</f>
        <v>1.5865660483524089E-2</v>
      </c>
      <c r="O129" s="3">
        <f>(Mortar[[#This Row],[disp_q8]]--0.0145666666666666)/-0.0145666666666666</f>
        <v>2.002980123720147E-2</v>
      </c>
    </row>
    <row r="130" spans="1:15" x14ac:dyDescent="0.3">
      <c r="A130">
        <v>3</v>
      </c>
      <c r="B130">
        <v>9</v>
      </c>
      <c r="C130">
        <f>Mortar[[#This Row],[nxi]]*3</f>
        <v>27</v>
      </c>
      <c r="D130">
        <v>320</v>
      </c>
      <c r="E130">
        <v>-1.40071263699755E-2</v>
      </c>
      <c r="F130">
        <v>506</v>
      </c>
      <c r="G130">
        <v>-1.4844814906521901E-2</v>
      </c>
      <c r="H130">
        <v>320</v>
      </c>
      <c r="I130">
        <v>-1.47569132961084E-2</v>
      </c>
      <c r="J130">
        <v>506</v>
      </c>
      <c r="K130">
        <v>-1.48464541193731E-2</v>
      </c>
      <c r="L130" s="3">
        <f>(Mortar[[#This Row],[disp_t3]]--0.0145666666666666)/-0.0145666666666666</f>
        <v>-3.8412377347215247E-2</v>
      </c>
      <c r="M130" s="3">
        <f>(Mortar[[#This Row],[disp_t6]]--0.0145666666666666)/-0.0145666666666666</f>
        <v>1.9094844841325113E-2</v>
      </c>
      <c r="N130" s="3">
        <f>(Mortar[[#This Row],[disp_q4]]--0.0145666666666666)/-0.0145666666666666</f>
        <v>1.3060409343830764E-2</v>
      </c>
      <c r="O130" s="3">
        <f>(Mortar[[#This Row],[disp_q8]]--0.0145666666666666)/-0.0145666666666666</f>
        <v>1.9207376616007011E-2</v>
      </c>
    </row>
    <row r="131" spans="1:15" x14ac:dyDescent="0.3">
      <c r="A131">
        <v>3</v>
      </c>
      <c r="B131">
        <v>8</v>
      </c>
      <c r="C131">
        <f>Mortar[[#This Row],[nxi]]*3</f>
        <v>24</v>
      </c>
      <c r="D131">
        <v>288</v>
      </c>
      <c r="E131">
        <v>-1.3956339328632701E-2</v>
      </c>
      <c r="F131">
        <v>454</v>
      </c>
      <c r="G131">
        <v>-1.48355387447252E-2</v>
      </c>
      <c r="H131">
        <v>288</v>
      </c>
      <c r="I131">
        <v>-1.4724714400486699E-2</v>
      </c>
      <c r="J131">
        <v>454</v>
      </c>
      <c r="K131">
        <v>-1.48371544696577E-2</v>
      </c>
      <c r="L131" s="3">
        <f>(Mortar[[#This Row],[disp_t3]]--0.0145666666666666)/-0.0145666666666666</f>
        <v>-4.1898901924524119E-2</v>
      </c>
      <c r="M131" s="3">
        <f>(Mortar[[#This Row],[disp_t6]]--0.0145666666666666)/-0.0145666666666666</f>
        <v>1.8458037395327392E-2</v>
      </c>
      <c r="N131" s="3">
        <f>(Mortar[[#This Row],[disp_q4]]--0.0145666666666666)/-0.0145666666666666</f>
        <v>1.0849958843485167E-2</v>
      </c>
      <c r="O131" s="3">
        <f>(Mortar[[#This Row],[disp_q8]]--0.0145666666666666)/-0.0145666666666666</f>
        <v>1.8568956727077923E-2</v>
      </c>
    </row>
    <row r="132" spans="1:15" x14ac:dyDescent="0.3">
      <c r="A132">
        <v>3</v>
      </c>
      <c r="B132">
        <v>7</v>
      </c>
      <c r="C132">
        <f>Mortar[[#This Row],[nxi]]*3</f>
        <v>21</v>
      </c>
      <c r="D132">
        <v>256</v>
      </c>
      <c r="E132">
        <v>-1.38846615597179E-2</v>
      </c>
      <c r="F132">
        <v>402</v>
      </c>
      <c r="G132">
        <v>-1.4822451984450801E-2</v>
      </c>
      <c r="H132">
        <v>256</v>
      </c>
      <c r="I132">
        <v>-1.46786595866647E-2</v>
      </c>
      <c r="J132">
        <v>402</v>
      </c>
      <c r="K132">
        <v>-1.48240114570531E-2</v>
      </c>
      <c r="L132" s="3">
        <f>(Mortar[[#This Row],[disp_t3]]--0.0145666666666666)/-0.0145666666666666</f>
        <v>-4.6819572559407489E-2</v>
      </c>
      <c r="M132" s="3">
        <f>(Mortar[[#This Row],[disp_t6]]--0.0145666666666666)/-0.0145666666666666</f>
        <v>1.7559632799830843E-2</v>
      </c>
      <c r="N132" s="3">
        <f>(Mortar[[#This Row],[disp_q4]]--0.0145666666666666)/-0.0145666666666666</f>
        <v>7.6883011440343789E-3</v>
      </c>
      <c r="O132" s="3">
        <f>(Mortar[[#This Row],[disp_q8]]--0.0145666666666666)/-0.0145666666666666</f>
        <v>1.7666690415549326E-2</v>
      </c>
    </row>
    <row r="133" spans="1:15" x14ac:dyDescent="0.3">
      <c r="A133">
        <v>3</v>
      </c>
      <c r="B133">
        <v>6</v>
      </c>
      <c r="C133">
        <f>Mortar[[#This Row],[nxi]]*3</f>
        <v>18</v>
      </c>
      <c r="D133">
        <v>224</v>
      </c>
      <c r="E133">
        <v>-1.37794979989476E-2</v>
      </c>
      <c r="F133">
        <v>350</v>
      </c>
      <c r="G133">
        <v>-1.48032048476047E-2</v>
      </c>
      <c r="H133">
        <v>224</v>
      </c>
      <c r="I133">
        <v>-1.46097057263834E-2</v>
      </c>
      <c r="J133">
        <v>350</v>
      </c>
      <c r="K133">
        <v>-1.48046532468309E-2</v>
      </c>
      <c r="L133" s="3">
        <f>(Mortar[[#This Row],[disp_t3]]--0.0145666666666666)/-0.0145666666666666</f>
        <v>-5.4039038973844607E-2</v>
      </c>
      <c r="M133" s="3">
        <f>(Mortar[[#This Row],[disp_t6]]--0.0145666666666666)/-0.0145666666666666</f>
        <v>1.6238319057535613E-2</v>
      </c>
      <c r="N133" s="3">
        <f>(Mortar[[#This Row],[disp_q4]]--0.0145666666666666)/-0.0145666666666666</f>
        <v>2.9546265251808516E-3</v>
      </c>
      <c r="O133" s="3">
        <f>(Mortar[[#This Row],[disp_q8]]--0.0145666666666666)/-0.0145666666666666</f>
        <v>1.6337751498693515E-2</v>
      </c>
    </row>
    <row r="134" spans="1:15" x14ac:dyDescent="0.3">
      <c r="A134">
        <v>3</v>
      </c>
      <c r="B134">
        <v>5</v>
      </c>
      <c r="C134">
        <f>Mortar[[#This Row],[nxi]]*3</f>
        <v>15</v>
      </c>
      <c r="D134">
        <v>192</v>
      </c>
      <c r="E134">
        <v>-1.3618080986150499E-2</v>
      </c>
      <c r="F134">
        <v>298</v>
      </c>
      <c r="G134">
        <v>-1.47735114746029E-2</v>
      </c>
      <c r="H134">
        <v>192</v>
      </c>
      <c r="I134">
        <v>-1.45004361571904E-2</v>
      </c>
      <c r="J134">
        <v>298</v>
      </c>
      <c r="K134">
        <v>-1.4774756743014801E-2</v>
      </c>
      <c r="L134" s="3">
        <f>(Mortar[[#This Row],[disp_t3]]--0.0145666666666666)/-0.0145666666666666</f>
        <v>-6.5120298433599857E-2</v>
      </c>
      <c r="M134" s="3">
        <f>(Mortar[[#This Row],[disp_t6]]--0.0145666666666666)/-0.0145666666666666</f>
        <v>1.4199872398373106E-2</v>
      </c>
      <c r="N134" s="3">
        <f>(Mortar[[#This Row],[disp_q4]]--0.0145666666666666)/-0.0145666666666666</f>
        <v>-4.5467168976796226E-3</v>
      </c>
      <c r="O134" s="3">
        <f>(Mortar[[#This Row],[disp_q8]]--0.0145666666666666)/-0.0145666666666666</f>
        <v>1.4285359932370871E-2</v>
      </c>
    </row>
    <row r="135" spans="1:15" x14ac:dyDescent="0.3">
      <c r="A135">
        <v>3</v>
      </c>
      <c r="B135">
        <v>4</v>
      </c>
      <c r="C135">
        <f>Mortar[[#This Row],[nxi]]*3</f>
        <v>12</v>
      </c>
      <c r="D135">
        <v>160</v>
      </c>
      <c r="E135">
        <v>-1.3357581536237799E-2</v>
      </c>
      <c r="F135">
        <v>246</v>
      </c>
      <c r="G135">
        <v>-1.4725178132259299E-2</v>
      </c>
      <c r="H135">
        <v>160</v>
      </c>
      <c r="I135">
        <v>-1.4314449244142E-2</v>
      </c>
      <c r="J135">
        <v>246</v>
      </c>
      <c r="K135">
        <v>-1.47261679881984E-2</v>
      </c>
      <c r="L135" s="3">
        <f>(Mortar[[#This Row],[disp_t3]]--0.0145666666666666)/-0.0145666666666666</f>
        <v>-8.3003555864677739E-2</v>
      </c>
      <c r="M135" s="3">
        <f>(Mortar[[#This Row],[disp_t6]]--0.0145666666666666)/-0.0145666666666666</f>
        <v>1.0881793976615603E-2</v>
      </c>
      <c r="N135" s="3">
        <f>(Mortar[[#This Row],[disp_q4]]--0.0145666666666666)/-0.0145666666666666</f>
        <v>-1.7314697198485166E-2</v>
      </c>
      <c r="O135" s="3">
        <f>(Mortar[[#This Row],[disp_q8]]--0.0145666666666666)/-0.0145666666666666</f>
        <v>1.0949747473579038E-2</v>
      </c>
    </row>
    <row r="136" spans="1:15" x14ac:dyDescent="0.3">
      <c r="A136">
        <v>3</v>
      </c>
      <c r="B136">
        <v>3</v>
      </c>
      <c r="C136">
        <f>Mortar[[#This Row],[nxi]]*3</f>
        <v>9</v>
      </c>
      <c r="D136">
        <v>128</v>
      </c>
      <c r="E136">
        <v>-1.2917634993933899E-2</v>
      </c>
      <c r="F136">
        <v>194</v>
      </c>
      <c r="G136">
        <v>-1.4642519381666099E-2</v>
      </c>
      <c r="H136">
        <v>128</v>
      </c>
      <c r="I136">
        <v>-1.3968792889310201E-2</v>
      </c>
      <c r="J136">
        <v>194</v>
      </c>
      <c r="K136">
        <v>-1.46426203580888E-2</v>
      </c>
      <c r="L136" s="3">
        <f>(Mortar[[#This Row],[disp_t3]]--0.0145666666666666)/-0.0145666666666666</f>
        <v>-0.11320583565670761</v>
      </c>
      <c r="M136" s="3">
        <f>(Mortar[[#This Row],[disp_t6]]--0.0145666666666666)/-0.0145666666666666</f>
        <v>5.2072802059153628E-3</v>
      </c>
      <c r="N136" s="3">
        <f>(Mortar[[#This Row],[disp_q4]]--0.0145666666666666)/-0.0145666666666666</f>
        <v>-4.1043966408906264E-2</v>
      </c>
      <c r="O136" s="3">
        <f>(Mortar[[#This Row],[disp_q8]]--0.0145666666666666)/-0.0145666666666666</f>
        <v>5.214212225780405E-3</v>
      </c>
    </row>
    <row r="137" spans="1:15" x14ac:dyDescent="0.3">
      <c r="A137">
        <v>3</v>
      </c>
      <c r="B137">
        <v>2</v>
      </c>
      <c r="C137">
        <f>Mortar[[#This Row],[nxi]]*3</f>
        <v>6</v>
      </c>
      <c r="D137">
        <v>96</v>
      </c>
      <c r="E137">
        <v>-1.2186463032865E-2</v>
      </c>
      <c r="F137">
        <v>142</v>
      </c>
      <c r="G137">
        <v>-1.4512958850018199E-2</v>
      </c>
      <c r="H137">
        <v>96</v>
      </c>
      <c r="I137">
        <v>-1.32771285545733E-2</v>
      </c>
      <c r="J137">
        <v>142</v>
      </c>
      <c r="K137">
        <v>-1.45162918741495E-2</v>
      </c>
      <c r="L137" s="3">
        <f>(Mortar[[#This Row],[disp_t3]]--0.0145666666666666)/-0.0145666666666666</f>
        <v>-0.16340070712596863</v>
      </c>
      <c r="M137" s="3">
        <f>(Mortar[[#This Row],[disp_t6]]--0.0145666666666666)/-0.0145666666666666</f>
        <v>-3.6870354678535644E-3</v>
      </c>
      <c r="N137" s="3">
        <f>(Mortar[[#This Row],[disp_q4]]--0.0145666666666666)/-0.0145666666666666</f>
        <v>-8.8526643850799017E-2</v>
      </c>
      <c r="O137" s="3">
        <f>(Mortar[[#This Row],[disp_q8]]--0.0145666666666666)/-0.0145666666666666</f>
        <v>-3.4582237425926535E-3</v>
      </c>
    </row>
    <row r="138" spans="1:15" x14ac:dyDescent="0.3">
      <c r="A138">
        <v>2</v>
      </c>
      <c r="B138">
        <v>40</v>
      </c>
      <c r="C138">
        <f>Mortar[[#This Row],[nxi]]*3</f>
        <v>120</v>
      </c>
      <c r="D138">
        <v>984</v>
      </c>
      <c r="E138">
        <v>-1.36477547017508E-2</v>
      </c>
      <c r="F138">
        <v>1548</v>
      </c>
      <c r="G138">
        <v>-1.48860516136469E-2</v>
      </c>
      <c r="H138">
        <v>984</v>
      </c>
      <c r="I138">
        <v>-1.4893157782614901E-2</v>
      </c>
      <c r="J138">
        <v>1548</v>
      </c>
      <c r="K138">
        <v>-1.4888689092622399E-2</v>
      </c>
      <c r="L138" s="3">
        <f>(Mortar[[#This Row],[disp_t3]]--0.0145666666666666)/-0.0145666666666666</f>
        <v>-6.3083201252801188E-2</v>
      </c>
      <c r="M138" s="3">
        <f>(Mortar[[#This Row],[disp_t6]]--0.0145666666666666)/-0.0145666666666666</f>
        <v>2.1925740067297611E-2</v>
      </c>
      <c r="N138" s="3">
        <f>(Mortar[[#This Row],[disp_q4]]--0.0145666666666666)/-0.0145666666666666</f>
        <v>2.241357775388806E-2</v>
      </c>
      <c r="O138" s="3">
        <f>(Mortar[[#This Row],[disp_q8]]--0.0145666666666666)/-0.0145666666666666</f>
        <v>2.2106802697194616E-2</v>
      </c>
    </row>
    <row r="139" spans="1:15" x14ac:dyDescent="0.3">
      <c r="A139">
        <v>2</v>
      </c>
      <c r="B139">
        <v>34</v>
      </c>
      <c r="C139">
        <f>Mortar[[#This Row],[nxi]]*3</f>
        <v>102</v>
      </c>
      <c r="D139">
        <v>840</v>
      </c>
      <c r="E139">
        <v>-1.3644731103924701E-2</v>
      </c>
      <c r="F139">
        <v>1320</v>
      </c>
      <c r="G139">
        <v>-1.4885116828543699E-2</v>
      </c>
      <c r="H139">
        <v>840</v>
      </c>
      <c r="I139">
        <v>-1.4890501596938799E-2</v>
      </c>
      <c r="J139">
        <v>1320</v>
      </c>
      <c r="K139">
        <v>-1.4887770029763801E-2</v>
      </c>
      <c r="L139" s="3">
        <f>(Mortar[[#This Row],[disp_t3]]--0.0145666666666666)/-0.0145666666666666</f>
        <v>-6.329077089761348E-2</v>
      </c>
      <c r="M139" s="3">
        <f>(Mortar[[#This Row],[disp_t6]]--0.0145666666666666)/-0.0145666666666666</f>
        <v>2.1861567176917715E-2</v>
      </c>
      <c r="N139" s="3">
        <f>(Mortar[[#This Row],[disp_q4]]--0.0145666666666666)/-0.0145666666666666</f>
        <v>2.2231230911135103E-2</v>
      </c>
      <c r="O139" s="3">
        <f>(Mortar[[#This Row],[disp_q8]]--0.0145666666666666)/-0.0145666666666666</f>
        <v>2.204370913710774E-2</v>
      </c>
    </row>
    <row r="140" spans="1:15" x14ac:dyDescent="0.3">
      <c r="A140">
        <v>2</v>
      </c>
      <c r="B140">
        <v>29</v>
      </c>
      <c r="C140">
        <f>Mortar[[#This Row],[nxi]]*3</f>
        <v>87</v>
      </c>
      <c r="D140">
        <v>720</v>
      </c>
      <c r="E140">
        <v>-1.3640680261164001E-2</v>
      </c>
      <c r="F140">
        <v>1130</v>
      </c>
      <c r="G140">
        <v>-1.4883885845551101E-2</v>
      </c>
      <c r="H140">
        <v>720</v>
      </c>
      <c r="I140">
        <v>-1.48869462797826E-2</v>
      </c>
      <c r="J140">
        <v>1130</v>
      </c>
      <c r="K140">
        <v>-1.48865594007882E-2</v>
      </c>
      <c r="L140" s="3">
        <f>(Mortar[[#This Row],[disp_t3]]--0.0145666666666666)/-0.0145666666666666</f>
        <v>-6.3568860789652376E-2</v>
      </c>
      <c r="M140" s="3">
        <f>(Mortar[[#This Row],[disp_t6]]--0.0145666666666666)/-0.0145666666666666</f>
        <v>2.1777060335320571E-2</v>
      </c>
      <c r="N140" s="3">
        <f>(Mortar[[#This Row],[disp_q4]]--0.0145666666666666)/-0.0145666666666666</f>
        <v>2.198715879514887E-2</v>
      </c>
      <c r="O140" s="3">
        <f>(Mortar[[#This Row],[disp_q8]]--0.0145666666666666)/-0.0145666666666666</f>
        <v>2.1960599596448666E-2</v>
      </c>
    </row>
    <row r="141" spans="1:15" x14ac:dyDescent="0.3">
      <c r="A141">
        <v>2</v>
      </c>
      <c r="B141">
        <v>24</v>
      </c>
      <c r="C141">
        <f>Mortar[[#This Row],[nxi]]*3</f>
        <v>72</v>
      </c>
      <c r="D141">
        <v>600</v>
      </c>
      <c r="E141">
        <v>-1.36339049288235E-2</v>
      </c>
      <c r="F141">
        <v>940</v>
      </c>
      <c r="G141">
        <v>-1.48818703845791E-2</v>
      </c>
      <c r="H141">
        <v>600</v>
      </c>
      <c r="I141">
        <v>-1.48810060463815E-2</v>
      </c>
      <c r="J141">
        <v>940</v>
      </c>
      <c r="K141">
        <v>-1.48845764292491E-2</v>
      </c>
      <c r="L141" s="3">
        <f>(Mortar[[#This Row],[disp_t3]]--0.0145666666666666)/-0.0145666666666666</f>
        <v>-6.4033986579618132E-2</v>
      </c>
      <c r="M141" s="3">
        <f>(Mortar[[#This Row],[disp_t6]]--0.0145666666666666)/-0.0145666666666666</f>
        <v>2.1638699170194627E-2</v>
      </c>
      <c r="N141" s="3">
        <f>(Mortar[[#This Row],[disp_q4]]--0.0145666666666666)/-0.0145666666666666</f>
        <v>2.1579362451823927E-2</v>
      </c>
      <c r="O141" s="3">
        <f>(Mortar[[#This Row],[disp_q8]]--0.0145666666666666)/-0.0145666666666666</f>
        <v>2.1824468827174051E-2</v>
      </c>
    </row>
    <row r="142" spans="1:15" x14ac:dyDescent="0.3">
      <c r="A142">
        <v>2</v>
      </c>
      <c r="B142">
        <v>21</v>
      </c>
      <c r="C142">
        <f>Mortar[[#This Row],[nxi]]*3</f>
        <v>63</v>
      </c>
      <c r="D142">
        <v>528</v>
      </c>
      <c r="E142">
        <v>-1.3627386275432699E-2</v>
      </c>
      <c r="F142">
        <v>826</v>
      </c>
      <c r="G142">
        <v>-1.4879972225095101E-2</v>
      </c>
      <c r="H142">
        <v>528</v>
      </c>
      <c r="I142">
        <v>-1.4875296200849099E-2</v>
      </c>
      <c r="J142">
        <v>826</v>
      </c>
      <c r="K142">
        <v>-1.48827079325479E-2</v>
      </c>
      <c r="L142" s="3">
        <f>(Mortar[[#This Row],[disp_t3]]--0.0145666666666666)/-0.0145666666666666</f>
        <v>-6.448149138905522E-2</v>
      </c>
      <c r="M142" s="3">
        <f>(Mortar[[#This Row],[disp_t6]]--0.0145666666666666)/-0.0145666666666666</f>
        <v>2.1508390738798809E-2</v>
      </c>
      <c r="N142" s="3">
        <f>(Mortar[[#This Row],[disp_q4]]--0.0145666666666666)/-0.0145666666666666</f>
        <v>2.1187382209325027E-2</v>
      </c>
      <c r="O142" s="3">
        <f>(Mortar[[#This Row],[disp_q8]]--0.0145666666666666)/-0.0145666666666666</f>
        <v>2.1696196742423502E-2</v>
      </c>
    </row>
    <row r="143" spans="1:15" x14ac:dyDescent="0.3">
      <c r="A143">
        <v>2</v>
      </c>
      <c r="B143">
        <v>18</v>
      </c>
      <c r="C143">
        <f>Mortar[[#This Row],[nxi]]*3</f>
        <v>54</v>
      </c>
      <c r="D143">
        <v>456</v>
      </c>
      <c r="E143">
        <v>-1.36174446649115E-2</v>
      </c>
      <c r="F143">
        <v>712</v>
      </c>
      <c r="G143">
        <v>-1.4877138281312499E-2</v>
      </c>
      <c r="H143">
        <v>456</v>
      </c>
      <c r="I143">
        <v>-1.48665946103793E-2</v>
      </c>
      <c r="J143">
        <v>712</v>
      </c>
      <c r="K143">
        <v>-1.48799165891551E-2</v>
      </c>
      <c r="L143" s="3">
        <f>(Mortar[[#This Row],[disp_t3]]--0.0145666666666666)/-0.0145666666666666</f>
        <v>-6.5163981813851496E-2</v>
      </c>
      <c r="M143" s="3">
        <f>(Mortar[[#This Row],[disp_t6]]--0.0145666666666666)/-0.0145666666666666</f>
        <v>2.1313840822373083E-2</v>
      </c>
      <c r="N143" s="3">
        <f>(Mortar[[#This Row],[disp_q4]]--0.0145666666666666)/-0.0145666666666666</f>
        <v>2.0590019019178597E-2</v>
      </c>
      <c r="O143" s="3">
        <f>(Mortar[[#This Row],[disp_q8]]--0.0145666666666666)/-0.0145666666666666</f>
        <v>2.1504571337883419E-2</v>
      </c>
    </row>
    <row r="144" spans="1:15" x14ac:dyDescent="0.3">
      <c r="A144">
        <v>2</v>
      </c>
      <c r="B144">
        <v>15</v>
      </c>
      <c r="C144">
        <f>Mortar[[#This Row],[nxi]]*3</f>
        <v>45</v>
      </c>
      <c r="D144">
        <v>384</v>
      </c>
      <c r="E144">
        <v>-1.3601184169692001E-2</v>
      </c>
      <c r="F144">
        <v>598</v>
      </c>
      <c r="G144">
        <v>-1.48726253179254E-2</v>
      </c>
      <c r="H144">
        <v>384</v>
      </c>
      <c r="I144">
        <v>-1.48523703689369E-2</v>
      </c>
      <c r="J144">
        <v>598</v>
      </c>
      <c r="K144">
        <v>-1.48754672815268E-2</v>
      </c>
      <c r="L144" s="3">
        <f>(Mortar[[#This Row],[disp_t3]]--0.0145666666666666)/-0.0145666666666666</f>
        <v>-6.6280262950201591E-2</v>
      </c>
      <c r="M144" s="3">
        <f>(Mortar[[#This Row],[disp_t6]]--0.0145666666666666)/-0.0145666666666666</f>
        <v>2.100402640220609E-2</v>
      </c>
      <c r="N144" s="3">
        <f>(Mortar[[#This Row],[disp_q4]]--0.0145666666666666)/-0.0145666666666666</f>
        <v>1.9613526471645465E-2</v>
      </c>
      <c r="O144" s="3">
        <f>(Mortar[[#This Row],[disp_q8]]--0.0145666666666666)/-0.0145666666666666</f>
        <v>2.1199126878274743E-2</v>
      </c>
    </row>
    <row r="145" spans="1:15" x14ac:dyDescent="0.3">
      <c r="A145">
        <v>2</v>
      </c>
      <c r="B145">
        <v>13</v>
      </c>
      <c r="C145">
        <f>Mortar[[#This Row],[nxi]]*3</f>
        <v>39</v>
      </c>
      <c r="D145">
        <v>336</v>
      </c>
      <c r="E145">
        <v>-1.35838207855755E-2</v>
      </c>
      <c r="F145">
        <v>522</v>
      </c>
      <c r="G145">
        <v>-1.48679324034571E-2</v>
      </c>
      <c r="H145">
        <v>336</v>
      </c>
      <c r="I145">
        <v>-1.4837181165014099E-2</v>
      </c>
      <c r="J145">
        <v>522</v>
      </c>
      <c r="K145">
        <v>-1.4870835085760099E-2</v>
      </c>
      <c r="L145" s="3">
        <f>(Mortar[[#This Row],[disp_t3]]--0.0145666666666666)/-0.0145666666666666</f>
        <v>-6.7472257283142115E-2</v>
      </c>
      <c r="M145" s="3">
        <f>(Mortar[[#This Row],[disp_t6]]--0.0145666666666666)/-0.0145666666666666</f>
        <v>2.0681858360904009E-2</v>
      </c>
      <c r="N145" s="3">
        <f>(Mortar[[#This Row],[disp_q4]]--0.0145666666666666)/-0.0145666666666666</f>
        <v>1.8570789360240352E-2</v>
      </c>
      <c r="O145" s="3">
        <f>(Mortar[[#This Row],[disp_q8]]--0.0145666666666666)/-0.0145666666666666</f>
        <v>2.0881127168890255E-2</v>
      </c>
    </row>
    <row r="146" spans="1:15" x14ac:dyDescent="0.3">
      <c r="A146">
        <v>2</v>
      </c>
      <c r="B146">
        <v>11</v>
      </c>
      <c r="C146">
        <f>Mortar[[#This Row],[nxi]]*3</f>
        <v>33</v>
      </c>
      <c r="D146">
        <v>288</v>
      </c>
      <c r="E146">
        <v>-1.3556642056766001E-2</v>
      </c>
      <c r="F146">
        <v>446</v>
      </c>
      <c r="G146">
        <v>-1.4860776192152E-2</v>
      </c>
      <c r="H146">
        <v>288</v>
      </c>
      <c r="I146">
        <v>-1.4813382896187799E-2</v>
      </c>
      <c r="J146">
        <v>446</v>
      </c>
      <c r="K146">
        <v>-1.48637607632277E-2</v>
      </c>
      <c r="L146" s="3">
        <f>(Mortar[[#This Row],[disp_t3]]--0.0145666666666666)/-0.0145666666666666</f>
        <v>-6.9338073906219919E-2</v>
      </c>
      <c r="M146" s="3">
        <f>(Mortar[[#This Row],[disp_t6]]--0.0145666666666666)/-0.0145666666666666</f>
        <v>2.0190585273597395E-2</v>
      </c>
      <c r="N146" s="3">
        <f>(Mortar[[#This Row],[disp_q4]]--0.0145666666666666)/-0.0145666666666666</f>
        <v>1.6937040928228904E-2</v>
      </c>
      <c r="O146" s="3">
        <f>(Mortar[[#This Row],[disp_q8]]--0.0145666666666666)/-0.0145666666666666</f>
        <v>2.0395475736460091E-2</v>
      </c>
    </row>
    <row r="147" spans="1:15" x14ac:dyDescent="0.3">
      <c r="A147">
        <v>2</v>
      </c>
      <c r="B147">
        <v>9</v>
      </c>
      <c r="C147">
        <f>Mortar[[#This Row],[nxi]]*3</f>
        <v>27</v>
      </c>
      <c r="D147">
        <v>240</v>
      </c>
      <c r="E147">
        <v>-1.3510637970602301E-2</v>
      </c>
      <c r="F147">
        <v>370</v>
      </c>
      <c r="G147">
        <v>-1.48490209370855E-2</v>
      </c>
      <c r="H147">
        <v>240</v>
      </c>
      <c r="I147">
        <v>-1.4772975797209299E-2</v>
      </c>
      <c r="J147">
        <v>370</v>
      </c>
      <c r="K147">
        <v>-1.48521128100469E-2</v>
      </c>
      <c r="L147" s="3">
        <f>(Mortar[[#This Row],[disp_t3]]--0.0145666666666666)/-0.0145666666666666</f>
        <v>-7.249624915773252E-2</v>
      </c>
      <c r="M147" s="3">
        <f>(Mortar[[#This Row],[disp_t6]]--0.0145666666666666)/-0.0145666666666666</f>
        <v>1.9383588358277054E-2</v>
      </c>
      <c r="N147" s="3">
        <f>(Mortar[[#This Row],[disp_q4]]--0.0145666666666666)/-0.0145666666666666</f>
        <v>1.4163098206592737E-2</v>
      </c>
      <c r="O147" s="3">
        <f>(Mortar[[#This Row],[disp_q8]]--0.0145666666666666)/-0.0145666666666666</f>
        <v>1.9595845083315924E-2</v>
      </c>
    </row>
    <row r="148" spans="1:15" x14ac:dyDescent="0.3">
      <c r="A148">
        <v>2</v>
      </c>
      <c r="B148">
        <v>8</v>
      </c>
      <c r="C148">
        <f>Mortar[[#This Row],[nxi]]*3</f>
        <v>24</v>
      </c>
      <c r="D148">
        <v>216</v>
      </c>
      <c r="E148">
        <v>-1.34746966608475E-2</v>
      </c>
      <c r="F148">
        <v>332</v>
      </c>
      <c r="G148">
        <v>-1.48400442579765E-2</v>
      </c>
      <c r="H148">
        <v>216</v>
      </c>
      <c r="I148">
        <v>-1.4741253022508E-2</v>
      </c>
      <c r="J148">
        <v>332</v>
      </c>
      <c r="K148">
        <v>-1.48431967233125E-2</v>
      </c>
      <c r="L148" s="3">
        <f>(Mortar[[#This Row],[disp_t3]]--0.0145666666666666)/-0.0145666666666666</f>
        <v>-7.4963615960121618E-2</v>
      </c>
      <c r="M148" s="3">
        <f>(Mortar[[#This Row],[disp_t6]]--0.0145666666666666)/-0.0145666666666666</f>
        <v>1.8767340364524137E-2</v>
      </c>
      <c r="N148" s="3">
        <f>(Mortar[[#This Row],[disp_q4]]--0.0145666666666666)/-0.0145666666666666</f>
        <v>1.198533335295662E-2</v>
      </c>
      <c r="O148" s="3">
        <f>(Mortar[[#This Row],[disp_q8]]--0.0145666666666666)/-0.0145666666666666</f>
        <v>1.8983756749146562E-2</v>
      </c>
    </row>
    <row r="149" spans="1:15" x14ac:dyDescent="0.3">
      <c r="A149">
        <v>2</v>
      </c>
      <c r="B149">
        <v>7</v>
      </c>
      <c r="C149">
        <f>Mortar[[#This Row],[nxi]]*3</f>
        <v>21</v>
      </c>
      <c r="D149">
        <v>192</v>
      </c>
      <c r="E149">
        <v>-1.34237599034787E-2</v>
      </c>
      <c r="F149">
        <v>294</v>
      </c>
      <c r="G149">
        <v>-1.4827520596353901E-2</v>
      </c>
      <c r="H149">
        <v>192</v>
      </c>
      <c r="I149">
        <v>-1.4696006396176299E-2</v>
      </c>
      <c r="J149">
        <v>294</v>
      </c>
      <c r="K149">
        <v>-1.4830729950435899E-2</v>
      </c>
      <c r="L149" s="3">
        <f>(Mortar[[#This Row],[disp_t3]]--0.0145666666666666)/-0.0145666666666666</f>
        <v>-7.8460418525485423E-2</v>
      </c>
      <c r="M149" s="3">
        <f>(Mortar[[#This Row],[disp_t6]]--0.0145666666666666)/-0.0145666666666666</f>
        <v>1.7907592427045933E-2</v>
      </c>
      <c r="N149" s="3">
        <f>(Mortar[[#This Row],[disp_q4]]--0.0145666666666666)/-0.0145666666666666</f>
        <v>8.8791576322448957E-3</v>
      </c>
      <c r="O149" s="3">
        <f>(Mortar[[#This Row],[disp_q8]]--0.0145666666666666)/-0.0145666666666666</f>
        <v>1.8127914217572157E-2</v>
      </c>
    </row>
    <row r="150" spans="1:15" x14ac:dyDescent="0.3">
      <c r="A150">
        <v>2</v>
      </c>
      <c r="B150">
        <v>6</v>
      </c>
      <c r="C150">
        <f>Mortar[[#This Row],[nxi]]*3</f>
        <v>18</v>
      </c>
      <c r="D150">
        <v>168</v>
      </c>
      <c r="E150">
        <v>-1.33484584552398E-2</v>
      </c>
      <c r="F150">
        <v>256</v>
      </c>
      <c r="G150">
        <v>-1.48092637502042E-2</v>
      </c>
      <c r="H150">
        <v>168</v>
      </c>
      <c r="I150">
        <v>-1.4628394671941901E-2</v>
      </c>
      <c r="J150">
        <v>256</v>
      </c>
      <c r="K150">
        <v>-1.4812507146413601E-2</v>
      </c>
      <c r="L150" s="3">
        <f>(Mortar[[#This Row],[disp_t3]]--0.0145666666666666)/-0.0145666666666666</f>
        <v>-8.3629854331359638E-2</v>
      </c>
      <c r="M150" s="3">
        <f>(Mortar[[#This Row],[disp_t6]]--0.0145666666666666)/-0.0145666666666666</f>
        <v>1.6654262027753011E-2</v>
      </c>
      <c r="N150" s="3">
        <f>(Mortar[[#This Row],[disp_q4]]--0.0145666666666666)/-0.0145666666666666</f>
        <v>4.2376204994486353E-3</v>
      </c>
      <c r="O150" s="3">
        <f>(Mortar[[#This Row],[disp_q8]]--0.0145666666666666)/-0.0145666666666666</f>
        <v>1.6876920806430384E-2</v>
      </c>
    </row>
    <row r="151" spans="1:15" x14ac:dyDescent="0.3">
      <c r="A151">
        <v>2</v>
      </c>
      <c r="B151">
        <v>5</v>
      </c>
      <c r="C151">
        <f>Mortar[[#This Row],[nxi]]*3</f>
        <v>15</v>
      </c>
      <c r="D151">
        <v>144</v>
      </c>
      <c r="E151">
        <v>-1.3231289412868399E-2</v>
      </c>
      <c r="F151">
        <v>218</v>
      </c>
      <c r="G151">
        <v>-1.47811442538634E-2</v>
      </c>
      <c r="H151">
        <v>144</v>
      </c>
      <c r="I151">
        <v>-1.45212255737554E-2</v>
      </c>
      <c r="J151">
        <v>218</v>
      </c>
      <c r="K151">
        <v>-1.4784354581953501E-2</v>
      </c>
      <c r="L151" s="3">
        <f>(Mortar[[#This Row],[disp_t3]]--0.0145666666666666)/-0.0145666666666666</f>
        <v>-9.1673495684087378E-2</v>
      </c>
      <c r="M151" s="3">
        <f>(Mortar[[#This Row],[disp_t6]]--0.0145666666666666)/-0.0145666666666666</f>
        <v>1.4723861821290754E-2</v>
      </c>
      <c r="N151" s="3">
        <f>(Mortar[[#This Row],[disp_q4]]--0.0145666666666666)/-0.0145666666666666</f>
        <v>-3.1195258291441654E-3</v>
      </c>
      <c r="O151" s="3">
        <f>(Mortar[[#This Row],[disp_q8]]--0.0145666666666666)/-0.0145666666666666</f>
        <v>1.4944250477361708E-2</v>
      </c>
    </row>
    <row r="152" spans="1:15" x14ac:dyDescent="0.3">
      <c r="A152">
        <v>2</v>
      </c>
      <c r="B152">
        <v>4</v>
      </c>
      <c r="C152">
        <f>Mortar[[#This Row],[nxi]]*3</f>
        <v>12</v>
      </c>
      <c r="D152">
        <v>120</v>
      </c>
      <c r="E152">
        <v>-1.30376370088277E-2</v>
      </c>
      <c r="F152">
        <v>180</v>
      </c>
      <c r="G152">
        <v>-1.47348669591697E-2</v>
      </c>
      <c r="H152">
        <v>120</v>
      </c>
      <c r="I152">
        <v>-1.43381279080066E-2</v>
      </c>
      <c r="J152">
        <v>180</v>
      </c>
      <c r="K152">
        <v>-1.4737893918332599E-2</v>
      </c>
      <c r="L152" s="3">
        <f>(Mortar[[#This Row],[disp_t3]]--0.0145666666666666)/-0.0145666666666666</f>
        <v>-0.10496771106445581</v>
      </c>
      <c r="M152" s="3">
        <f>(Mortar[[#This Row],[disp_t6]]--0.0145666666666666)/-0.0145666666666666</f>
        <v>1.1546930835453153E-2</v>
      </c>
      <c r="N152" s="3">
        <f>(Mortar[[#This Row],[disp_q4]]--0.0145666666666666)/-0.0145666666666666</f>
        <v>-1.5689159633409666E-2</v>
      </c>
      <c r="O152" s="3">
        <f>(Mortar[[#This Row],[disp_q8]]--0.0145666666666666)/-0.0145666666666666</f>
        <v>1.175473123565223E-2</v>
      </c>
    </row>
    <row r="153" spans="1:15" x14ac:dyDescent="0.3">
      <c r="A153">
        <v>2</v>
      </c>
      <c r="B153">
        <v>3</v>
      </c>
      <c r="C153">
        <f>Mortar[[#This Row],[nxi]]*3</f>
        <v>9</v>
      </c>
      <c r="D153">
        <v>96</v>
      </c>
      <c r="E153">
        <v>-1.26972586529874E-2</v>
      </c>
      <c r="F153">
        <v>142</v>
      </c>
      <c r="G153">
        <v>-1.4653692536383701E-2</v>
      </c>
      <c r="H153">
        <v>96</v>
      </c>
      <c r="I153">
        <v>-1.3995366327289101E-2</v>
      </c>
      <c r="J153">
        <v>142</v>
      </c>
      <c r="K153">
        <v>-1.4655890361534901E-2</v>
      </c>
      <c r="L153" s="3">
        <f>(Mortar[[#This Row],[disp_t3]]--0.0145666666666666)/-0.0145666666666666</f>
        <v>-0.12833464624800056</v>
      </c>
      <c r="M153" s="3">
        <f>(Mortar[[#This Row],[disp_t6]]--0.0145666666666666)/-0.0145666666666666</f>
        <v>5.9743159988857077E-3</v>
      </c>
      <c r="N153" s="3">
        <f>(Mortar[[#This Row],[disp_q4]]--0.0145666666666666)/-0.0145666666666666</f>
        <v>-3.9219702932093904E-2</v>
      </c>
      <c r="O153" s="3">
        <f>(Mortar[[#This Row],[disp_q8]]--0.0145666666666666)/-0.0145666666666666</f>
        <v>6.125196444048164E-3</v>
      </c>
    </row>
    <row r="154" spans="1:15" x14ac:dyDescent="0.3">
      <c r="A154">
        <v>2</v>
      </c>
      <c r="B154">
        <v>2</v>
      </c>
      <c r="C154">
        <f>Mortar[[#This Row],[nxi]]*3</f>
        <v>6</v>
      </c>
      <c r="D154">
        <v>72</v>
      </c>
      <c r="E154">
        <v>-1.2097333934262501E-2</v>
      </c>
      <c r="F154">
        <v>104</v>
      </c>
      <c r="G154">
        <v>-1.4523364267318701E-2</v>
      </c>
      <c r="H154">
        <v>72</v>
      </c>
      <c r="I154">
        <v>-1.33046091088623E-2</v>
      </c>
      <c r="J154">
        <v>104</v>
      </c>
      <c r="K154">
        <v>-1.4528285603478099E-2</v>
      </c>
      <c r="L154" s="3">
        <f>(Mortar[[#This Row],[disp_t3]]--0.0145666666666666)/-0.0145666666666666</f>
        <v>-0.16951940954719291</v>
      </c>
      <c r="M154" s="3">
        <f>(Mortar[[#This Row],[disp_t6]]--0.0145666666666666)/-0.0145666666666666</f>
        <v>-2.97270476072533E-3</v>
      </c>
      <c r="N154" s="3">
        <f>(Mortar[[#This Row],[disp_q4]]--0.0145666666666666)/-0.0145666666666666</f>
        <v>-8.6640106943087339E-2</v>
      </c>
      <c r="O154" s="3">
        <f>(Mortar[[#This Row],[disp_q8]]--0.0145666666666666)/-0.0145666666666666</f>
        <v>-2.6348555964645498E-3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DA0F-7A9C-4CD4-AEB3-C11D32FC7F17}">
  <dimension ref="A1:Q276"/>
  <sheetViews>
    <sheetView tabSelected="1" workbookViewId="0">
      <selection activeCell="T9" sqref="T9"/>
    </sheetView>
  </sheetViews>
  <sheetFormatPr defaultRowHeight="14.4" x14ac:dyDescent="0.3"/>
  <cols>
    <col min="3" max="6" width="9" customWidth="1"/>
    <col min="7" max="14" width="9.5546875" customWidth="1"/>
  </cols>
  <sheetData>
    <row r="1" spans="1:17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25</v>
      </c>
      <c r="L1" t="s">
        <v>26</v>
      </c>
      <c r="M1" s="3" t="s">
        <v>16</v>
      </c>
      <c r="N1" s="3" t="s">
        <v>17</v>
      </c>
      <c r="O1" s="3" t="s">
        <v>18</v>
      </c>
      <c r="P1" s="3" t="s">
        <v>19</v>
      </c>
      <c r="Q1" t="s">
        <v>27</v>
      </c>
    </row>
    <row r="2" spans="1:17" x14ac:dyDescent="0.3">
      <c r="A2">
        <v>200</v>
      </c>
      <c r="B2">
        <v>25</v>
      </c>
      <c r="C2">
        <v>10452</v>
      </c>
      <c r="D2">
        <v>-1.4671847430298E-2</v>
      </c>
      <c r="E2">
        <v>40902</v>
      </c>
      <c r="F2">
        <v>-1.4784752727047599E-2</v>
      </c>
      <c r="G2">
        <v>10452</v>
      </c>
      <c r="H2">
        <v>-1.47516125829274E-2</v>
      </c>
      <c r="I2">
        <v>30902</v>
      </c>
      <c r="J2">
        <v>-1.47924991921139E-2</v>
      </c>
      <c r="K2">
        <v>40902</v>
      </c>
      <c r="L2">
        <v>-1.47924991921139E-2</v>
      </c>
      <c r="M2" s="3">
        <f>(FEM[[#This Row],[disp_t3]]--0.0145666666666666)/-0.0145666666666666</f>
        <v>7.2206473888833987E-3</v>
      </c>
      <c r="N2" s="3">
        <f>(FEM[[#This Row],[disp_t6]]--0.0145666666666666)/-0.0145666666666666</f>
        <v>1.497158309251722E-2</v>
      </c>
      <c r="O2" s="3">
        <f>(FEM[[#This Row],[disp_q4]]--0.0145666666666666)/-0.0145666666666666</f>
        <v>1.2696515990444027E-2</v>
      </c>
      <c r="P2" s="3">
        <f>(FEM[[#This Row],[disp_q8]]--0.0145666666666666)/-0.0145666666666666</f>
        <v>1.5503377032995544E-2</v>
      </c>
      <c r="Q2" s="3">
        <f>(FEM[[#This Row],[disp_q9]]--0.0145666666666666)/-0.0145666666666666</f>
        <v>1.5503377032995544E-2</v>
      </c>
    </row>
    <row r="3" spans="1:17" x14ac:dyDescent="0.3">
      <c r="A3">
        <v>166</v>
      </c>
      <c r="B3">
        <v>25</v>
      </c>
      <c r="C3">
        <v>8684</v>
      </c>
      <c r="D3">
        <v>-1.46596510637219E-2</v>
      </c>
      <c r="E3">
        <v>33966</v>
      </c>
      <c r="F3">
        <v>-1.4781477155606499E-2</v>
      </c>
      <c r="G3">
        <v>8684</v>
      </c>
      <c r="H3">
        <v>-1.4745233221174801E-2</v>
      </c>
      <c r="I3">
        <v>25666</v>
      </c>
      <c r="J3">
        <v>-1.47899859298256E-2</v>
      </c>
      <c r="K3">
        <v>33966</v>
      </c>
      <c r="L3">
        <v>-1.47899859298256E-2</v>
      </c>
      <c r="M3" s="3">
        <f>(FEM[[#This Row],[disp_t3]]--0.0145666666666666)/-0.0145666666666666</f>
        <v>6.3833682188994059E-3</v>
      </c>
      <c r="N3" s="3">
        <f>(FEM[[#This Row],[disp_t6]]--0.0145666666666666)/-0.0145666666666666</f>
        <v>1.4746715487865058E-2</v>
      </c>
      <c r="O3" s="3">
        <f>(FEM[[#This Row],[disp_q4]]--0.0145666666666666)/-0.0145666666666666</f>
        <v>1.2258573536032182E-2</v>
      </c>
      <c r="P3" s="3">
        <f>(FEM[[#This Row],[disp_q8]]--0.0145666666666666)/-0.0145666666666666</f>
        <v>1.5330841864462392E-2</v>
      </c>
      <c r="Q3" s="3">
        <f>(FEM[[#This Row],[disp_q9]]--0.0145666666666666)/-0.0145666666666666</f>
        <v>1.5330841864462392E-2</v>
      </c>
    </row>
    <row r="4" spans="1:17" x14ac:dyDescent="0.3">
      <c r="A4">
        <v>138</v>
      </c>
      <c r="B4">
        <v>25</v>
      </c>
      <c r="C4">
        <v>7228</v>
      </c>
      <c r="D4">
        <v>-1.4643106185379401E-2</v>
      </c>
      <c r="E4">
        <v>28254</v>
      </c>
      <c r="F4">
        <v>-1.4777692278414099E-2</v>
      </c>
      <c r="G4">
        <v>7228</v>
      </c>
      <c r="H4">
        <v>-1.47370006289543E-2</v>
      </c>
      <c r="I4">
        <v>21354</v>
      </c>
      <c r="J4">
        <v>-1.47869215117255E-2</v>
      </c>
      <c r="K4">
        <v>28254</v>
      </c>
      <c r="L4">
        <v>-1.47869215117255E-2</v>
      </c>
      <c r="M4" s="3">
        <f>(FEM[[#This Row],[disp_t3]]--0.0145666666666666)/-0.0145666666666666</f>
        <v>5.2475642136934706E-3</v>
      </c>
      <c r="N4" s="3">
        <f>(FEM[[#This Row],[disp_t6]]--0.0145666666666666)/-0.0145666666666666</f>
        <v>1.4486884101659105E-2</v>
      </c>
      <c r="O4" s="3">
        <f>(FEM[[#This Row],[disp_q4]]--0.0145666666666666)/-0.0145666666666666</f>
        <v>1.1693407022039014E-2</v>
      </c>
      <c r="P4" s="3">
        <f>(FEM[[#This Row],[disp_q8]]--0.0145666666666666)/-0.0145666666666666</f>
        <v>1.5120469912510431E-2</v>
      </c>
      <c r="Q4" s="3">
        <f>(FEM[[#This Row],[disp_q9]]--0.0145666666666666)/-0.0145666666666666</f>
        <v>1.5120469912510431E-2</v>
      </c>
    </row>
    <row r="5" spans="1:17" x14ac:dyDescent="0.3">
      <c r="A5">
        <v>115</v>
      </c>
      <c r="B5">
        <v>25</v>
      </c>
      <c r="C5">
        <v>6032</v>
      </c>
      <c r="D5">
        <v>-1.46207996931082E-2</v>
      </c>
      <c r="E5">
        <v>23562</v>
      </c>
      <c r="F5">
        <v>-1.4773422927210501E-2</v>
      </c>
      <c r="G5">
        <v>6032</v>
      </c>
      <c r="H5">
        <v>-1.4726478159394801E-2</v>
      </c>
      <c r="I5">
        <v>17812</v>
      </c>
      <c r="J5">
        <v>-1.47831850022894E-2</v>
      </c>
      <c r="K5">
        <v>23562</v>
      </c>
      <c r="L5">
        <v>-1.47831850022894E-2</v>
      </c>
      <c r="M5" s="3">
        <f>(FEM[[#This Row],[disp_t3]]--0.0145666666666666)/-0.0145666666666666</f>
        <v>3.7162260715057557E-3</v>
      </c>
      <c r="N5" s="3">
        <f>(FEM[[#This Row],[disp_t6]]--0.0145666666666666)/-0.0145666666666666</f>
        <v>1.4193793630016176E-2</v>
      </c>
      <c r="O5" s="3">
        <f>(FEM[[#This Row],[disp_q4]]--0.0145666666666666)/-0.0145666666666666</f>
        <v>1.0971040690723251E-2</v>
      </c>
      <c r="P5" s="3">
        <f>(FEM[[#This Row],[disp_q8]]--0.0145666666666666)/-0.0145666666666666</f>
        <v>1.4863958967240411E-2</v>
      </c>
      <c r="Q5" s="3">
        <f>(FEM[[#This Row],[disp_q9]]--0.0145666666666666)/-0.0145666666666666</f>
        <v>1.4863958967240411E-2</v>
      </c>
    </row>
    <row r="6" spans="1:17" x14ac:dyDescent="0.3">
      <c r="A6">
        <v>96</v>
      </c>
      <c r="B6">
        <v>25</v>
      </c>
      <c r="C6">
        <v>5044</v>
      </c>
      <c r="D6">
        <v>-1.4590598741632399E-2</v>
      </c>
      <c r="E6">
        <v>19686</v>
      </c>
      <c r="F6">
        <v>-1.4768700149819E-2</v>
      </c>
      <c r="G6">
        <v>5044</v>
      </c>
      <c r="H6">
        <v>-1.4712970182982401E-2</v>
      </c>
      <c r="I6">
        <v>14886</v>
      </c>
      <c r="J6">
        <v>-1.4778784133455E-2</v>
      </c>
      <c r="K6">
        <v>19686</v>
      </c>
      <c r="L6">
        <v>-1.4778784133455E-2</v>
      </c>
      <c r="M6" s="3">
        <f>(FEM[[#This Row],[disp_t3]]--0.0145666666666666)/-0.0145666666666666</f>
        <v>1.6429342081784979E-3</v>
      </c>
      <c r="N6" s="3">
        <f>(FEM[[#This Row],[disp_t6]]--0.0145666666666666)/-0.0145666666666666</f>
        <v>1.3869575502453208E-2</v>
      </c>
      <c r="O6" s="3">
        <f>(FEM[[#This Row],[disp_q4]]--0.0145666666666666)/-0.0145666666666666</f>
        <v>1.0043719655547045E-2</v>
      </c>
      <c r="P6" s="3">
        <f>(FEM[[#This Row],[disp_q8]]--0.0145666666666666)/-0.0145666666666666</f>
        <v>1.4561839825290744E-2</v>
      </c>
      <c r="Q6" s="3">
        <f>(FEM[[#This Row],[disp_q9]]--0.0145666666666666)/-0.0145666666666666</f>
        <v>1.4561839825290744E-2</v>
      </c>
    </row>
    <row r="7" spans="1:17" x14ac:dyDescent="0.3">
      <c r="A7">
        <v>80</v>
      </c>
      <c r="B7">
        <v>25</v>
      </c>
      <c r="C7">
        <v>4212</v>
      </c>
      <c r="D7">
        <v>-1.4548684955731901E-2</v>
      </c>
      <c r="E7">
        <v>16422</v>
      </c>
      <c r="F7">
        <v>-1.4763494854132E-2</v>
      </c>
      <c r="G7">
        <v>4212</v>
      </c>
      <c r="H7">
        <v>-1.46951384715332E-2</v>
      </c>
      <c r="I7">
        <v>12422</v>
      </c>
      <c r="J7">
        <v>-1.4773750328803599E-2</v>
      </c>
      <c r="K7">
        <v>16422</v>
      </c>
      <c r="L7">
        <v>-1.4773750328803599E-2</v>
      </c>
      <c r="M7" s="3">
        <f>(FEM[[#This Row],[disp_t3]]--0.0145666666666666)/-0.0145666666666666</f>
        <v>-1.2344423982630613E-3</v>
      </c>
      <c r="N7" s="3">
        <f>(FEM[[#This Row],[disp_t6]]--0.0145666666666666)/-0.0145666666666666</f>
        <v>1.351223254911222E-2</v>
      </c>
      <c r="O7" s="3">
        <f>(FEM[[#This Row],[disp_q4]]--0.0145666666666666)/-0.0145666666666666</f>
        <v>8.819574704800973E-3</v>
      </c>
      <c r="P7" s="3">
        <f>(FEM[[#This Row],[disp_q8]]--0.0145666666666666)/-0.0145666666666666</f>
        <v>1.4216269711922263E-2</v>
      </c>
      <c r="Q7" s="3">
        <f>(FEM[[#This Row],[disp_q9]]--0.0145666666666666)/-0.0145666666666666</f>
        <v>1.4216269711922263E-2</v>
      </c>
    </row>
    <row r="8" spans="1:17" x14ac:dyDescent="0.3">
      <c r="A8">
        <v>66</v>
      </c>
      <c r="B8">
        <v>25</v>
      </c>
      <c r="C8">
        <v>3484</v>
      </c>
      <c r="D8">
        <v>-1.44868815923878E-2</v>
      </c>
      <c r="E8">
        <v>13566</v>
      </c>
      <c r="F8">
        <v>-1.47576141284205E-2</v>
      </c>
      <c r="G8">
        <v>3484</v>
      </c>
      <c r="H8">
        <v>-1.4670000801379399E-2</v>
      </c>
      <c r="I8">
        <v>10266</v>
      </c>
      <c r="J8">
        <v>-1.4767967472688E-2</v>
      </c>
      <c r="K8">
        <v>13566</v>
      </c>
      <c r="L8">
        <v>-1.4767967472688E-2</v>
      </c>
      <c r="M8" s="3">
        <f>(FEM[[#This Row],[disp_t3]]--0.0145666666666666)/-0.0145666666666666</f>
        <v>-5.477236220512543E-3</v>
      </c>
      <c r="N8" s="3">
        <f>(FEM[[#This Row],[disp_t6]]--0.0145666666666666)/-0.0145666666666666</f>
        <v>1.31085214018697E-2</v>
      </c>
      <c r="O8" s="3">
        <f>(FEM[[#This Row],[disp_q4]]--0.0145666666666666)/-0.0145666666666666</f>
        <v>7.0938765249062121E-3</v>
      </c>
      <c r="P8" s="3">
        <f>(FEM[[#This Row],[disp_q8]]--0.0145666666666666)/-0.0145666666666666</f>
        <v>1.3819277301240367E-2</v>
      </c>
      <c r="Q8" s="3">
        <f>(FEM[[#This Row],[disp_q9]]--0.0145666666666666)/-0.0145666666666666</f>
        <v>1.3819277301240367E-2</v>
      </c>
    </row>
    <row r="9" spans="1:17" x14ac:dyDescent="0.3">
      <c r="A9">
        <v>55</v>
      </c>
      <c r="B9">
        <v>25</v>
      </c>
      <c r="C9">
        <v>2912</v>
      </c>
      <c r="D9">
        <v>-1.4404732816584401E-2</v>
      </c>
      <c r="E9">
        <v>11322</v>
      </c>
      <c r="F9">
        <v>-1.47517557564627E-2</v>
      </c>
      <c r="G9">
        <v>2912</v>
      </c>
      <c r="H9">
        <v>-1.46377518627662E-2</v>
      </c>
      <c r="I9">
        <v>8572</v>
      </c>
      <c r="J9">
        <v>-1.47621797725187E-2</v>
      </c>
      <c r="K9">
        <v>11322</v>
      </c>
      <c r="L9">
        <v>-1.47621797725187E-2</v>
      </c>
      <c r="M9" s="3">
        <f>(FEM[[#This Row],[disp_t3]]--0.0145666666666666)/-0.0145666666666666</f>
        <v>-1.1116740280242518E-2</v>
      </c>
      <c r="N9" s="3">
        <f>(FEM[[#This Row],[disp_t6]]--0.0145666666666666)/-0.0145666666666666</f>
        <v>1.2706344837260963E-2</v>
      </c>
      <c r="O9" s="3">
        <f>(FEM[[#This Row],[disp_q4]]--0.0145666666666666)/-0.0145666666666666</f>
        <v>4.8799905789199544E-3</v>
      </c>
      <c r="P9" s="3">
        <f>(FEM[[#This Row],[disp_q8]]--0.0145666666666666)/-0.0145666666666666</f>
        <v>1.3421952346826216E-2</v>
      </c>
      <c r="Q9" s="3">
        <f>(FEM[[#This Row],[disp_q9]]--0.0145666666666666)/-0.0145666666666666</f>
        <v>1.3421952346826216E-2</v>
      </c>
    </row>
    <row r="10" spans="1:17" x14ac:dyDescent="0.3">
      <c r="A10">
        <v>46</v>
      </c>
      <c r="B10">
        <v>25</v>
      </c>
      <c r="C10">
        <v>2444</v>
      </c>
      <c r="D10">
        <v>-1.4292913362200101E-2</v>
      </c>
      <c r="E10">
        <v>9486</v>
      </c>
      <c r="F10">
        <v>-1.47458116179055E-2</v>
      </c>
      <c r="G10">
        <v>2444</v>
      </c>
      <c r="H10">
        <v>-1.45948978151034E-2</v>
      </c>
      <c r="I10">
        <v>7186</v>
      </c>
      <c r="J10">
        <v>-1.4756308167070501E-2</v>
      </c>
      <c r="K10">
        <v>9486</v>
      </c>
      <c r="L10">
        <v>-1.4756308167070501E-2</v>
      </c>
      <c r="M10" s="3">
        <f>(FEM[[#This Row],[disp_t3]]--0.0145666666666666)/-0.0145666666666666</f>
        <v>-1.8793133029736842E-2</v>
      </c>
      <c r="N10" s="3">
        <f>(FEM[[#This Row],[disp_t6]]--0.0145666666666666)/-0.0145666666666666</f>
        <v>1.2298280405416603E-2</v>
      </c>
      <c r="O10" s="3">
        <f>(FEM[[#This Row],[disp_q4]]--0.0145666666666666)/-0.0145666666666666</f>
        <v>1.93806511007789E-3</v>
      </c>
      <c r="P10" s="3">
        <f>(FEM[[#This Row],[disp_q8]]--0.0145666666666666)/-0.0145666666666666</f>
        <v>1.3018867304615718E-2</v>
      </c>
      <c r="Q10" s="3">
        <f>(FEM[[#This Row],[disp_q9]]--0.0145666666666666)/-0.0145666666666666</f>
        <v>1.3018867304615718E-2</v>
      </c>
    </row>
    <row r="11" spans="1:17" x14ac:dyDescent="0.3">
      <c r="A11">
        <v>38</v>
      </c>
      <c r="B11">
        <v>25</v>
      </c>
      <c r="C11">
        <v>2028</v>
      </c>
      <c r="D11">
        <v>-1.4125505847725201E-2</v>
      </c>
      <c r="E11">
        <v>7854</v>
      </c>
      <c r="F11">
        <v>-1.47392890001197E-2</v>
      </c>
      <c r="G11">
        <v>2028</v>
      </c>
      <c r="H11">
        <v>-1.4531603908083199E-2</v>
      </c>
      <c r="I11">
        <v>5954</v>
      </c>
      <c r="J11">
        <v>-1.4749873264756699E-2</v>
      </c>
      <c r="K11">
        <v>7854</v>
      </c>
      <c r="L11">
        <v>-1.4749873264756699E-2</v>
      </c>
      <c r="M11" s="3">
        <f>(FEM[[#This Row],[disp_t3]]--0.0145666666666666)/-0.0145666666666666</f>
        <v>-3.0285639744260909E-2</v>
      </c>
      <c r="N11" s="3">
        <f>(FEM[[#This Row],[disp_t6]]--0.0145666666666666)/-0.0145666666666666</f>
        <v>1.1850503440716366E-2</v>
      </c>
      <c r="O11" s="3">
        <f>(FEM[[#This Row],[disp_q4]]--0.0145666666666666)/-0.0145666666666666</f>
        <v>-2.407054364993136E-3</v>
      </c>
      <c r="P11" s="3">
        <f>(FEM[[#This Row],[disp_q8]]--0.0145666666666666)/-0.0145666666666666</f>
        <v>1.2577111997032096E-2</v>
      </c>
      <c r="Q11" s="3">
        <f>(FEM[[#This Row],[disp_q9]]--0.0145666666666666)/-0.0145666666666666</f>
        <v>1.2577111997032096E-2</v>
      </c>
    </row>
    <row r="12" spans="1:17" x14ac:dyDescent="0.3">
      <c r="A12">
        <v>32</v>
      </c>
      <c r="B12">
        <v>25</v>
      </c>
      <c r="C12">
        <v>1716</v>
      </c>
      <c r="D12">
        <v>-1.3917100980617899E-2</v>
      </c>
      <c r="E12">
        <v>6630</v>
      </c>
      <c r="F12">
        <v>-1.47333052697711E-2</v>
      </c>
      <c r="G12">
        <v>1716</v>
      </c>
      <c r="H12">
        <v>-1.4452971792862999E-2</v>
      </c>
      <c r="I12">
        <v>5030</v>
      </c>
      <c r="J12">
        <v>-1.47439778314253E-2</v>
      </c>
      <c r="K12">
        <v>6630</v>
      </c>
      <c r="L12">
        <v>-1.47439778314253E-2</v>
      </c>
      <c r="M12" s="3">
        <f>(FEM[[#This Row],[disp_t3]]--0.0145666666666666)/-0.0145666666666666</f>
        <v>-4.4592610026226748E-2</v>
      </c>
      <c r="N12" s="3">
        <f>(FEM[[#This Row],[disp_t6]]--0.0145666666666666)/-0.0145666666666666</f>
        <v>1.1439721036922288E-2</v>
      </c>
      <c r="O12" s="3">
        <f>(FEM[[#This Row],[disp_q4]]--0.0145666666666666)/-0.0145666666666666</f>
        <v>-7.8051400780503729E-3</v>
      </c>
      <c r="P12" s="3">
        <f>(FEM[[#This Row],[disp_q8]]--0.0145666666666666)/-0.0145666666666666</f>
        <v>1.2172391173366251E-2</v>
      </c>
      <c r="Q12" s="3">
        <f>(FEM[[#This Row],[disp_q9]]--0.0145666666666666)/-0.0145666666666666</f>
        <v>1.2172391173366251E-2</v>
      </c>
    </row>
    <row r="13" spans="1:17" x14ac:dyDescent="0.3">
      <c r="A13">
        <v>26</v>
      </c>
      <c r="B13">
        <v>25</v>
      </c>
      <c r="C13">
        <v>1404</v>
      </c>
      <c r="D13">
        <v>-1.35655661083652E-2</v>
      </c>
      <c r="E13">
        <v>5406</v>
      </c>
      <c r="F13">
        <v>-1.47259472415759E-2</v>
      </c>
      <c r="G13">
        <v>1404</v>
      </c>
      <c r="H13">
        <v>-1.4318839382766801E-2</v>
      </c>
      <c r="I13">
        <v>4106</v>
      </c>
      <c r="J13">
        <v>-1.4736741257085399E-2</v>
      </c>
      <c r="K13">
        <v>5406</v>
      </c>
      <c r="L13">
        <v>-1.4736741257085399E-2</v>
      </c>
      <c r="M13" s="3">
        <f>(FEM[[#This Row],[disp_t3]]--0.0145666666666666)/-0.0145666666666666</f>
        <v>-6.8725438784993417E-2</v>
      </c>
      <c r="N13" s="3">
        <f>(FEM[[#This Row],[disp_t6]]--0.0145666666666666)/-0.0145666666666666</f>
        <v>1.0934593243201438E-2</v>
      </c>
      <c r="O13" s="3">
        <f>(FEM[[#This Row],[disp_q4]]--0.0145666666666666)/-0.0145666666666666</f>
        <v>-1.7013314684196777E-2</v>
      </c>
      <c r="P13" s="3">
        <f>(FEM[[#This Row],[disp_q8]]--0.0145666666666666)/-0.0145666666666666</f>
        <v>1.1675601172915377E-2</v>
      </c>
      <c r="Q13" s="3">
        <f>(FEM[[#This Row],[disp_q9]]--0.0145666666666666)/-0.0145666666666666</f>
        <v>1.1675601172915377E-2</v>
      </c>
    </row>
    <row r="14" spans="1:17" x14ac:dyDescent="0.3">
      <c r="A14">
        <v>22</v>
      </c>
      <c r="B14">
        <v>25</v>
      </c>
      <c r="C14">
        <v>1196</v>
      </c>
      <c r="D14">
        <v>-1.31790616183839E-2</v>
      </c>
      <c r="E14">
        <v>4590</v>
      </c>
      <c r="F14">
        <v>-1.47199241016207E-2</v>
      </c>
      <c r="G14">
        <v>1196</v>
      </c>
      <c r="H14">
        <v>-1.4167673222741701E-2</v>
      </c>
      <c r="I14">
        <v>3490</v>
      </c>
      <c r="J14">
        <v>-1.47308347787065E-2</v>
      </c>
      <c r="K14">
        <v>4590</v>
      </c>
      <c r="L14">
        <v>-1.47308347787065E-2</v>
      </c>
      <c r="M14" s="3">
        <f>(FEM[[#This Row],[disp_t3]]--0.0145666666666666)/-0.0145666666666666</f>
        <v>-9.5258927799728069E-2</v>
      </c>
      <c r="N14" s="3">
        <f>(FEM[[#This Row],[disp_t6]]--0.0145666666666666)/-0.0145666666666666</f>
        <v>1.0521105374423452E-2</v>
      </c>
      <c r="O14" s="3">
        <f>(FEM[[#This Row],[disp_q4]]--0.0145666666666666)/-0.0145666666666666</f>
        <v>-2.7390854274020642E-2</v>
      </c>
      <c r="P14" s="3">
        <f>(FEM[[#This Row],[disp_q8]]--0.0145666666666666)/-0.0145666666666666</f>
        <v>1.1270122108002404E-2</v>
      </c>
      <c r="Q14" s="3">
        <f>(FEM[[#This Row],[disp_q9]]--0.0145666666666666)/-0.0145666666666666</f>
        <v>1.1270122108002404E-2</v>
      </c>
    </row>
    <row r="15" spans="1:17" x14ac:dyDescent="0.3">
      <c r="A15">
        <v>18</v>
      </c>
      <c r="B15">
        <v>25</v>
      </c>
      <c r="C15">
        <v>988</v>
      </c>
      <c r="D15">
        <v>-1.25593801758492E-2</v>
      </c>
      <c r="E15">
        <v>3774</v>
      </c>
      <c r="F15">
        <v>-1.4712540839765699E-2</v>
      </c>
      <c r="G15">
        <v>988</v>
      </c>
      <c r="H15">
        <v>-1.3914928694400299E-2</v>
      </c>
      <c r="I15">
        <v>2874</v>
      </c>
      <c r="J15">
        <v>-1.47236326253775E-2</v>
      </c>
      <c r="K15">
        <v>3774</v>
      </c>
      <c r="L15">
        <v>-1.47236326253775E-2</v>
      </c>
      <c r="M15" s="3">
        <f>(FEM[[#This Row],[disp_t3]]--0.0145666666666666)/-0.0145666666666666</f>
        <v>-0.13779998792796855</v>
      </c>
      <c r="N15" s="3">
        <f>(FEM[[#This Row],[disp_t6]]--0.0145666666666666)/-0.0145666666666666</f>
        <v>1.0014245292844439E-2</v>
      </c>
      <c r="O15" s="3">
        <f>(FEM[[#This Row],[disp_q4]]--0.0145666666666666)/-0.0145666666666666</f>
        <v>-4.4741737226519654E-2</v>
      </c>
      <c r="P15" s="3">
        <f>(FEM[[#This Row],[disp_q8]]--0.0145666666666666)/-0.0145666666666666</f>
        <v>1.0775695106011549E-2</v>
      </c>
      <c r="Q15" s="3">
        <f>(FEM[[#This Row],[disp_q9]]--0.0145666666666666)/-0.0145666666666666</f>
        <v>1.0775695106011549E-2</v>
      </c>
    </row>
    <row r="16" spans="1:17" x14ac:dyDescent="0.3">
      <c r="A16">
        <v>15</v>
      </c>
      <c r="B16">
        <v>25</v>
      </c>
      <c r="C16">
        <v>832</v>
      </c>
      <c r="D16">
        <v>-1.1821981617108899E-2</v>
      </c>
      <c r="E16">
        <v>3162</v>
      </c>
      <c r="F16">
        <v>-1.4705632479924499E-2</v>
      </c>
      <c r="G16">
        <v>832</v>
      </c>
      <c r="H16">
        <v>-1.3594519610434E-2</v>
      </c>
      <c r="I16">
        <v>2412</v>
      </c>
      <c r="J16">
        <v>-1.4716961970709199E-2</v>
      </c>
      <c r="K16">
        <v>3162</v>
      </c>
      <c r="L16">
        <v>-1.4716961970709199E-2</v>
      </c>
      <c r="M16" s="3">
        <f>(FEM[[#This Row],[disp_t3]]--0.0145666666666666)/-0.0145666666666666</f>
        <v>-0.18842231461494596</v>
      </c>
      <c r="N16" s="3">
        <f>(FEM[[#This Row],[disp_t6]]--0.0145666666666666)/-0.0145666666666666</f>
        <v>9.5399871801762348E-3</v>
      </c>
      <c r="O16" s="3">
        <f>(FEM[[#This Row],[disp_q4]]--0.0145666666666666)/-0.0145666666666666</f>
        <v>-6.6737784180727983E-2</v>
      </c>
      <c r="P16" s="3">
        <f>(FEM[[#This Row],[disp_q8]]--0.0145666666666666)/-0.0145666666666666</f>
        <v>1.0317755426265498E-2</v>
      </c>
      <c r="Q16" s="3">
        <f>(FEM[[#This Row],[disp_q9]]--0.0145666666666666)/-0.0145666666666666</f>
        <v>1.0317755426265498E-2</v>
      </c>
    </row>
    <row r="17" spans="1:17" x14ac:dyDescent="0.3">
      <c r="A17">
        <v>12</v>
      </c>
      <c r="B17">
        <v>25</v>
      </c>
      <c r="C17">
        <v>676</v>
      </c>
      <c r="D17">
        <v>-1.06723205036654E-2</v>
      </c>
      <c r="E17">
        <v>2550</v>
      </c>
      <c r="F17">
        <v>-1.4696721821666901E-2</v>
      </c>
      <c r="G17">
        <v>676</v>
      </c>
      <c r="H17">
        <v>-1.30444500578661E-2</v>
      </c>
      <c r="I17">
        <v>1950</v>
      </c>
      <c r="J17">
        <v>-1.47085449772214E-2</v>
      </c>
      <c r="K17">
        <v>2550</v>
      </c>
      <c r="L17">
        <v>-1.47085449772214E-2</v>
      </c>
      <c r="M17" s="3">
        <f>(FEM[[#This Row],[disp_t3]]--0.0145666666666666)/-0.0145666666666666</f>
        <v>-0.26734641851266938</v>
      </c>
      <c r="N17" s="3">
        <f>(FEM[[#This Row],[disp_t6]]--0.0145666666666666)/-0.0145666666666666</f>
        <v>8.9282715103182041E-3</v>
      </c>
      <c r="O17" s="3">
        <f>(FEM[[#This Row],[disp_q4]]--0.0145666666666666)/-0.0145666666666666</f>
        <v>-0.10449999602749473</v>
      </c>
      <c r="P17" s="3">
        <f>(FEM[[#This Row],[disp_q8]]--0.0145666666666666)/-0.0145666666666666</f>
        <v>9.7399297863707841E-3</v>
      </c>
      <c r="Q17" s="3">
        <f>(FEM[[#This Row],[disp_q9]]--0.0145666666666666)/-0.0145666666666666</f>
        <v>9.7399297863707841E-3</v>
      </c>
    </row>
    <row r="18" spans="1:17" x14ac:dyDescent="0.3">
      <c r="A18">
        <v>10</v>
      </c>
      <c r="B18">
        <v>25</v>
      </c>
      <c r="C18">
        <v>572</v>
      </c>
      <c r="D18">
        <v>-9.5422388114300895E-3</v>
      </c>
      <c r="E18">
        <v>2142</v>
      </c>
      <c r="F18">
        <v>-1.4688734364922299E-2</v>
      </c>
      <c r="G18">
        <v>572</v>
      </c>
      <c r="H18">
        <v>-1.2431666150548901E-2</v>
      </c>
      <c r="I18">
        <v>1642</v>
      </c>
      <c r="J18">
        <v>-1.4701306903980201E-2</v>
      </c>
      <c r="K18">
        <v>2142</v>
      </c>
      <c r="L18">
        <v>-1.4701306903980201E-2</v>
      </c>
      <c r="M18" s="3">
        <f>(FEM[[#This Row],[disp_t3]]--0.0145666666666666)/-0.0145666666666666</f>
        <v>-0.34492639738465902</v>
      </c>
      <c r="N18" s="3">
        <f>(FEM[[#This Row],[disp_t6]]--0.0145666666666666)/-0.0145666666666666</f>
        <v>8.3799335186979657E-3</v>
      </c>
      <c r="O18" s="3">
        <f>(FEM[[#This Row],[disp_q4]]--0.0145666666666666)/-0.0145666666666666</f>
        <v>-0.14656754115224543</v>
      </c>
      <c r="P18" s="3">
        <f>(FEM[[#This Row],[disp_q8]]--0.0145666666666666)/-0.0145666666666666</f>
        <v>9.2430368865172863E-3</v>
      </c>
      <c r="Q18" s="3">
        <f>(FEM[[#This Row],[disp_q9]]--0.0145666666666666)/-0.0145666666666666</f>
        <v>9.2430368865172863E-3</v>
      </c>
    </row>
    <row r="19" spans="1:17" x14ac:dyDescent="0.3">
      <c r="A19">
        <v>8</v>
      </c>
      <c r="B19">
        <v>25</v>
      </c>
      <c r="C19">
        <v>468</v>
      </c>
      <c r="D19">
        <v>-7.9918681585997107E-3</v>
      </c>
      <c r="E19">
        <v>1734</v>
      </c>
      <c r="F19">
        <v>-1.46771708899296E-2</v>
      </c>
      <c r="G19">
        <v>468</v>
      </c>
      <c r="H19">
        <v>-1.1444039749174901E-2</v>
      </c>
      <c r="I19">
        <v>1334</v>
      </c>
      <c r="J19">
        <v>-1.46915624816017E-2</v>
      </c>
      <c r="K19">
        <v>1734</v>
      </c>
      <c r="L19">
        <v>-1.46915624816017E-2</v>
      </c>
      <c r="M19" s="3">
        <f>(FEM[[#This Row],[disp_t3]]--0.0145666666666666)/-0.0145666666666666</f>
        <v>-0.4513591653135185</v>
      </c>
      <c r="N19" s="3">
        <f>(FEM[[#This Row],[disp_t6]]--0.0145666666666666)/-0.0145666666666666</f>
        <v>7.586102283501245E-3</v>
      </c>
      <c r="O19" s="3">
        <f>(FEM[[#This Row],[disp_q4]]--0.0145666666666666)/-0.0145666666666666</f>
        <v>-0.21436798060583845</v>
      </c>
      <c r="P19" s="3">
        <f>(FEM[[#This Row],[disp_q8]]--0.0145666666666666)/-0.0145666666666666</f>
        <v>8.574083405155657E-3</v>
      </c>
      <c r="Q19" s="3">
        <f>(FEM[[#This Row],[disp_q9]]--0.0145666666666666)/-0.0145666666666666</f>
        <v>8.574083405155657E-3</v>
      </c>
    </row>
    <row r="20" spans="1:17" x14ac:dyDescent="0.3">
      <c r="A20">
        <v>7</v>
      </c>
      <c r="B20">
        <v>25</v>
      </c>
      <c r="C20">
        <v>416</v>
      </c>
      <c r="D20">
        <v>-7.0263811532726801E-3</v>
      </c>
      <c r="E20">
        <v>1530</v>
      </c>
      <c r="F20">
        <v>-1.4668501295868301E-2</v>
      </c>
      <c r="G20">
        <v>416</v>
      </c>
      <c r="H20">
        <v>-1.07206306095134E-2</v>
      </c>
      <c r="I20">
        <v>1180</v>
      </c>
      <c r="J20">
        <v>-1.4684859711944699E-2</v>
      </c>
      <c r="K20">
        <v>1530</v>
      </c>
      <c r="L20">
        <v>-1.4684859711944699E-2</v>
      </c>
      <c r="M20" s="3">
        <f>(FEM[[#This Row],[disp_t3]]--0.0145666666666666)/-0.0145666666666666</f>
        <v>-0.51763973776159866</v>
      </c>
      <c r="N20" s="3">
        <f>(FEM[[#This Row],[disp_t6]]--0.0145666666666666)/-0.0145666666666666</f>
        <v>6.9909356431374324E-3</v>
      </c>
      <c r="O20" s="3">
        <f>(FEM[[#This Row],[disp_q4]]--0.0145666666666666)/-0.0145666666666666</f>
        <v>-0.26402993527367624</v>
      </c>
      <c r="P20" s="3">
        <f>(FEM[[#This Row],[disp_q8]]--0.0145666666666666)/-0.0145666666666666</f>
        <v>8.1139390351098635E-3</v>
      </c>
      <c r="Q20" s="3">
        <f>(FEM[[#This Row],[disp_q9]]--0.0145666666666666)/-0.0145666666666666</f>
        <v>8.1139390351098635E-3</v>
      </c>
    </row>
    <row r="21" spans="1:17" x14ac:dyDescent="0.3">
      <c r="A21">
        <v>6</v>
      </c>
      <c r="B21">
        <v>25</v>
      </c>
      <c r="C21">
        <v>364</v>
      </c>
      <c r="D21">
        <v>-5.9294854960555898E-3</v>
      </c>
      <c r="E21">
        <v>1326</v>
      </c>
      <c r="F21">
        <v>-1.4655569388185199E-2</v>
      </c>
      <c r="G21">
        <v>364</v>
      </c>
      <c r="H21">
        <v>-9.7697173934612001E-3</v>
      </c>
      <c r="I21">
        <v>1026</v>
      </c>
      <c r="J21">
        <v>-1.4675631310308E-2</v>
      </c>
      <c r="K21">
        <v>1326</v>
      </c>
      <c r="L21">
        <v>-1.4675631310308E-2</v>
      </c>
      <c r="M21" s="3">
        <f>(FEM[[#This Row],[disp_t3]]--0.0145666666666666)/-0.0145666666666666</f>
        <v>-0.59294149912661664</v>
      </c>
      <c r="N21" s="3">
        <f>(FEM[[#This Row],[disp_t6]]--0.0145666666666666)/-0.0145666666666666</f>
        <v>6.1031616603158282E-3</v>
      </c>
      <c r="O21" s="3">
        <f>(FEM[[#This Row],[disp_q4]]--0.0145666666666666)/-0.0145666666666666</f>
        <v>-0.32931001875552091</v>
      </c>
      <c r="P21" s="3">
        <f>(FEM[[#This Row],[disp_q8]]--0.0145666666666666)/-0.0145666666666666</f>
        <v>7.4804103186316261E-3</v>
      </c>
      <c r="Q21" s="3">
        <f>(FEM[[#This Row],[disp_q9]]--0.0145666666666666)/-0.0145666666666666</f>
        <v>7.4804103186316261E-3</v>
      </c>
    </row>
    <row r="22" spans="1:17" x14ac:dyDescent="0.3">
      <c r="A22">
        <v>5</v>
      </c>
      <c r="B22">
        <v>25</v>
      </c>
      <c r="C22">
        <v>312</v>
      </c>
      <c r="D22">
        <v>-4.7194893905955103E-3</v>
      </c>
      <c r="E22">
        <v>1122</v>
      </c>
      <c r="F22">
        <v>-1.46333326112603E-2</v>
      </c>
      <c r="G22">
        <v>312</v>
      </c>
      <c r="H22">
        <v>-8.5174112894032192E-3</v>
      </c>
      <c r="I22">
        <v>872</v>
      </c>
      <c r="J22">
        <v>-1.46610221788187E-2</v>
      </c>
      <c r="K22">
        <v>1122</v>
      </c>
      <c r="L22">
        <v>-1.46610221788187E-2</v>
      </c>
      <c r="M22" s="3">
        <f>(FEM[[#This Row],[disp_t3]]--0.0145666666666666)/-0.0145666666666666</f>
        <v>-0.67600759332296112</v>
      </c>
      <c r="N22" s="3">
        <f>(FEM[[#This Row],[disp_t6]]--0.0145666666666666)/-0.0145666666666666</f>
        <v>4.5766094686751201E-3</v>
      </c>
      <c r="O22" s="3">
        <f>(FEM[[#This Row],[disp_q4]]--0.0145666666666666)/-0.0145666666666666</f>
        <v>-0.41528068951465047</v>
      </c>
      <c r="P22" s="3">
        <f>(FEM[[#This Row],[disp_q8]]--0.0145666666666666)/-0.0145666666666666</f>
        <v>6.4774951134165797E-3</v>
      </c>
      <c r="Q22" s="3">
        <f>(FEM[[#This Row],[disp_q9]]--0.0145666666666666)/-0.0145666666666666</f>
        <v>6.4774951134165797E-3</v>
      </c>
    </row>
    <row r="23" spans="1:17" x14ac:dyDescent="0.3">
      <c r="A23">
        <v>4</v>
      </c>
      <c r="B23">
        <v>25</v>
      </c>
      <c r="C23">
        <v>260</v>
      </c>
      <c r="D23">
        <v>-3.4466474336192101E-3</v>
      </c>
      <c r="E23">
        <v>918</v>
      </c>
      <c r="F23">
        <v>-1.458731776673E-2</v>
      </c>
      <c r="G23">
        <v>260</v>
      </c>
      <c r="H23">
        <v>-6.89188927196772E-3</v>
      </c>
      <c r="I23">
        <v>718</v>
      </c>
      <c r="J23">
        <v>-1.4632322237122001E-2</v>
      </c>
      <c r="K23">
        <v>918</v>
      </c>
      <c r="L23">
        <v>-1.4632322237122001E-2</v>
      </c>
      <c r="M23" s="3">
        <f>(FEM[[#This Row],[disp_t3]]--0.0145666666666666)/-0.0145666666666666</f>
        <v>-0.76338804803529337</v>
      </c>
      <c r="N23" s="3">
        <f>(FEM[[#This Row],[disp_t6]]--0.0145666666666666)/-0.0145666666666666</f>
        <v>1.4176956565263414E-3</v>
      </c>
      <c r="O23" s="3">
        <f>(FEM[[#This Row],[disp_q4]]--0.0145666666666666)/-0.0145666666666666</f>
        <v>-0.52687259002509712</v>
      </c>
      <c r="P23" s="3">
        <f>(FEM[[#This Row],[disp_q8]]--0.0145666666666666)/-0.0145666666666666</f>
        <v>4.5072473996843141E-3</v>
      </c>
      <c r="Q23" s="3">
        <f>(FEM[[#This Row],[disp_q9]]--0.0145666666666666)/-0.0145666666666666</f>
        <v>4.5072473996843141E-3</v>
      </c>
    </row>
    <row r="24" spans="1:17" x14ac:dyDescent="0.3">
      <c r="A24">
        <v>3</v>
      </c>
      <c r="B24">
        <v>25</v>
      </c>
      <c r="C24">
        <v>208</v>
      </c>
      <c r="D24">
        <v>-2.2051050847887999E-3</v>
      </c>
      <c r="E24">
        <v>714</v>
      </c>
      <c r="F24">
        <v>-1.44676035086096E-2</v>
      </c>
      <c r="G24">
        <v>208</v>
      </c>
      <c r="H24">
        <v>-4.8804296765829298E-3</v>
      </c>
      <c r="I24">
        <v>564</v>
      </c>
      <c r="J24">
        <v>-1.4555696969558199E-2</v>
      </c>
      <c r="K24">
        <v>714</v>
      </c>
      <c r="L24">
        <v>-1.4555696969558199E-2</v>
      </c>
      <c r="M24" s="3">
        <f>(FEM[[#This Row],[disp_t3]]--0.0145666666666666)/-0.0145666666666666</f>
        <v>-0.84861978822960116</v>
      </c>
      <c r="N24" s="3">
        <f>(FEM[[#This Row],[disp_t6]]--0.0145666666666666)/-0.0145666666666666</f>
        <v>-6.8006744661556181E-3</v>
      </c>
      <c r="O24" s="3">
        <f>(FEM[[#This Row],[disp_q4]]--0.0145666666666666)/-0.0145666666666666</f>
        <v>-0.66495906110414504</v>
      </c>
      <c r="P24" s="3">
        <f>(FEM[[#This Row],[disp_q8]]--0.0145666666666666)/-0.0145666666666666</f>
        <v>-7.5306845137758339E-4</v>
      </c>
      <c r="Q24" s="3">
        <f>(FEM[[#This Row],[disp_q9]]--0.0145666666666666)/-0.0145666666666666</f>
        <v>-7.5306845137758339E-4</v>
      </c>
    </row>
    <row r="25" spans="1:17" x14ac:dyDescent="0.3">
      <c r="A25">
        <v>2</v>
      </c>
      <c r="B25">
        <v>25</v>
      </c>
      <c r="C25">
        <v>156</v>
      </c>
      <c r="D25">
        <v>-1.13449461961042E-3</v>
      </c>
      <c r="E25">
        <v>510</v>
      </c>
      <c r="F25">
        <v>-1.4046807561931499E-2</v>
      </c>
      <c r="G25">
        <v>156</v>
      </c>
      <c r="H25">
        <v>-2.6621181188710499E-3</v>
      </c>
      <c r="I25">
        <v>410</v>
      </c>
      <c r="J25">
        <v>-1.42461907496171E-2</v>
      </c>
      <c r="K25">
        <v>510</v>
      </c>
      <c r="L25">
        <v>-1.42461907496171E-2</v>
      </c>
      <c r="M25" s="3">
        <f>(FEM[[#This Row],[disp_t3]]--0.0145666666666666)/-0.0145666666666666</f>
        <v>-0.92211707416862065</v>
      </c>
      <c r="N25" s="3">
        <f>(FEM[[#This Row],[disp_t6]]--0.0145666666666666)/-0.0145666666666666</f>
        <v>-3.5688268059618014E-2</v>
      </c>
      <c r="O25" s="3">
        <f>(FEM[[#This Row],[disp_q4]]--0.0145666666666666)/-0.0145666666666666</f>
        <v>-0.81724589572967532</v>
      </c>
      <c r="P25" s="3">
        <f>(FEM[[#This Row],[disp_q8]]--0.0145666666666666)/-0.0145666666666666</f>
        <v>-2.2000635037723176E-2</v>
      </c>
      <c r="Q25" s="3">
        <f>(FEM[[#This Row],[disp_q9]]--0.0145666666666666)/-0.0145666666666666</f>
        <v>-2.2000635037723176E-2</v>
      </c>
    </row>
    <row r="26" spans="1:17" x14ac:dyDescent="0.3">
      <c r="A26">
        <v>1</v>
      </c>
      <c r="B26">
        <v>25</v>
      </c>
      <c r="C26">
        <v>104</v>
      </c>
      <c r="D26">
        <v>-3.9810286984343801E-4</v>
      </c>
      <c r="E26">
        <v>306</v>
      </c>
      <c r="F26">
        <v>-1.14187205170025E-2</v>
      </c>
      <c r="G26">
        <v>104</v>
      </c>
      <c r="H26">
        <v>-7.7128878350214702E-4</v>
      </c>
      <c r="I26">
        <v>256</v>
      </c>
      <c r="J26">
        <v>-1.1845907909930601E-2</v>
      </c>
      <c r="K26">
        <v>306</v>
      </c>
      <c r="L26">
        <v>-1.1845907909930601E-2</v>
      </c>
      <c r="M26" s="3">
        <f>(FEM[[#This Row],[disp_t3]]--0.0145666666666666)/-0.0145666666666666</f>
        <v>-0.97267028353477536</v>
      </c>
      <c r="N26" s="3">
        <f>(FEM[[#This Row],[disp_t6]]--0.0145666666666666)/-0.0145666666666666</f>
        <v>-0.21610614299753642</v>
      </c>
      <c r="O26" s="3">
        <f>(FEM[[#This Row],[disp_q4]]--0.0145666666666666)/-0.0145666666666666</f>
        <v>-0.94705111326072189</v>
      </c>
      <c r="P26" s="3">
        <f>(FEM[[#This Row],[disp_q8]]--0.0145666666666666)/-0.0145666666666666</f>
        <v>-0.18677977735029827</v>
      </c>
      <c r="Q26" s="3">
        <f>(FEM[[#This Row],[disp_q9]]--0.0145666666666666)/-0.0145666666666666</f>
        <v>-0.18677977735029827</v>
      </c>
    </row>
    <row r="27" spans="1:17" x14ac:dyDescent="0.3">
      <c r="A27">
        <v>200</v>
      </c>
      <c r="B27">
        <v>19</v>
      </c>
      <c r="C27">
        <v>8040</v>
      </c>
      <c r="D27">
        <v>-1.4632344059091E-2</v>
      </c>
      <c r="E27">
        <v>31278</v>
      </c>
      <c r="F27">
        <v>-1.4778881334894699E-2</v>
      </c>
      <c r="G27">
        <v>8040</v>
      </c>
      <c r="H27">
        <v>-1.4745510142434E-2</v>
      </c>
      <c r="I27">
        <v>23678</v>
      </c>
      <c r="J27">
        <v>-1.47858486800209E-2</v>
      </c>
      <c r="K27">
        <v>31278</v>
      </c>
      <c r="L27">
        <v>-1.47858486800209E-2</v>
      </c>
      <c r="M27" s="3">
        <f>(FEM[[#This Row],[disp_t3]]--0.0145666666666666)/-0.0145666666666666</f>
        <v>4.5087454753593133E-3</v>
      </c>
      <c r="N27" s="3">
        <f>(FEM[[#This Row],[disp_t6]]--0.0145666666666666)/-0.0145666666666666</f>
        <v>1.4568512693004651E-2</v>
      </c>
      <c r="O27" s="3">
        <f>(FEM[[#This Row],[disp_q4]]--0.0145666666666666)/-0.0145666666666666</f>
        <v>1.2277584148791879E-2</v>
      </c>
      <c r="P27" s="3">
        <f>(FEM[[#This Row],[disp_q8]]--0.0145666666666666)/-0.0145666666666666</f>
        <v>1.5046820138739226E-2</v>
      </c>
      <c r="Q27" s="3">
        <f>(FEM[[#This Row],[disp_q9]]--0.0145666666666666)/-0.0145666666666666</f>
        <v>1.5046820138739226E-2</v>
      </c>
    </row>
    <row r="28" spans="1:17" x14ac:dyDescent="0.3">
      <c r="A28">
        <v>166</v>
      </c>
      <c r="B28">
        <v>19</v>
      </c>
      <c r="C28">
        <v>6680</v>
      </c>
      <c r="D28">
        <v>-1.46210360197259E-2</v>
      </c>
      <c r="E28">
        <v>25974</v>
      </c>
      <c r="F28">
        <v>-1.47763304663965E-2</v>
      </c>
      <c r="G28">
        <v>6680</v>
      </c>
      <c r="H28">
        <v>-1.4740002655702401E-2</v>
      </c>
      <c r="I28">
        <v>19666</v>
      </c>
      <c r="J28">
        <v>-1.47837622002552E-2</v>
      </c>
      <c r="K28">
        <v>25974</v>
      </c>
      <c r="L28">
        <v>-1.47837622002552E-2</v>
      </c>
      <c r="M28" s="3">
        <f>(FEM[[#This Row],[disp_t3]]--0.0145666666666666)/-0.0145666666666666</f>
        <v>3.7324498667712417E-3</v>
      </c>
      <c r="N28" s="3">
        <f>(FEM[[#This Row],[disp_t6]]--0.0145666666666666)/-0.0145666666666666</f>
        <v>1.439339586246466E-2</v>
      </c>
      <c r="O28" s="3">
        <f>(FEM[[#This Row],[disp_q4]]--0.0145666666666666)/-0.0145666666666666</f>
        <v>1.1899495814814792E-2</v>
      </c>
      <c r="P28" s="3">
        <f>(FEM[[#This Row],[disp_q8]]--0.0145666666666666)/-0.0145666666666666</f>
        <v>1.4903583541551616E-2</v>
      </c>
      <c r="Q28" s="3">
        <f>(FEM[[#This Row],[disp_q9]]--0.0145666666666666)/-0.0145666666666666</f>
        <v>1.4903583541551616E-2</v>
      </c>
    </row>
    <row r="29" spans="1:17" x14ac:dyDescent="0.3">
      <c r="A29">
        <v>138</v>
      </c>
      <c r="B29">
        <v>19</v>
      </c>
      <c r="C29">
        <v>5560</v>
      </c>
      <c r="D29">
        <v>-1.46053926588999E-2</v>
      </c>
      <c r="E29">
        <v>21606</v>
      </c>
      <c r="F29">
        <v>-1.47733272653327E-2</v>
      </c>
      <c r="G29">
        <v>5560</v>
      </c>
      <c r="H29">
        <v>-1.47326390931274E-2</v>
      </c>
      <c r="I29">
        <v>16362</v>
      </c>
      <c r="J29">
        <v>-1.4781461202545899E-2</v>
      </c>
      <c r="K29">
        <v>21606</v>
      </c>
      <c r="L29">
        <v>-1.4781461202545899E-2</v>
      </c>
      <c r="M29" s="3">
        <f>(FEM[[#This Row],[disp_t3]]--0.0145666666666666)/-0.0145666666666666</f>
        <v>2.6585349359245385E-3</v>
      </c>
      <c r="N29" s="3">
        <f>(FEM[[#This Row],[disp_t6]]--0.0145666666666666)/-0.0145666666666666</f>
        <v>1.4187226453050423E-2</v>
      </c>
      <c r="O29" s="3">
        <f>(FEM[[#This Row],[disp_q4]]--0.0145666666666666)/-0.0145666666666666</f>
        <v>1.13939880865539E-2</v>
      </c>
      <c r="P29" s="3">
        <f>(FEM[[#This Row],[disp_q8]]--0.0145666666666666)/-0.0145666666666666</f>
        <v>1.4745620312080163E-2</v>
      </c>
      <c r="Q29" s="3">
        <f>(FEM[[#This Row],[disp_q9]]--0.0145666666666666)/-0.0145666666666666</f>
        <v>1.4745620312080163E-2</v>
      </c>
    </row>
    <row r="30" spans="1:17" x14ac:dyDescent="0.3">
      <c r="A30">
        <v>115</v>
      </c>
      <c r="B30">
        <v>19</v>
      </c>
      <c r="C30">
        <v>4640</v>
      </c>
      <c r="D30">
        <v>-1.4583952249324E-2</v>
      </c>
      <c r="E30">
        <v>18018</v>
      </c>
      <c r="F30">
        <v>-1.47698544085918E-2</v>
      </c>
      <c r="G30">
        <v>4640</v>
      </c>
      <c r="H30">
        <v>-1.47229282722901E-2</v>
      </c>
      <c r="I30">
        <v>13648</v>
      </c>
      <c r="J30">
        <v>-1.47787409719926E-2</v>
      </c>
      <c r="K30">
        <v>18018</v>
      </c>
      <c r="L30">
        <v>-1.47787409719926E-2</v>
      </c>
      <c r="M30" s="3">
        <f>(FEM[[#This Row],[disp_t3]]--0.0145666666666666)/-0.0145666666666666</f>
        <v>1.1866532716750847E-3</v>
      </c>
      <c r="N30" s="3">
        <f>(FEM[[#This Row],[disp_t6]]--0.0145666666666666)/-0.0145666666666666</f>
        <v>1.3948815235139694E-2</v>
      </c>
      <c r="O30" s="3">
        <f>(FEM[[#This Row],[disp_q4]]--0.0145666666666666)/-0.0145666666666666</f>
        <v>1.0727341347151118E-2</v>
      </c>
      <c r="P30" s="3">
        <f>(FEM[[#This Row],[disp_q8]]--0.0145666666666666)/-0.0145666666666666</f>
        <v>1.4558876795835321E-2</v>
      </c>
      <c r="Q30" s="3">
        <f>(FEM[[#This Row],[disp_q9]]--0.0145666666666666)/-0.0145666666666666</f>
        <v>1.4558876795835321E-2</v>
      </c>
    </row>
    <row r="31" spans="1:17" x14ac:dyDescent="0.3">
      <c r="A31">
        <v>96</v>
      </c>
      <c r="B31">
        <v>19</v>
      </c>
      <c r="C31">
        <v>3880</v>
      </c>
      <c r="D31">
        <v>-1.4554557946291799E-2</v>
      </c>
      <c r="E31">
        <v>15054</v>
      </c>
      <c r="F31">
        <v>-1.4765891238430201E-2</v>
      </c>
      <c r="G31">
        <v>3880</v>
      </c>
      <c r="H31">
        <v>-1.47101400262251E-2</v>
      </c>
      <c r="I31">
        <v>11406</v>
      </c>
      <c r="J31">
        <v>-1.47754072361854E-2</v>
      </c>
      <c r="K31">
        <v>15054</v>
      </c>
      <c r="L31">
        <v>-1.47754072361854E-2</v>
      </c>
      <c r="M31" s="3">
        <f>(FEM[[#This Row],[disp_t3]]--0.0145666666666666)/-0.0145666666666666</f>
        <v>-8.3126226829291006E-4</v>
      </c>
      <c r="N31" s="3">
        <f>(FEM[[#This Row],[disp_t6]]--0.0145666666666666)/-0.0145666666666666</f>
        <v>1.3676744056997866E-2</v>
      </c>
      <c r="O31" s="3">
        <f>(FEM[[#This Row],[disp_q4]]--0.0145666666666666)/-0.0145666666666666</f>
        <v>9.8494297179749345E-3</v>
      </c>
      <c r="P31" s="3">
        <f>(FEM[[#This Row],[disp_q8]]--0.0145666666666666)/-0.0145666666666666</f>
        <v>1.4330016214105387E-2</v>
      </c>
      <c r="Q31" s="3">
        <f>(FEM[[#This Row],[disp_q9]]--0.0145666666666666)/-0.0145666666666666</f>
        <v>1.4330016214105387E-2</v>
      </c>
    </row>
    <row r="32" spans="1:17" x14ac:dyDescent="0.3">
      <c r="A32">
        <v>80</v>
      </c>
      <c r="B32">
        <v>19</v>
      </c>
      <c r="C32">
        <v>3240</v>
      </c>
      <c r="D32">
        <v>-1.4513401719357701E-2</v>
      </c>
      <c r="E32">
        <v>12558</v>
      </c>
      <c r="F32">
        <v>-1.47613705896817E-2</v>
      </c>
      <c r="G32">
        <v>3240</v>
      </c>
      <c r="H32">
        <v>-1.4692926804822801E-2</v>
      </c>
      <c r="I32">
        <v>9518</v>
      </c>
      <c r="J32">
        <v>-1.4771316645508299E-2</v>
      </c>
      <c r="K32">
        <v>12558</v>
      </c>
      <c r="L32">
        <v>-1.4771316645508299E-2</v>
      </c>
      <c r="M32" s="3">
        <f>(FEM[[#This Row],[disp_t3]]--0.0145666666666666)/-0.0145666666666666</f>
        <v>-3.6566325383683537E-3</v>
      </c>
      <c r="N32" s="3">
        <f>(FEM[[#This Row],[disp_t6]]--0.0145666666666666)/-0.0145666666666666</f>
        <v>1.336640203765002E-2</v>
      </c>
      <c r="O32" s="3">
        <f>(FEM[[#This Row],[disp_q4]]--0.0145666666666666)/-0.0145666666666666</f>
        <v>8.6677440381831977E-3</v>
      </c>
      <c r="P32" s="3">
        <f>(FEM[[#This Row],[disp_q8]]--0.0145666666666666)/-0.0145666666666666</f>
        <v>1.4049197632153374E-2</v>
      </c>
      <c r="Q32" s="3">
        <f>(FEM[[#This Row],[disp_q9]]--0.0145666666666666)/-0.0145666666666666</f>
        <v>1.4049197632153374E-2</v>
      </c>
    </row>
    <row r="33" spans="1:17" x14ac:dyDescent="0.3">
      <c r="A33">
        <v>66</v>
      </c>
      <c r="B33">
        <v>19</v>
      </c>
      <c r="C33">
        <v>2680</v>
      </c>
      <c r="D33">
        <v>-1.44523569540769E-2</v>
      </c>
      <c r="E33">
        <v>10374</v>
      </c>
      <c r="F33">
        <v>-1.4756086352682499E-2</v>
      </c>
      <c r="G33">
        <v>2680</v>
      </c>
      <c r="H33">
        <v>-1.46683168862831E-2</v>
      </c>
      <c r="I33">
        <v>7866</v>
      </c>
      <c r="J33">
        <v>-1.47662836461486E-2</v>
      </c>
      <c r="K33">
        <v>10374</v>
      </c>
      <c r="L33">
        <v>-1.47662836461486E-2</v>
      </c>
      <c r="M33" s="3">
        <f>(FEM[[#This Row],[disp_t3]]--0.0145666666666666)/-0.0145666666666666</f>
        <v>-7.847348690368388E-3</v>
      </c>
      <c r="N33" s="3">
        <f>(FEM[[#This Row],[disp_t6]]--0.0145666666666666)/-0.0145666666666666</f>
        <v>1.3003639772258643E-2</v>
      </c>
      <c r="O33" s="3">
        <f>(FEM[[#This Row],[disp_q4]]--0.0145666666666666)/-0.0145666666666666</f>
        <v>6.9782759462128701E-3</v>
      </c>
      <c r="P33" s="3">
        <f>(FEM[[#This Row],[disp_q8]]--0.0145666666666666)/-0.0145666666666666</f>
        <v>1.3703682801968054E-2</v>
      </c>
      <c r="Q33" s="3">
        <f>(FEM[[#This Row],[disp_q9]]--0.0145666666666666)/-0.0145666666666666</f>
        <v>1.3703682801968054E-2</v>
      </c>
    </row>
    <row r="34" spans="1:17" x14ac:dyDescent="0.3">
      <c r="A34">
        <v>55</v>
      </c>
      <c r="B34">
        <v>19</v>
      </c>
      <c r="C34">
        <v>2240</v>
      </c>
      <c r="D34">
        <v>-1.43709303920152E-2</v>
      </c>
      <c r="E34">
        <v>8658</v>
      </c>
      <c r="F34">
        <v>-1.47506663179869E-2</v>
      </c>
      <c r="G34">
        <v>2240</v>
      </c>
      <c r="H34">
        <v>-1.46364570033382E-2</v>
      </c>
      <c r="I34">
        <v>6568</v>
      </c>
      <c r="J34">
        <v>-1.47609872037403E-2</v>
      </c>
      <c r="K34">
        <v>8658</v>
      </c>
      <c r="L34">
        <v>-1.47609872037403E-2</v>
      </c>
      <c r="M34" s="3">
        <f>(FEM[[#This Row],[disp_t3]]--0.0145666666666666)/-0.0145666666666666</f>
        <v>-1.3437272859363839E-2</v>
      </c>
      <c r="N34" s="3">
        <f>(FEM[[#This Row],[disp_t6]]--0.0145666666666666)/-0.0145666666666666</f>
        <v>1.2631555010547E-2</v>
      </c>
      <c r="O34" s="3">
        <f>(FEM[[#This Row],[disp_q4]]--0.0145666666666666)/-0.0145666666666666</f>
        <v>4.7910986273410139E-3</v>
      </c>
      <c r="P34" s="3">
        <f>(FEM[[#This Row],[disp_q8]]--0.0145666666666666)/-0.0145666666666666</f>
        <v>1.3340082636638578E-2</v>
      </c>
      <c r="Q34" s="3">
        <f>(FEM[[#This Row],[disp_q9]]--0.0145666666666666)/-0.0145666666666666</f>
        <v>1.3340082636638578E-2</v>
      </c>
    </row>
    <row r="35" spans="1:17" x14ac:dyDescent="0.3">
      <c r="A35">
        <v>46</v>
      </c>
      <c r="B35">
        <v>19</v>
      </c>
      <c r="C35">
        <v>1880</v>
      </c>
      <c r="D35">
        <v>-1.4259877238978501E-2</v>
      </c>
      <c r="E35">
        <v>7254</v>
      </c>
      <c r="F35">
        <v>-1.4745043499424701E-2</v>
      </c>
      <c r="G35">
        <v>1880</v>
      </c>
      <c r="H35">
        <v>-1.4593893719843799E-2</v>
      </c>
      <c r="I35">
        <v>5506</v>
      </c>
      <c r="J35">
        <v>-1.47554450170083E-2</v>
      </c>
      <c r="K35">
        <v>7254</v>
      </c>
      <c r="L35">
        <v>-1.47554450170083E-2</v>
      </c>
      <c r="M35" s="3">
        <f>(FEM[[#This Row],[disp_t3]]--0.0145666666666666)/-0.0145666666666666</f>
        <v>-2.1061059109022878E-2</v>
      </c>
      <c r="N35" s="3">
        <f>(FEM[[#This Row],[disp_t6]]--0.0145666666666666)/-0.0145666666666666</f>
        <v>1.2245549159595108E-2</v>
      </c>
      <c r="O35" s="3">
        <f>(FEM[[#This Row],[disp_q4]]--0.0145666666666666)/-0.0145666666666666</f>
        <v>1.8691340853913096E-3</v>
      </c>
      <c r="P35" s="3">
        <f>(FEM[[#This Row],[disp_q8]]--0.0145666666666666)/-0.0145666666666666</f>
        <v>1.2959612151604223E-2</v>
      </c>
      <c r="Q35" s="3">
        <f>(FEM[[#This Row],[disp_q9]]--0.0145666666666666)/-0.0145666666666666</f>
        <v>1.2959612151604223E-2</v>
      </c>
    </row>
    <row r="36" spans="1:17" x14ac:dyDescent="0.3">
      <c r="A36">
        <v>38</v>
      </c>
      <c r="B36">
        <v>19</v>
      </c>
      <c r="C36">
        <v>1560</v>
      </c>
      <c r="D36">
        <v>-1.40934287028717E-2</v>
      </c>
      <c r="E36">
        <v>6006</v>
      </c>
      <c r="F36">
        <v>-1.47387681190133E-2</v>
      </c>
      <c r="G36">
        <v>1560</v>
      </c>
      <c r="H36">
        <v>-1.45308303574409E-2</v>
      </c>
      <c r="I36">
        <v>4562</v>
      </c>
      <c r="J36">
        <v>-1.47492536980816E-2</v>
      </c>
      <c r="K36">
        <v>6006</v>
      </c>
      <c r="L36">
        <v>-1.47492536980816E-2</v>
      </c>
      <c r="M36" s="3">
        <f>(FEM[[#This Row],[disp_t3]]--0.0145666666666666)/-0.0145666666666666</f>
        <v>-3.2487732068299878E-2</v>
      </c>
      <c r="N36" s="3">
        <f>(FEM[[#This Row],[disp_t6]]--0.0145666666666666)/-0.0145666666666666</f>
        <v>1.1814745012359386E-2</v>
      </c>
      <c r="O36" s="3">
        <f>(FEM[[#This Row],[disp_q4]]--0.0145666666666666)/-0.0145666666666666</f>
        <v>-2.4601585280800867E-3</v>
      </c>
      <c r="P36" s="3">
        <f>(FEM[[#This Row],[disp_q8]]--0.0145666666666666)/-0.0145666666666666</f>
        <v>1.2534578815675148E-2</v>
      </c>
      <c r="Q36" s="3">
        <f>(FEM[[#This Row],[disp_q9]]--0.0145666666666666)/-0.0145666666666666</f>
        <v>1.2534578815675148E-2</v>
      </c>
    </row>
    <row r="37" spans="1:17" x14ac:dyDescent="0.3">
      <c r="A37">
        <v>32</v>
      </c>
      <c r="B37">
        <v>19</v>
      </c>
      <c r="C37">
        <v>1320</v>
      </c>
      <c r="D37">
        <v>-1.3886086806687599E-2</v>
      </c>
      <c r="E37">
        <v>5070</v>
      </c>
      <c r="F37">
        <v>-1.47329418871468E-2</v>
      </c>
      <c r="G37">
        <v>1320</v>
      </c>
      <c r="H37">
        <v>-1.4452350564753099E-2</v>
      </c>
      <c r="I37">
        <v>3854</v>
      </c>
      <c r="J37">
        <v>-1.47435157104342E-2</v>
      </c>
      <c r="K37">
        <v>5070</v>
      </c>
      <c r="L37">
        <v>-1.47435157104342E-2</v>
      </c>
      <c r="M37" s="3">
        <f>(FEM[[#This Row],[disp_t3]]--0.0145666666666666)/-0.0145666666666666</f>
        <v>-4.6721729518009375E-2</v>
      </c>
      <c r="N37" s="3">
        <f>(FEM[[#This Row],[disp_t6]]--0.0145666666666666)/-0.0145666666666666</f>
        <v>1.141477486134105E-2</v>
      </c>
      <c r="O37" s="3">
        <f>(FEM[[#This Row],[disp_q4]]--0.0145666666666666)/-0.0145666666666666</f>
        <v>-7.8477873167162784E-3</v>
      </c>
      <c r="P37" s="3">
        <f>(FEM[[#This Row],[disp_q8]]--0.0145666666666666)/-0.0145666666666666</f>
        <v>1.2140666620201458E-2</v>
      </c>
      <c r="Q37" s="3">
        <f>(FEM[[#This Row],[disp_q9]]--0.0145666666666666)/-0.0145666666666666</f>
        <v>1.2140666620201458E-2</v>
      </c>
    </row>
    <row r="38" spans="1:17" x14ac:dyDescent="0.3">
      <c r="A38">
        <v>26</v>
      </c>
      <c r="B38">
        <v>19</v>
      </c>
      <c r="C38">
        <v>1080</v>
      </c>
      <c r="D38">
        <v>-1.3536204506926299E-2</v>
      </c>
      <c r="E38">
        <v>4134</v>
      </c>
      <c r="F38">
        <v>-1.47257151398392E-2</v>
      </c>
      <c r="G38">
        <v>1080</v>
      </c>
      <c r="H38">
        <v>-1.4318351014463E-2</v>
      </c>
      <c r="I38">
        <v>3146</v>
      </c>
      <c r="J38">
        <v>-1.47364178611316E-2</v>
      </c>
      <c r="K38">
        <v>4134</v>
      </c>
      <c r="L38">
        <v>-1.47364178611316E-2</v>
      </c>
      <c r="M38" s="3">
        <f>(FEM[[#This Row],[disp_t3]]--0.0145666666666666)/-0.0145666666666666</f>
        <v>-7.0741109364322999E-2</v>
      </c>
      <c r="N38" s="3">
        <f>(FEM[[#This Row],[disp_t6]]--0.0145666666666666)/-0.0145666666666666</f>
        <v>1.0918659485533248E-2</v>
      </c>
      <c r="O38" s="3">
        <f>(FEM[[#This Row],[disp_q4]]--0.0145666666666666)/-0.0145666666666666</f>
        <v>-1.7046841112375304E-2</v>
      </c>
      <c r="P38" s="3">
        <f>(FEM[[#This Row],[disp_q8]]--0.0145666666666666)/-0.0145666666666666</f>
        <v>1.1653400077688884E-2</v>
      </c>
      <c r="Q38" s="3">
        <f>(FEM[[#This Row],[disp_q9]]--0.0145666666666666)/-0.0145666666666666</f>
        <v>1.1653400077688884E-2</v>
      </c>
    </row>
    <row r="39" spans="1:17" x14ac:dyDescent="0.3">
      <c r="A39">
        <v>22</v>
      </c>
      <c r="B39">
        <v>19</v>
      </c>
      <c r="C39">
        <v>920</v>
      </c>
      <c r="D39">
        <v>-1.31514111959609E-2</v>
      </c>
      <c r="E39">
        <v>3510</v>
      </c>
      <c r="F39">
        <v>-1.47197643600681E-2</v>
      </c>
      <c r="G39">
        <v>920</v>
      </c>
      <c r="H39">
        <v>-1.4167262490849101E-2</v>
      </c>
      <c r="I39">
        <v>2674</v>
      </c>
      <c r="J39">
        <v>-1.4730593523974499E-2</v>
      </c>
      <c r="K39">
        <v>3510</v>
      </c>
      <c r="L39">
        <v>-1.4730593523974499E-2</v>
      </c>
      <c r="M39" s="3">
        <f>(FEM[[#This Row],[disp_t3]]--0.0145666666666666)/-0.0145666666666666</f>
        <v>-9.715712613540313E-2</v>
      </c>
      <c r="N39" s="3">
        <f>(FEM[[#This Row],[disp_t6]]--0.0145666666666666)/-0.0145666666666666</f>
        <v>1.0510139135114517E-2</v>
      </c>
      <c r="O39" s="3">
        <f>(FEM[[#This Row],[disp_q4]]--0.0145666666666666)/-0.0145666666666666</f>
        <v>-2.7419050971453113E-2</v>
      </c>
      <c r="P39" s="3">
        <f>(FEM[[#This Row],[disp_q8]]--0.0145666666666666)/-0.0145666666666666</f>
        <v>1.1253559998254057E-2</v>
      </c>
      <c r="Q39" s="3">
        <f>(FEM[[#This Row],[disp_q9]]--0.0145666666666666)/-0.0145666666666666</f>
        <v>1.1253559998254057E-2</v>
      </c>
    </row>
    <row r="40" spans="1:17" x14ac:dyDescent="0.3">
      <c r="A40">
        <v>18</v>
      </c>
      <c r="B40">
        <v>19</v>
      </c>
      <c r="C40">
        <v>760</v>
      </c>
      <c r="D40">
        <v>-1.25343254519163E-2</v>
      </c>
      <c r="E40">
        <v>2886</v>
      </c>
      <c r="F40">
        <v>-1.47124413016258E-2</v>
      </c>
      <c r="G40">
        <v>760</v>
      </c>
      <c r="H40">
        <v>-1.3914587761247699E-2</v>
      </c>
      <c r="I40">
        <v>2202</v>
      </c>
      <c r="J40">
        <v>-1.47234642236418E-2</v>
      </c>
      <c r="K40">
        <v>2886</v>
      </c>
      <c r="L40">
        <v>-1.47234642236418E-2</v>
      </c>
      <c r="M40" s="3">
        <f>(FEM[[#This Row],[disp_t3]]--0.0145666666666666)/-0.0145666666666666</f>
        <v>-0.13951999185928893</v>
      </c>
      <c r="N40" s="3">
        <f>(FEM[[#This Row],[disp_t6]]--0.0145666666666666)/-0.0145666666666666</f>
        <v>1.0007412010929183E-2</v>
      </c>
      <c r="O40" s="3">
        <f>(FEM[[#This Row],[disp_q4]]--0.0145666666666666)/-0.0145666666666666</f>
        <v>-4.4765142248437272E-2</v>
      </c>
      <c r="P40" s="3">
        <f>(FEM[[#This Row],[disp_q8]]--0.0145666666666666)/-0.0145666666666666</f>
        <v>1.0764134346123656E-2</v>
      </c>
      <c r="Q40" s="3">
        <f>(FEM[[#This Row],[disp_q9]]--0.0145666666666666)/-0.0145666666666666</f>
        <v>1.0764134346123656E-2</v>
      </c>
    </row>
    <row r="41" spans="1:17" x14ac:dyDescent="0.3">
      <c r="A41">
        <v>15</v>
      </c>
      <c r="B41">
        <v>19</v>
      </c>
      <c r="C41">
        <v>640</v>
      </c>
      <c r="D41">
        <v>-1.17998252737819E-2</v>
      </c>
      <c r="E41">
        <v>2418</v>
      </c>
      <c r="F41">
        <v>-1.47055705072211E-2</v>
      </c>
      <c r="G41">
        <v>640</v>
      </c>
      <c r="H41">
        <v>-1.35942274563681E-2</v>
      </c>
      <c r="I41">
        <v>1848</v>
      </c>
      <c r="J41">
        <v>-1.4716841015784399E-2</v>
      </c>
      <c r="K41">
        <v>2418</v>
      </c>
      <c r="L41">
        <v>-1.4716841015784399E-2</v>
      </c>
      <c r="M41" s="3">
        <f>(FEM[[#This Row],[disp_t3]]--0.0145666666666666)/-0.0145666666666666</f>
        <v>-0.18994334504929375</v>
      </c>
      <c r="N41" s="3">
        <f>(FEM[[#This Row],[disp_t6]]--0.0145666666666666)/-0.0145666666666666</f>
        <v>9.5357327611785506E-3</v>
      </c>
      <c r="O41" s="3">
        <f>(FEM[[#This Row],[disp_q4]]--0.0145666666666666)/-0.0145666666666666</f>
        <v>-6.675784052392475E-2</v>
      </c>
      <c r="P41" s="3">
        <f>(FEM[[#This Row],[disp_q8]]--0.0145666666666666)/-0.0145666666666666</f>
        <v>1.0309451884517215E-2</v>
      </c>
      <c r="Q41" s="3">
        <f>(FEM[[#This Row],[disp_q9]]--0.0145666666666666)/-0.0145666666666666</f>
        <v>1.0309451884517215E-2</v>
      </c>
    </row>
    <row r="42" spans="1:17" x14ac:dyDescent="0.3">
      <c r="A42">
        <v>12</v>
      </c>
      <c r="B42">
        <v>19</v>
      </c>
      <c r="C42">
        <v>520</v>
      </c>
      <c r="D42">
        <v>-1.06543105917152E-2</v>
      </c>
      <c r="E42">
        <v>1950</v>
      </c>
      <c r="F42">
        <v>-1.4696692054274801E-2</v>
      </c>
      <c r="G42">
        <v>520</v>
      </c>
      <c r="H42">
        <v>-1.30442065926054E-2</v>
      </c>
      <c r="I42">
        <v>1494</v>
      </c>
      <c r="J42">
        <v>-1.4708464114012901E-2</v>
      </c>
      <c r="K42">
        <v>1950</v>
      </c>
      <c r="L42">
        <v>-1.4708464114012901E-2</v>
      </c>
      <c r="M42" s="3">
        <f>(FEM[[#This Row],[disp_t3]]--0.0145666666666666)/-0.0145666666666666</f>
        <v>-0.26858279690741999</v>
      </c>
      <c r="N42" s="3">
        <f>(FEM[[#This Row],[disp_t6]]--0.0145666666666666)/-0.0145666666666666</f>
        <v>8.9262279822564291E-3</v>
      </c>
      <c r="O42" s="3">
        <f>(FEM[[#This Row],[disp_q4]]--0.0145666666666666)/-0.0145666666666666</f>
        <v>-0.10451670988978536</v>
      </c>
      <c r="P42" s="3">
        <f>(FEM[[#This Row],[disp_q8]]--0.0145666666666666)/-0.0145666666666666</f>
        <v>9.7343785363594101E-3</v>
      </c>
      <c r="Q42" s="3">
        <f>(FEM[[#This Row],[disp_q9]]--0.0145666666666666)/-0.0145666666666666</f>
        <v>9.7343785363594101E-3</v>
      </c>
    </row>
    <row r="43" spans="1:17" x14ac:dyDescent="0.3">
      <c r="A43">
        <v>10</v>
      </c>
      <c r="B43">
        <v>19</v>
      </c>
      <c r="C43">
        <v>440</v>
      </c>
      <c r="D43">
        <v>-9.5278787309924801E-3</v>
      </c>
      <c r="E43">
        <v>1638</v>
      </c>
      <c r="F43">
        <v>-1.46887245334399E-2</v>
      </c>
      <c r="G43">
        <v>440</v>
      </c>
      <c r="H43">
        <v>-1.2431457878159E-2</v>
      </c>
      <c r="I43">
        <v>1258</v>
      </c>
      <c r="J43">
        <v>-1.4701247902283001E-2</v>
      </c>
      <c r="K43">
        <v>1638</v>
      </c>
      <c r="L43">
        <v>-1.4701247902283001E-2</v>
      </c>
      <c r="M43" s="3">
        <f>(FEM[[#This Row],[disp_t3]]--0.0145666666666666)/-0.0145666666666666</f>
        <v>-0.34591221526367111</v>
      </c>
      <c r="N43" s="3">
        <f>(FEM[[#This Row],[disp_t6]]--0.0145666666666666)/-0.0145666666666666</f>
        <v>8.3792585885561557E-3</v>
      </c>
      <c r="O43" s="3">
        <f>(FEM[[#This Row],[disp_q4]]--0.0145666666666666)/-0.0145666666666666</f>
        <v>-0.1465818390279823</v>
      </c>
      <c r="P43" s="3">
        <f>(FEM[[#This Row],[disp_q8]]--0.0145666666666666)/-0.0145666666666666</f>
        <v>9.2389864267552833E-3</v>
      </c>
      <c r="Q43" s="3">
        <f>(FEM[[#This Row],[disp_q9]]--0.0145666666666666)/-0.0145666666666666</f>
        <v>9.2389864267552833E-3</v>
      </c>
    </row>
    <row r="44" spans="1:17" x14ac:dyDescent="0.3">
      <c r="A44">
        <v>8</v>
      </c>
      <c r="B44">
        <v>19</v>
      </c>
      <c r="C44">
        <v>360</v>
      </c>
      <c r="D44">
        <v>-7.9818377249865104E-3</v>
      </c>
      <c r="E44">
        <v>1326</v>
      </c>
      <c r="F44">
        <v>-1.4677181935269601E-2</v>
      </c>
      <c r="G44">
        <v>360</v>
      </c>
      <c r="H44">
        <v>-1.14438723581042E-2</v>
      </c>
      <c r="I44">
        <v>1022</v>
      </c>
      <c r="J44">
        <v>-1.46915205093855E-2</v>
      </c>
      <c r="K44">
        <v>1326</v>
      </c>
      <c r="L44">
        <v>-1.46915205093855E-2</v>
      </c>
      <c r="M44" s="3">
        <f>(FEM[[#This Row],[disp_t3]]--0.0145666666666666)/-0.0145666666666666</f>
        <v>-0.4520477534334178</v>
      </c>
      <c r="N44" s="3">
        <f>(FEM[[#This Row],[disp_t6]]--0.0145666666666666)/-0.0145666666666666</f>
        <v>7.5868605448284939E-3</v>
      </c>
      <c r="O44" s="3">
        <f>(FEM[[#This Row],[disp_q4]]--0.0145666666666666)/-0.0145666666666666</f>
        <v>-0.21437947198368976</v>
      </c>
      <c r="P44" s="3">
        <f>(FEM[[#This Row],[disp_q8]]--0.0145666666666666)/-0.0145666666666666</f>
        <v>8.5712020173159004E-3</v>
      </c>
      <c r="Q44" s="3">
        <f>(FEM[[#This Row],[disp_q9]]--0.0145666666666666)/-0.0145666666666666</f>
        <v>8.5712020173159004E-3</v>
      </c>
    </row>
    <row r="45" spans="1:17" x14ac:dyDescent="0.3">
      <c r="A45">
        <v>7</v>
      </c>
      <c r="B45">
        <v>19</v>
      </c>
      <c r="C45">
        <v>320</v>
      </c>
      <c r="D45">
        <v>-7.01865263413961E-3</v>
      </c>
      <c r="E45">
        <v>1170</v>
      </c>
      <c r="F45">
        <v>-1.46685238346509E-2</v>
      </c>
      <c r="G45">
        <v>320</v>
      </c>
      <c r="H45">
        <v>-1.07204870936519E-2</v>
      </c>
      <c r="I45">
        <v>904</v>
      </c>
      <c r="J45">
        <v>-1.4684823892137201E-2</v>
      </c>
      <c r="K45">
        <v>1170</v>
      </c>
      <c r="L45">
        <v>-1.4684823892137201E-2</v>
      </c>
      <c r="M45" s="3">
        <f>(FEM[[#This Row],[disp_t3]]--0.0145666666666666)/-0.0145666666666666</f>
        <v>-0.51817029971581408</v>
      </c>
      <c r="N45" s="3">
        <f>(FEM[[#This Row],[disp_t6]]--0.0145666666666666)/-0.0145666666666666</f>
        <v>6.9924829279840424E-3</v>
      </c>
      <c r="O45" s="3">
        <f>(FEM[[#This Row],[disp_q4]]--0.0145666666666666)/-0.0145666666666666</f>
        <v>-0.26403978762114766</v>
      </c>
      <c r="P45" s="3">
        <f>(FEM[[#This Row],[disp_q8]]--0.0145666666666666)/-0.0145666666666666</f>
        <v>8.111480009423461E-3</v>
      </c>
      <c r="Q45" s="3">
        <f>(FEM[[#This Row],[disp_q9]]--0.0145666666666666)/-0.0145666666666666</f>
        <v>8.111480009423461E-3</v>
      </c>
    </row>
    <row r="46" spans="1:17" x14ac:dyDescent="0.3">
      <c r="A46">
        <v>6</v>
      </c>
      <c r="B46">
        <v>19</v>
      </c>
      <c r="C46">
        <v>280</v>
      </c>
      <c r="D46">
        <v>-5.9240055826191998E-3</v>
      </c>
      <c r="E46">
        <v>1014</v>
      </c>
      <c r="F46">
        <v>-1.46556041304555E-2</v>
      </c>
      <c r="G46">
        <v>280</v>
      </c>
      <c r="H46">
        <v>-9.7696006178343894E-3</v>
      </c>
      <c r="I46">
        <v>786</v>
      </c>
      <c r="J46">
        <v>-1.46755993394968E-2</v>
      </c>
      <c r="K46">
        <v>1014</v>
      </c>
      <c r="L46">
        <v>-1.46755993394968E-2</v>
      </c>
      <c r="M46" s="3">
        <f>(FEM[[#This Row],[disp_t3]]--0.0145666666666666)/-0.0145666666666666</f>
        <v>-0.59331769455703254</v>
      </c>
      <c r="N46" s="3">
        <f>(FEM[[#This Row],[disp_t6]]--0.0145666666666666)/-0.0145666666666666</f>
        <v>6.1055467131968513E-3</v>
      </c>
      <c r="O46" s="3">
        <f>(FEM[[#This Row],[disp_q4]]--0.0145666666666666)/-0.0145666666666666</f>
        <v>-0.32931803538894044</v>
      </c>
      <c r="P46" s="3">
        <f>(FEM[[#This Row],[disp_q8]]--0.0145666666666666)/-0.0145666666666666</f>
        <v>7.4782155261007462E-3</v>
      </c>
      <c r="Q46" s="3">
        <f>(FEM[[#This Row],[disp_q9]]--0.0145666666666666)/-0.0145666666666666</f>
        <v>7.4782155261007462E-3</v>
      </c>
    </row>
    <row r="47" spans="1:17" x14ac:dyDescent="0.3">
      <c r="A47">
        <v>5</v>
      </c>
      <c r="B47">
        <v>19</v>
      </c>
      <c r="C47">
        <v>240</v>
      </c>
      <c r="D47">
        <v>-4.7160380910950097E-3</v>
      </c>
      <c r="E47">
        <v>858</v>
      </c>
      <c r="F47">
        <v>-1.46333793245853E-2</v>
      </c>
      <c r="G47">
        <v>240</v>
      </c>
      <c r="H47">
        <v>-8.5173240374952202E-3</v>
      </c>
      <c r="I47">
        <v>668</v>
      </c>
      <c r="J47">
        <v>-1.4660990483744901E-2</v>
      </c>
      <c r="K47">
        <v>858</v>
      </c>
      <c r="L47">
        <v>-1.4660990483744901E-2</v>
      </c>
      <c r="M47" s="3">
        <f>(FEM[[#This Row],[disp_t3]]--0.0145666666666666)/-0.0145666666666666</f>
        <v>-0.67624452463878504</v>
      </c>
      <c r="N47" s="3">
        <f>(FEM[[#This Row],[disp_t6]]--0.0145666666666666)/-0.0145666666666666</f>
        <v>4.5798163330915851E-3</v>
      </c>
      <c r="O47" s="3">
        <f>(FEM[[#This Row],[disp_q4]]--0.0145666666666666)/-0.0145666666666666</f>
        <v>-0.4152866793481515</v>
      </c>
      <c r="P47" s="3">
        <f>(FEM[[#This Row],[disp_q8]]--0.0145666666666666)/-0.0145666666666666</f>
        <v>6.4753192502266556E-3</v>
      </c>
      <c r="Q47" s="3">
        <f>(FEM[[#This Row],[disp_q9]]--0.0145666666666666)/-0.0145666666666666</f>
        <v>6.4753192502266556E-3</v>
      </c>
    </row>
    <row r="48" spans="1:17" x14ac:dyDescent="0.3">
      <c r="A48">
        <v>4</v>
      </c>
      <c r="B48">
        <v>19</v>
      </c>
      <c r="C48">
        <v>200</v>
      </c>
      <c r="D48">
        <v>-3.4448194284514701E-3</v>
      </c>
      <c r="E48">
        <v>702</v>
      </c>
      <c r="F48">
        <v>-1.45873731329183E-2</v>
      </c>
      <c r="G48">
        <v>200</v>
      </c>
      <c r="H48">
        <v>-6.8918325516509199E-3</v>
      </c>
      <c r="I48">
        <v>550</v>
      </c>
      <c r="J48">
        <v>-1.4632283346499001E-2</v>
      </c>
      <c r="K48">
        <v>702</v>
      </c>
      <c r="L48">
        <v>-1.4632283346499001E-2</v>
      </c>
      <c r="M48" s="3">
        <f>(FEM[[#This Row],[disp_t3]]--0.0145666666666666)/-0.0145666666666666</f>
        <v>-0.7635135403809048</v>
      </c>
      <c r="N48" s="3">
        <f>(FEM[[#This Row],[disp_t6]]--0.0145666666666666)/-0.0145666666666666</f>
        <v>1.4214965390183809E-3</v>
      </c>
      <c r="O48" s="3">
        <f>(FEM[[#This Row],[disp_q4]]--0.0145666666666666)/-0.0145666666666666</f>
        <v>-0.52687648386835573</v>
      </c>
      <c r="P48" s="3">
        <f>(FEM[[#This Row],[disp_q8]]--0.0145666666666666)/-0.0145666666666666</f>
        <v>4.504577562865107E-3</v>
      </c>
      <c r="Q48" s="3">
        <f>(FEM[[#This Row],[disp_q9]]--0.0145666666666666)/-0.0145666666666666</f>
        <v>4.504577562865107E-3</v>
      </c>
    </row>
    <row r="49" spans="1:17" x14ac:dyDescent="0.3">
      <c r="A49">
        <v>3</v>
      </c>
      <c r="B49">
        <v>19</v>
      </c>
      <c r="C49">
        <v>160</v>
      </c>
      <c r="D49">
        <v>-2.2043579068431098E-3</v>
      </c>
      <c r="E49">
        <v>546</v>
      </c>
      <c r="F49">
        <v>-1.4467656458463801E-2</v>
      </c>
      <c r="G49">
        <v>160</v>
      </c>
      <c r="H49">
        <v>-4.8804011797585096E-3</v>
      </c>
      <c r="I49">
        <v>432</v>
      </c>
      <c r="J49">
        <v>-1.4555634441695499E-2</v>
      </c>
      <c r="K49">
        <v>546</v>
      </c>
      <c r="L49">
        <v>-1.4555634441695499E-2</v>
      </c>
      <c r="M49" s="3">
        <f>(FEM[[#This Row],[disp_t3]]--0.0145666666666666)/-0.0145666666666666</f>
        <v>-0.84867108191008334</v>
      </c>
      <c r="N49" s="3">
        <f>(FEM[[#This Row],[disp_t6]]--0.0145666666666666)/-0.0145666666666666</f>
        <v>-6.7970394647230625E-3</v>
      </c>
      <c r="O49" s="3">
        <f>(FEM[[#This Row],[disp_q4]]--0.0145666666666666)/-0.0145666666666666</f>
        <v>-0.66496101740788105</v>
      </c>
      <c r="P49" s="3">
        <f>(FEM[[#This Row],[disp_q8]]--0.0145666666666666)/-0.0145666666666666</f>
        <v>-7.5736098199772467E-4</v>
      </c>
      <c r="Q49" s="3">
        <f>(FEM[[#This Row],[disp_q9]]--0.0145666666666666)/-0.0145666666666666</f>
        <v>-7.5736098199772467E-4</v>
      </c>
    </row>
    <row r="50" spans="1:17" x14ac:dyDescent="0.3">
      <c r="A50">
        <v>2</v>
      </c>
      <c r="B50">
        <v>19</v>
      </c>
      <c r="C50">
        <v>120</v>
      </c>
      <c r="D50">
        <v>-1.1342851532080199E-3</v>
      </c>
      <c r="E50">
        <v>390</v>
      </c>
      <c r="F50">
        <v>-1.4046833675018199E-2</v>
      </c>
      <c r="G50">
        <v>120</v>
      </c>
      <c r="H50">
        <v>-2.6621087043649399E-3</v>
      </c>
      <c r="I50">
        <v>314</v>
      </c>
      <c r="J50">
        <v>-1.4246059028799499E-2</v>
      </c>
      <c r="K50">
        <v>390</v>
      </c>
      <c r="L50">
        <v>-1.4246059028799499E-2</v>
      </c>
      <c r="M50" s="3">
        <f>(FEM[[#This Row],[disp_t3]]--0.0145666666666666)/-0.0145666666666666</f>
        <v>-0.92213145401317909</v>
      </c>
      <c r="N50" s="3">
        <f>(FEM[[#This Row],[disp_t6]]--0.0145666666666666)/-0.0145666666666666</f>
        <v>-3.5686475399203839E-2</v>
      </c>
      <c r="O50" s="3">
        <f>(FEM[[#This Row],[disp_q4]]--0.0145666666666666)/-0.0145666666666666</f>
        <v>-0.81724654203444269</v>
      </c>
      <c r="P50" s="3">
        <f>(FEM[[#This Row],[disp_q8]]--0.0145666666666666)/-0.0145666666666666</f>
        <v>-2.200967765678042E-2</v>
      </c>
      <c r="Q50" s="3">
        <f>(FEM[[#This Row],[disp_q9]]--0.0145666666666666)/-0.0145666666666666</f>
        <v>-2.200967765678042E-2</v>
      </c>
    </row>
    <row r="51" spans="1:17" x14ac:dyDescent="0.3">
      <c r="A51">
        <v>1</v>
      </c>
      <c r="B51">
        <v>19</v>
      </c>
      <c r="C51">
        <v>80</v>
      </c>
      <c r="D51">
        <v>-3.9806105034369802E-4</v>
      </c>
      <c r="E51">
        <v>234</v>
      </c>
      <c r="F51">
        <v>-1.14187052445252E-2</v>
      </c>
      <c r="G51">
        <v>80</v>
      </c>
      <c r="H51">
        <v>-7.7128741621468604E-4</v>
      </c>
      <c r="I51">
        <v>196</v>
      </c>
      <c r="J51">
        <v>-1.1845759961650101E-2</v>
      </c>
      <c r="K51">
        <v>234</v>
      </c>
      <c r="L51">
        <v>-1.1845759961650101E-2</v>
      </c>
      <c r="M51" s="3">
        <f>(FEM[[#This Row],[disp_t3]]--0.0145666666666666)/-0.0145666666666666</f>
        <v>-0.97267315443864766</v>
      </c>
      <c r="N51" s="3">
        <f>(FEM[[#This Row],[disp_t6]]--0.0145666666666666)/-0.0145666666666666</f>
        <v>-0.21610719145135565</v>
      </c>
      <c r="O51" s="3">
        <f>(FEM[[#This Row],[disp_q4]]--0.0145666666666666)/-0.0145666666666666</f>
        <v>-0.94705120712484969</v>
      </c>
      <c r="P51" s="3">
        <f>(FEM[[#This Row],[disp_q8]]--0.0145666666666666)/-0.0145666666666666</f>
        <v>-0.18678993398282687</v>
      </c>
      <c r="Q51" s="3">
        <f>(FEM[[#This Row],[disp_q9]]--0.0145666666666666)/-0.0145666666666666</f>
        <v>-0.18678993398282687</v>
      </c>
    </row>
    <row r="52" spans="1:17" x14ac:dyDescent="0.3">
      <c r="A52">
        <v>200</v>
      </c>
      <c r="B52">
        <v>15</v>
      </c>
      <c r="C52">
        <v>6432</v>
      </c>
      <c r="D52">
        <v>-1.45784753756583E-2</v>
      </c>
      <c r="E52">
        <v>24862</v>
      </c>
      <c r="F52">
        <v>-1.47730730025354E-2</v>
      </c>
      <c r="G52">
        <v>6432</v>
      </c>
      <c r="H52">
        <v>-1.47391729732198E-2</v>
      </c>
      <c r="I52">
        <v>18862</v>
      </c>
      <c r="J52">
        <v>-1.47799342814805E-2</v>
      </c>
      <c r="K52">
        <v>24862</v>
      </c>
      <c r="L52">
        <v>-1.47799342814805E-2</v>
      </c>
      <c r="M52" s="3">
        <f>(FEM[[#This Row],[disp_t3]]--0.0145666666666666)/-0.0145666666666666</f>
        <v>8.1066652116938969E-4</v>
      </c>
      <c r="N52" s="3">
        <f>(FEM[[#This Row],[disp_t6]]--0.0145666666666666)/-0.0145666666666666</f>
        <v>1.4169771341107671E-2</v>
      </c>
      <c r="O52" s="3">
        <f>(FEM[[#This Row],[disp_q4]]--0.0145666666666666)/-0.0145666666666666</f>
        <v>1.1842538207313597E-2</v>
      </c>
      <c r="P52" s="3">
        <f>(FEM[[#This Row],[disp_q8]]--0.0145666666666666)/-0.0145666666666666</f>
        <v>1.4640797355645432E-2</v>
      </c>
      <c r="Q52" s="3">
        <f>(FEM[[#This Row],[disp_q9]]--0.0145666666666666)/-0.0145666666666666</f>
        <v>1.4640797355645432E-2</v>
      </c>
    </row>
    <row r="53" spans="1:17" x14ac:dyDescent="0.3">
      <c r="A53">
        <v>166</v>
      </c>
      <c r="B53">
        <v>15</v>
      </c>
      <c r="C53">
        <v>5344</v>
      </c>
      <c r="D53">
        <v>-1.45678814334975E-2</v>
      </c>
      <c r="E53">
        <v>20646</v>
      </c>
      <c r="F53">
        <v>-1.4771057521255499E-2</v>
      </c>
      <c r="G53">
        <v>5344</v>
      </c>
      <c r="H53">
        <v>-1.47343405774599E-2</v>
      </c>
      <c r="I53">
        <v>15666</v>
      </c>
      <c r="J53">
        <v>-1.4777955759669101E-2</v>
      </c>
      <c r="K53">
        <v>20646</v>
      </c>
      <c r="L53">
        <v>-1.4777955759669101E-2</v>
      </c>
      <c r="M53" s="3">
        <f>(FEM[[#This Row],[disp_t3]]--0.0145666666666666)/-0.0145666666666666</f>
        <v>8.3393603951962178E-5</v>
      </c>
      <c r="N53" s="3">
        <f>(FEM[[#This Row],[disp_t6]]--0.0145666666666666)/-0.0145666666666666</f>
        <v>1.4031408781846754E-2</v>
      </c>
      <c r="O53" s="3">
        <f>(FEM[[#This Row],[disp_q4]]--0.0145666666666666)/-0.0145666666666666</f>
        <v>1.1510794791302133E-2</v>
      </c>
      <c r="P53" s="3">
        <f>(FEM[[#This Row],[disp_q8]]--0.0145666666666666)/-0.0145666666666666</f>
        <v>1.4504972059668358E-2</v>
      </c>
      <c r="Q53" s="3">
        <f>(FEM[[#This Row],[disp_q9]]--0.0145666666666666)/-0.0145666666666666</f>
        <v>1.4504972059668358E-2</v>
      </c>
    </row>
    <row r="54" spans="1:17" x14ac:dyDescent="0.3">
      <c r="A54">
        <v>138</v>
      </c>
      <c r="B54">
        <v>15</v>
      </c>
      <c r="C54">
        <v>4448</v>
      </c>
      <c r="D54">
        <v>-1.45530336171842E-2</v>
      </c>
      <c r="E54">
        <v>17174</v>
      </c>
      <c r="F54">
        <v>-1.47686490595788E-2</v>
      </c>
      <c r="G54">
        <v>4448</v>
      </c>
      <c r="H54">
        <v>-1.4727709441054801E-2</v>
      </c>
      <c r="I54">
        <v>13034</v>
      </c>
      <c r="J54">
        <v>-1.47759211018862E-2</v>
      </c>
      <c r="K54">
        <v>17174</v>
      </c>
      <c r="L54">
        <v>-1.47759211018862E-2</v>
      </c>
      <c r="M54" s="3">
        <f>(FEM[[#This Row],[disp_t3]]--0.0145666666666666)/-0.0145666666666666</f>
        <v>-9.3590728712127362E-4</v>
      </c>
      <c r="N54" s="3">
        <f>(FEM[[#This Row],[disp_t6]]--0.0145666666666666)/-0.0145666666666666</f>
        <v>1.3866068163309051E-2</v>
      </c>
      <c r="O54" s="3">
        <f>(FEM[[#This Row],[disp_q4]]--0.0145666666666666)/-0.0145666666666666</f>
        <v>1.1055568035803341E-2</v>
      </c>
      <c r="P54" s="3">
        <f>(FEM[[#This Row],[disp_q8]]--0.0145666666666666)/-0.0145666666666666</f>
        <v>1.4365293035670593E-2</v>
      </c>
      <c r="Q54" s="3">
        <f>(FEM[[#This Row],[disp_q9]]--0.0145666666666666)/-0.0145666666666666</f>
        <v>1.4365293035670593E-2</v>
      </c>
    </row>
    <row r="55" spans="1:17" x14ac:dyDescent="0.3">
      <c r="A55">
        <v>115</v>
      </c>
      <c r="B55">
        <v>15</v>
      </c>
      <c r="C55">
        <v>3712</v>
      </c>
      <c r="D55">
        <v>-1.45324344927453E-2</v>
      </c>
      <c r="E55">
        <v>14322</v>
      </c>
      <c r="F55">
        <v>-1.4765822934215101E-2</v>
      </c>
      <c r="G55">
        <v>3712</v>
      </c>
      <c r="H55">
        <v>-1.4718742715082601E-2</v>
      </c>
      <c r="I55">
        <v>10872</v>
      </c>
      <c r="J55">
        <v>-1.47737362851622E-2</v>
      </c>
      <c r="K55">
        <v>14322</v>
      </c>
      <c r="L55">
        <v>-1.47737362851622E-2</v>
      </c>
      <c r="M55" s="3">
        <f>(FEM[[#This Row],[disp_t3]]--0.0145666666666666)/-0.0145666666666666</f>
        <v>-2.3500348229725234E-3</v>
      </c>
      <c r="N55" s="3">
        <f>(FEM[[#This Row],[disp_t6]]--0.0145666666666666)/-0.0145666666666666</f>
        <v>1.3672054980446383E-2</v>
      </c>
      <c r="O55" s="3">
        <f>(FEM[[#This Row],[disp_q4]]--0.0145666666666666)/-0.0145666666666666</f>
        <v>1.0440003323753002E-2</v>
      </c>
      <c r="P55" s="3">
        <f>(FEM[[#This Row],[disp_q8]]--0.0145666666666666)/-0.0145666666666666</f>
        <v>1.4215305617547039E-2</v>
      </c>
      <c r="Q55" s="3">
        <f>(FEM[[#This Row],[disp_q9]]--0.0145666666666666)/-0.0145666666666666</f>
        <v>1.4215305617547039E-2</v>
      </c>
    </row>
    <row r="56" spans="1:17" x14ac:dyDescent="0.3">
      <c r="A56">
        <v>96</v>
      </c>
      <c r="B56">
        <v>15</v>
      </c>
      <c r="C56">
        <v>3104</v>
      </c>
      <c r="D56">
        <v>-1.4503899122241599E-2</v>
      </c>
      <c r="E56">
        <v>11966</v>
      </c>
      <c r="F56">
        <v>-1.47625367936083E-2</v>
      </c>
      <c r="G56">
        <v>3104</v>
      </c>
      <c r="H56">
        <v>-1.4706668852415601E-2</v>
      </c>
      <c r="I56">
        <v>9086</v>
      </c>
      <c r="J56">
        <v>-1.4771199526088101E-2</v>
      </c>
      <c r="K56">
        <v>11966</v>
      </c>
      <c r="L56">
        <v>-1.4771199526088101E-2</v>
      </c>
      <c r="M56" s="3">
        <f>(FEM[[#This Row],[disp_t3]]--0.0145666666666666)/-0.0145666666666666</f>
        <v>-4.3089847431350249E-3</v>
      </c>
      <c r="N56" s="3">
        <f>(FEM[[#This Row],[disp_t6]]--0.0145666666666666)/-0.0145666666666666</f>
        <v>1.344646180377816E-2</v>
      </c>
      <c r="O56" s="3">
        <f>(FEM[[#This Row],[disp_q4]]--0.0145666666666666)/-0.0145666666666666</f>
        <v>9.6111340331122702E-3</v>
      </c>
      <c r="P56" s="3">
        <f>(FEM[[#This Row],[disp_q8]]--0.0145666666666666)/-0.0145666666666666</f>
        <v>1.4041157397357134E-2</v>
      </c>
      <c r="Q56" s="3">
        <f>(FEM[[#This Row],[disp_q9]]--0.0145666666666666)/-0.0145666666666666</f>
        <v>1.4041157397357134E-2</v>
      </c>
    </row>
    <row r="57" spans="1:17" x14ac:dyDescent="0.3">
      <c r="A57">
        <v>80</v>
      </c>
      <c r="B57">
        <v>15</v>
      </c>
      <c r="C57">
        <v>2592</v>
      </c>
      <c r="D57">
        <v>-1.44636187837402E-2</v>
      </c>
      <c r="E57">
        <v>9982</v>
      </c>
      <c r="F57">
        <v>-1.4758694193203199E-2</v>
      </c>
      <c r="G57">
        <v>2592</v>
      </c>
      <c r="H57">
        <v>-1.4690115721906099E-2</v>
      </c>
      <c r="I57">
        <v>7582</v>
      </c>
      <c r="J57">
        <v>-1.4768043629925899E-2</v>
      </c>
      <c r="K57">
        <v>9982</v>
      </c>
      <c r="L57">
        <v>-1.4768043629925899E-2</v>
      </c>
      <c r="M57" s="3">
        <f>(FEM[[#This Row],[disp_t3]]--0.0145666666666666)/-0.0145666666666666</f>
        <v>-7.074225372521694E-3</v>
      </c>
      <c r="N57" s="3">
        <f>(FEM[[#This Row],[disp_t6]]--0.0145666666666666)/-0.0145666666666666</f>
        <v>1.3182667725624769E-2</v>
      </c>
      <c r="O57" s="3">
        <f>(FEM[[#This Row],[disp_q4]]--0.0145666666666666)/-0.0145666666666666</f>
        <v>8.4747635175858455E-3</v>
      </c>
      <c r="P57" s="3">
        <f>(FEM[[#This Row],[disp_q8]]--0.0145666666666666)/-0.0145666666666666</f>
        <v>1.3824505486908537E-2</v>
      </c>
      <c r="Q57" s="3">
        <f>(FEM[[#This Row],[disp_q9]]--0.0145666666666666)/-0.0145666666666666</f>
        <v>1.3824505486908537E-2</v>
      </c>
    </row>
    <row r="58" spans="1:17" x14ac:dyDescent="0.3">
      <c r="A58">
        <v>66</v>
      </c>
      <c r="B58">
        <v>15</v>
      </c>
      <c r="C58">
        <v>2144</v>
      </c>
      <c r="D58">
        <v>-1.4403514556619E-2</v>
      </c>
      <c r="E58">
        <v>8246</v>
      </c>
      <c r="F58">
        <v>-1.4754065572301999E-2</v>
      </c>
      <c r="G58">
        <v>2144</v>
      </c>
      <c r="H58">
        <v>-1.4666107140070401E-2</v>
      </c>
      <c r="I58">
        <v>6266</v>
      </c>
      <c r="J58">
        <v>-1.47639317189439E-2</v>
      </c>
      <c r="K58">
        <v>8246</v>
      </c>
      <c r="L58">
        <v>-1.47639317189439E-2</v>
      </c>
      <c r="M58" s="3">
        <f>(FEM[[#This Row],[disp_t3]]--0.0145666666666666)/-0.0145666666666666</f>
        <v>-1.1200373687478261E-2</v>
      </c>
      <c r="N58" s="3">
        <f>(FEM[[#This Row],[disp_t6]]--0.0145666666666666)/-0.0145666666666666</f>
        <v>1.2864913430347891E-2</v>
      </c>
      <c r="O58" s="3">
        <f>(FEM[[#This Row],[disp_q4]]--0.0145666666666666)/-0.0145666666666666</f>
        <v>6.82657712154247E-3</v>
      </c>
      <c r="P58" s="3">
        <f>(FEM[[#This Row],[disp_q8]]--0.0145666666666666)/-0.0145666666666666</f>
        <v>1.3542223268464651E-2</v>
      </c>
      <c r="Q58" s="3">
        <f>(FEM[[#This Row],[disp_q9]]--0.0145666666666666)/-0.0145666666666666</f>
        <v>1.3542223268464651E-2</v>
      </c>
    </row>
    <row r="59" spans="1:17" x14ac:dyDescent="0.3">
      <c r="A59">
        <v>55</v>
      </c>
      <c r="B59">
        <v>15</v>
      </c>
      <c r="C59">
        <v>1792</v>
      </c>
      <c r="D59">
        <v>-1.4323031454939799E-2</v>
      </c>
      <c r="E59">
        <v>6882</v>
      </c>
      <c r="F59">
        <v>-1.47491719760973E-2</v>
      </c>
      <c r="G59">
        <v>1792</v>
      </c>
      <c r="H59">
        <v>-1.46347157451884E-2</v>
      </c>
      <c r="I59">
        <v>5232</v>
      </c>
      <c r="J59">
        <v>-1.4759322947267201E-2</v>
      </c>
      <c r="K59">
        <v>6882</v>
      </c>
      <c r="L59">
        <v>-1.4759322947267201E-2</v>
      </c>
      <c r="M59" s="3">
        <f>(FEM[[#This Row],[disp_t3]]--0.0145666666666666)/-0.0145666666666666</f>
        <v>-1.672552940916255E-2</v>
      </c>
      <c r="N59" s="3">
        <f>(FEM[[#This Row],[disp_t6]]--0.0145666666666666)/-0.0145666666666666</f>
        <v>1.2528968610803331E-2</v>
      </c>
      <c r="O59" s="3">
        <f>(FEM[[#This Row],[disp_q4]]--0.0145666666666666)/-0.0145666666666666</f>
        <v>4.6715614545858857E-3</v>
      </c>
      <c r="P59" s="3">
        <f>(FEM[[#This Row],[disp_q8]]--0.0145666666666666)/-0.0145666666666666</f>
        <v>1.3225831620178631E-2</v>
      </c>
      <c r="Q59" s="3">
        <f>(FEM[[#This Row],[disp_q9]]--0.0145666666666666)/-0.0145666666666666</f>
        <v>1.3225831620178631E-2</v>
      </c>
    </row>
    <row r="60" spans="1:17" x14ac:dyDescent="0.3">
      <c r="A60">
        <v>46</v>
      </c>
      <c r="B60">
        <v>15</v>
      </c>
      <c r="C60">
        <v>1504</v>
      </c>
      <c r="D60">
        <v>-1.42130141338859E-2</v>
      </c>
      <c r="E60">
        <v>5766</v>
      </c>
      <c r="F60">
        <v>-1.4743961210391201E-2</v>
      </c>
      <c r="G60">
        <v>1504</v>
      </c>
      <c r="H60">
        <v>-1.4592518054296E-2</v>
      </c>
      <c r="I60">
        <v>4386</v>
      </c>
      <c r="J60">
        <v>-1.47542631070623E-2</v>
      </c>
      <c r="K60">
        <v>5766</v>
      </c>
      <c r="L60">
        <v>-1.47542631070623E-2</v>
      </c>
      <c r="M60" s="3">
        <f>(FEM[[#This Row],[disp_t3]]--0.0145666666666666)/-0.0145666666666666</f>
        <v>-2.4278205911718594E-2</v>
      </c>
      <c r="N60" s="3">
        <f>(FEM[[#This Row],[disp_t6]]--0.0145666666666666)/-0.0145666666666666</f>
        <v>1.2171250141277049E-2</v>
      </c>
      <c r="O60" s="3">
        <f>(FEM[[#This Row],[disp_q4]]--0.0145666666666666)/-0.0145666666666666</f>
        <v>1.7746948029337252E-3</v>
      </c>
      <c r="P60" s="3">
        <f>(FEM[[#This Row],[disp_q8]]--0.0145666666666666)/-0.0145666666666666</f>
        <v>1.2878474169041301E-2</v>
      </c>
      <c r="Q60" s="3">
        <f>(FEM[[#This Row],[disp_q9]]--0.0145666666666666)/-0.0145666666666666</f>
        <v>1.2878474169041301E-2</v>
      </c>
    </row>
    <row r="61" spans="1:17" x14ac:dyDescent="0.3">
      <c r="A61">
        <v>38</v>
      </c>
      <c r="B61">
        <v>15</v>
      </c>
      <c r="C61">
        <v>1248</v>
      </c>
      <c r="D61">
        <v>-1.40478903506038E-2</v>
      </c>
      <c r="E61">
        <v>4774</v>
      </c>
      <c r="F61">
        <v>-1.47380182543952E-2</v>
      </c>
      <c r="G61">
        <v>1248</v>
      </c>
      <c r="H61">
        <v>-1.45297548287919E-2</v>
      </c>
      <c r="I61">
        <v>3634</v>
      </c>
      <c r="J61">
        <v>-1.47484223015988E-2</v>
      </c>
      <c r="K61">
        <v>4774</v>
      </c>
      <c r="L61">
        <v>-1.47484223015988E-2</v>
      </c>
      <c r="M61" s="3">
        <f>(FEM[[#This Row],[disp_t3]]--0.0145666666666666)/-0.0145666666666666</f>
        <v>-3.5613934741153451E-2</v>
      </c>
      <c r="N61" s="3">
        <f>(FEM[[#This Row],[disp_t6]]--0.0145666666666666)/-0.0145666666666666</f>
        <v>1.1763266892123645E-2</v>
      </c>
      <c r="O61" s="3">
        <f>(FEM[[#This Row],[disp_q4]]--0.0145666666666666)/-0.0145666666666666</f>
        <v>-2.5339934467756885E-3</v>
      </c>
      <c r="P61" s="3">
        <f>(FEM[[#This Row],[disp_q8]]--0.0145666666666666)/-0.0145666666666666</f>
        <v>1.2477503542256421E-2</v>
      </c>
      <c r="Q61" s="3">
        <f>(FEM[[#This Row],[disp_q9]]--0.0145666666666666)/-0.0145666666666666</f>
        <v>1.2477503542256421E-2</v>
      </c>
    </row>
    <row r="62" spans="1:17" x14ac:dyDescent="0.3">
      <c r="A62">
        <v>32</v>
      </c>
      <c r="B62">
        <v>15</v>
      </c>
      <c r="C62">
        <v>1056</v>
      </c>
      <c r="D62">
        <v>-1.3842035138212701E-2</v>
      </c>
      <c r="E62">
        <v>4030</v>
      </c>
      <c r="F62">
        <v>-1.47324105036915E-2</v>
      </c>
      <c r="G62">
        <v>1056</v>
      </c>
      <c r="H62">
        <v>-1.4451478677096201E-2</v>
      </c>
      <c r="I62">
        <v>3070</v>
      </c>
      <c r="J62">
        <v>-1.47429009136998E-2</v>
      </c>
      <c r="K62">
        <v>4030</v>
      </c>
      <c r="L62">
        <v>-1.47429009136998E-2</v>
      </c>
      <c r="M62" s="3">
        <f>(FEM[[#This Row],[disp_t3]]--0.0145666666666666)/-0.0145666666666666</f>
        <v>-4.97458715185745E-2</v>
      </c>
      <c r="N62" s="3">
        <f>(FEM[[#This Row],[disp_t6]]--0.0145666666666666)/-0.0145666666666666</f>
        <v>1.1378295447933706E-2</v>
      </c>
      <c r="O62" s="3">
        <f>(FEM[[#This Row],[disp_q4]]--0.0145666666666666)/-0.0145666666666666</f>
        <v>-7.9076423046040741E-3</v>
      </c>
      <c r="P62" s="3">
        <f>(FEM[[#This Row],[disp_q8]]--0.0145666666666666)/-0.0145666666666666</f>
        <v>1.2098460894727762E-2</v>
      </c>
      <c r="Q62" s="3">
        <f>(FEM[[#This Row],[disp_q9]]--0.0145666666666666)/-0.0145666666666666</f>
        <v>1.2098460894727762E-2</v>
      </c>
    </row>
    <row r="63" spans="1:17" x14ac:dyDescent="0.3">
      <c r="A63">
        <v>26</v>
      </c>
      <c r="B63">
        <v>15</v>
      </c>
      <c r="C63">
        <v>864</v>
      </c>
      <c r="D63">
        <v>-1.34944807623669E-2</v>
      </c>
      <c r="E63">
        <v>3286</v>
      </c>
      <c r="F63">
        <v>-1.47253695523464E-2</v>
      </c>
      <c r="G63">
        <v>864</v>
      </c>
      <c r="H63">
        <v>-1.43176604205304E-2</v>
      </c>
      <c r="I63">
        <v>2506</v>
      </c>
      <c r="J63">
        <v>-1.47359865464498E-2</v>
      </c>
      <c r="K63">
        <v>3286</v>
      </c>
      <c r="L63">
        <v>-1.47359865464498E-2</v>
      </c>
      <c r="M63" s="3">
        <f>(FEM[[#This Row],[disp_t3]]--0.0145666666666666)/-0.0145666666666666</f>
        <v>-7.3605439654441926E-2</v>
      </c>
      <c r="N63" s="3">
        <f>(FEM[[#This Row],[disp_t6]]--0.0145666666666666)/-0.0145666666666666</f>
        <v>1.0894934943693447E-2</v>
      </c>
      <c r="O63" s="3">
        <f>(FEM[[#This Row],[disp_q4]]--0.0145666666666666)/-0.0145666666666666</f>
        <v>-1.7094250306832995E-2</v>
      </c>
      <c r="P63" s="3">
        <f>(FEM[[#This Row],[disp_q8]]--0.0145666666666666)/-0.0145666666666666</f>
        <v>1.1623790374132813E-2</v>
      </c>
      <c r="Q63" s="3">
        <f>(FEM[[#This Row],[disp_q9]]--0.0145666666666666)/-0.0145666666666666</f>
        <v>1.1623790374132813E-2</v>
      </c>
    </row>
    <row r="64" spans="1:17" x14ac:dyDescent="0.3">
      <c r="A64">
        <v>22</v>
      </c>
      <c r="B64">
        <v>15</v>
      </c>
      <c r="C64">
        <v>736</v>
      </c>
      <c r="D64">
        <v>-1.31121073668888E-2</v>
      </c>
      <c r="E64">
        <v>2790</v>
      </c>
      <c r="F64">
        <v>-1.4719522449489601E-2</v>
      </c>
      <c r="G64">
        <v>736</v>
      </c>
      <c r="H64">
        <v>-1.4166679464162999E-2</v>
      </c>
      <c r="I64">
        <v>2130</v>
      </c>
      <c r="J64">
        <v>-1.4730268994683601E-2</v>
      </c>
      <c r="K64">
        <v>2790</v>
      </c>
      <c r="L64">
        <v>-1.4730268994683601E-2</v>
      </c>
      <c r="M64" s="3">
        <f>(FEM[[#This Row],[disp_t3]]--0.0145666666666666)/-0.0145666666666666</f>
        <v>-9.9855329504197204E-2</v>
      </c>
      <c r="N64" s="3">
        <f>(FEM[[#This Row],[disp_t6]]--0.0145666666666666)/-0.0145666666666666</f>
        <v>1.0493532001579079E-2</v>
      </c>
      <c r="O64" s="3">
        <f>(FEM[[#This Row],[disp_q4]]--0.0145666666666666)/-0.0145666666666666</f>
        <v>-2.7459075686746118E-2</v>
      </c>
      <c r="P64" s="3">
        <f>(FEM[[#This Row],[disp_q8]]--0.0145666666666666)/-0.0145666666666666</f>
        <v>1.1231281099565355E-2</v>
      </c>
      <c r="Q64" s="3">
        <f>(FEM[[#This Row],[disp_q9]]--0.0145666666666666)/-0.0145666666666666</f>
        <v>1.1231281099565355E-2</v>
      </c>
    </row>
    <row r="65" spans="1:17" x14ac:dyDescent="0.3">
      <c r="A65">
        <v>18</v>
      </c>
      <c r="B65">
        <v>15</v>
      </c>
      <c r="C65">
        <v>608</v>
      </c>
      <c r="D65">
        <v>-1.24987006021571E-2</v>
      </c>
      <c r="E65">
        <v>2294</v>
      </c>
      <c r="F65">
        <v>-1.47122861299776E-2</v>
      </c>
      <c r="G65">
        <v>608</v>
      </c>
      <c r="H65">
        <v>-1.39141024759724E-2</v>
      </c>
      <c r="I65">
        <v>1754</v>
      </c>
      <c r="J65">
        <v>-1.4723234672628E-2</v>
      </c>
      <c r="K65">
        <v>2294</v>
      </c>
      <c r="L65">
        <v>-1.4723234672628E-2</v>
      </c>
      <c r="M65" s="3">
        <f>(FEM[[#This Row],[disp_t3]]--0.0145666666666666)/-0.0145666666666666</f>
        <v>-0.14196563371918824</v>
      </c>
      <c r="N65" s="3">
        <f>(FEM[[#This Row],[disp_t6]]--0.0145666666666666)/-0.0145666666666666</f>
        <v>9.9967594950343911E-3</v>
      </c>
      <c r="O65" s="3">
        <f>(FEM[[#This Row],[disp_q4]]--0.0145666666666666)/-0.0145666666666666</f>
        <v>-4.4798457027061964E-2</v>
      </c>
      <c r="P65" s="3">
        <f>(FEM[[#This Row],[disp_q8]]--0.0145666666666666)/-0.0145666666666666</f>
        <v>1.0748375695290722E-2</v>
      </c>
      <c r="Q65" s="3">
        <f>(FEM[[#This Row],[disp_q9]]--0.0145666666666666)/-0.0145666666666666</f>
        <v>1.0748375695290722E-2</v>
      </c>
    </row>
    <row r="66" spans="1:17" x14ac:dyDescent="0.3">
      <c r="A66">
        <v>15</v>
      </c>
      <c r="B66">
        <v>15</v>
      </c>
      <c r="C66">
        <v>512</v>
      </c>
      <c r="D66">
        <v>-1.1768314454986901E-2</v>
      </c>
      <c r="E66">
        <v>1922</v>
      </c>
      <c r="F66">
        <v>-1.47054693291523E-2</v>
      </c>
      <c r="G66">
        <v>512</v>
      </c>
      <c r="H66">
        <v>-1.3593811020285101E-2</v>
      </c>
      <c r="I66">
        <v>1472</v>
      </c>
      <c r="J66">
        <v>-1.47166741882896E-2</v>
      </c>
      <c r="K66">
        <v>1922</v>
      </c>
      <c r="L66">
        <v>-1.47166741882896E-2</v>
      </c>
      <c r="M66" s="3">
        <f>(FEM[[#This Row],[disp_t3]]--0.0145666666666666)/-0.0145666666666666</f>
        <v>-0.1921065591542136</v>
      </c>
      <c r="N66" s="3">
        <f>(FEM[[#This Row],[disp_t6]]--0.0145666666666666)/-0.0145666666666666</f>
        <v>9.5287868983318751E-3</v>
      </c>
      <c r="O66" s="3">
        <f>(FEM[[#This Row],[disp_q4]]--0.0145666666666666)/-0.0145666666666666</f>
        <v>-6.6786428813375501E-2</v>
      </c>
      <c r="P66" s="3">
        <f>(FEM[[#This Row],[disp_q8]]--0.0145666666666666)/-0.0145666666666666</f>
        <v>1.0297999196087046E-2</v>
      </c>
      <c r="Q66" s="3">
        <f>(FEM[[#This Row],[disp_q9]]--0.0145666666666666)/-0.0145666666666666</f>
        <v>1.0297999196087046E-2</v>
      </c>
    </row>
    <row r="67" spans="1:17" x14ac:dyDescent="0.3">
      <c r="A67">
        <v>12</v>
      </c>
      <c r="B67">
        <v>15</v>
      </c>
      <c r="C67">
        <v>416</v>
      </c>
      <c r="D67">
        <v>-1.0628691852233099E-2</v>
      </c>
      <c r="E67">
        <v>1550</v>
      </c>
      <c r="F67">
        <v>-1.4696636262154301E-2</v>
      </c>
      <c r="G67">
        <v>416</v>
      </c>
      <c r="H67">
        <v>-1.30438592517439E-2</v>
      </c>
      <c r="I67">
        <v>1190</v>
      </c>
      <c r="J67">
        <v>-1.4708351208809501E-2</v>
      </c>
      <c r="K67">
        <v>1550</v>
      </c>
      <c r="L67">
        <v>-1.4708351208809501E-2</v>
      </c>
      <c r="M67" s="3">
        <f>(FEM[[#This Row],[disp_t3]]--0.0145666666666666)/-0.0145666666666666</f>
        <v>-0.27034152044166032</v>
      </c>
      <c r="N67" s="3">
        <f>(FEM[[#This Row],[disp_t6]]--0.0145666666666666)/-0.0145666666666666</f>
        <v>8.9223978595676448E-3</v>
      </c>
      <c r="O67" s="3">
        <f>(FEM[[#This Row],[disp_q4]]--0.0145666666666666)/-0.0145666666666666</f>
        <v>-0.10454055480018581</v>
      </c>
      <c r="P67" s="3">
        <f>(FEM[[#This Row],[disp_q8]]--0.0145666666666666)/-0.0145666666666666</f>
        <v>9.7266276070642078E-3</v>
      </c>
      <c r="Q67" s="3">
        <f>(FEM[[#This Row],[disp_q9]]--0.0145666666666666)/-0.0145666666666666</f>
        <v>9.7266276070642078E-3</v>
      </c>
    </row>
    <row r="68" spans="1:17" x14ac:dyDescent="0.3">
      <c r="A68">
        <v>10</v>
      </c>
      <c r="B68">
        <v>15</v>
      </c>
      <c r="C68">
        <v>352</v>
      </c>
      <c r="D68">
        <v>-9.5074510951171903E-3</v>
      </c>
      <c r="E68">
        <v>1302</v>
      </c>
      <c r="F68">
        <v>-1.46886955274169E-2</v>
      </c>
      <c r="G68">
        <v>352</v>
      </c>
      <c r="H68">
        <v>-1.24311606359975E-2</v>
      </c>
      <c r="I68">
        <v>1002</v>
      </c>
      <c r="J68">
        <v>-1.4701164898877701E-2</v>
      </c>
      <c r="K68">
        <v>1302</v>
      </c>
      <c r="L68">
        <v>-1.4701164898877701E-2</v>
      </c>
      <c r="M68" s="3">
        <f>(FEM[[#This Row],[disp_t3]]--0.0145666666666666)/-0.0145666666666666</f>
        <v>-0.34731457012925165</v>
      </c>
      <c r="N68" s="3">
        <f>(FEM[[#This Row],[disp_t6]]--0.0145666666666666)/-0.0145666666666666</f>
        <v>8.3772673283959622E-3</v>
      </c>
      <c r="O68" s="3">
        <f>(FEM[[#This Row],[disp_q4]]--0.0145666666666666)/-0.0145666666666666</f>
        <v>-0.14660224466835992</v>
      </c>
      <c r="P68" s="3">
        <f>(FEM[[#This Row],[disp_q8]]--0.0145666666666666)/-0.0145666666666666</f>
        <v>9.2332882524783933E-3</v>
      </c>
      <c r="Q68" s="3">
        <f>(FEM[[#This Row],[disp_q9]]--0.0145666666666666)/-0.0145666666666666</f>
        <v>9.2332882524783933E-3</v>
      </c>
    </row>
    <row r="69" spans="1:17" x14ac:dyDescent="0.3">
      <c r="A69">
        <v>8</v>
      </c>
      <c r="B69">
        <v>15</v>
      </c>
      <c r="C69">
        <v>288</v>
      </c>
      <c r="D69">
        <v>-7.9675730169028701E-3</v>
      </c>
      <c r="E69">
        <v>1054</v>
      </c>
      <c r="F69">
        <v>-1.46771789049029E-2</v>
      </c>
      <c r="G69">
        <v>288</v>
      </c>
      <c r="H69">
        <v>-1.1443633409654701E-2</v>
      </c>
      <c r="I69">
        <v>814</v>
      </c>
      <c r="J69">
        <v>-1.4691461069993601E-2</v>
      </c>
      <c r="K69">
        <v>1054</v>
      </c>
      <c r="L69">
        <v>-1.4691461069993601E-2</v>
      </c>
      <c r="M69" s="3">
        <f>(FEM[[#This Row],[disp_t3]]--0.0145666666666666)/-0.0145666666666666</f>
        <v>-0.45302702401124206</v>
      </c>
      <c r="N69" s="3">
        <f>(FEM[[#This Row],[disp_t6]]--0.0145666666666666)/-0.0145666666666666</f>
        <v>7.5866525105012196E-3</v>
      </c>
      <c r="O69" s="3">
        <f>(FEM[[#This Row],[disp_q4]]--0.0145666666666666)/-0.0145666666666666</f>
        <v>-0.21439587576740821</v>
      </c>
      <c r="P69" s="3">
        <f>(FEM[[#This Row],[disp_q8]]--0.0145666666666666)/-0.0145666666666666</f>
        <v>8.567121509862826E-3</v>
      </c>
      <c r="Q69" s="3">
        <f>(FEM[[#This Row],[disp_q9]]--0.0145666666666666)/-0.0145666666666666</f>
        <v>8.567121509862826E-3</v>
      </c>
    </row>
    <row r="70" spans="1:17" x14ac:dyDescent="0.3">
      <c r="A70">
        <v>7</v>
      </c>
      <c r="B70">
        <v>15</v>
      </c>
      <c r="C70">
        <v>256</v>
      </c>
      <c r="D70">
        <v>-7.0076665928918997E-3</v>
      </c>
      <c r="E70">
        <v>930</v>
      </c>
      <c r="F70">
        <v>-1.4668534040021599E-2</v>
      </c>
      <c r="G70">
        <v>256</v>
      </c>
      <c r="H70">
        <v>-1.07202822120197E-2</v>
      </c>
      <c r="I70">
        <v>720</v>
      </c>
      <c r="J70">
        <v>-1.46847730337465E-2</v>
      </c>
      <c r="K70">
        <v>930</v>
      </c>
      <c r="L70">
        <v>-1.46847730337465E-2</v>
      </c>
      <c r="M70" s="3">
        <f>(FEM[[#This Row],[disp_t3]]--0.0145666666666666)/-0.0145666666666666</f>
        <v>-0.51892449019048525</v>
      </c>
      <c r="N70" s="3">
        <f>(FEM[[#This Row],[disp_t6]]--0.0145666666666666)/-0.0145666666666666</f>
        <v>6.9931835255149042E-3</v>
      </c>
      <c r="O70" s="3">
        <f>(FEM[[#This Row],[disp_q4]]--0.0145666666666666)/-0.0145666666666666</f>
        <v>-0.26405385272175635</v>
      </c>
      <c r="P70" s="3">
        <f>(FEM[[#This Row],[disp_q8]]--0.0145666666666666)/-0.0145666666666666</f>
        <v>8.1079885867209271E-3</v>
      </c>
      <c r="Q70" s="3">
        <f>(FEM[[#This Row],[disp_q9]]--0.0145666666666666)/-0.0145666666666666</f>
        <v>8.1079885867209271E-3</v>
      </c>
    </row>
    <row r="71" spans="1:17" x14ac:dyDescent="0.3">
      <c r="A71">
        <v>6</v>
      </c>
      <c r="B71">
        <v>15</v>
      </c>
      <c r="C71">
        <v>224</v>
      </c>
      <c r="D71">
        <v>-5.9162235452756701E-3</v>
      </c>
      <c r="E71">
        <v>806</v>
      </c>
      <c r="F71">
        <v>-1.46556275345572E-2</v>
      </c>
      <c r="G71">
        <v>224</v>
      </c>
      <c r="H71">
        <v>-9.7694339009686392E-3</v>
      </c>
      <c r="I71">
        <v>626</v>
      </c>
      <c r="J71">
        <v>-1.46755538226043E-2</v>
      </c>
      <c r="K71">
        <v>806</v>
      </c>
      <c r="L71">
        <v>-1.46755538226043E-2</v>
      </c>
      <c r="M71" s="3">
        <f>(FEM[[#This Row],[disp_t3]]--0.0145666666666666)/-0.0145666666666666</f>
        <v>-0.59385193053027252</v>
      </c>
      <c r="N71" s="3">
        <f>(FEM[[#This Row],[disp_t6]]--0.0145666666666666)/-0.0145666666666666</f>
        <v>6.1071534021007448E-3</v>
      </c>
      <c r="O71" s="3">
        <f>(FEM[[#This Row],[disp_q4]]--0.0145666666666666)/-0.0145666666666666</f>
        <v>-0.329329480482699</v>
      </c>
      <c r="P71" s="3">
        <f>(FEM[[#This Row],[disp_q8]]--0.0145666666666666)/-0.0145666666666666</f>
        <v>7.4750907966385106E-3</v>
      </c>
      <c r="Q71" s="3">
        <f>(FEM[[#This Row],[disp_q9]]--0.0145666666666666)/-0.0145666666666666</f>
        <v>7.4750907966385106E-3</v>
      </c>
    </row>
    <row r="72" spans="1:17" x14ac:dyDescent="0.3">
      <c r="A72">
        <v>5</v>
      </c>
      <c r="B72">
        <v>15</v>
      </c>
      <c r="C72">
        <v>192</v>
      </c>
      <c r="D72">
        <v>-4.7111473563160198E-3</v>
      </c>
      <c r="E72">
        <v>682</v>
      </c>
      <c r="F72">
        <v>-1.4633414548996301E-2</v>
      </c>
      <c r="G72">
        <v>192</v>
      </c>
      <c r="H72">
        <v>-8.5171994625805499E-3</v>
      </c>
      <c r="I72">
        <v>532</v>
      </c>
      <c r="J72">
        <v>-1.46609453139848E-2</v>
      </c>
      <c r="K72">
        <v>682</v>
      </c>
      <c r="L72">
        <v>-1.46609453139848E-2</v>
      </c>
      <c r="M72" s="3">
        <f>(FEM[[#This Row],[disp_t3]]--0.0145666666666666)/-0.0145666666666666</f>
        <v>-0.67658027302178203</v>
      </c>
      <c r="N72" s="3">
        <f>(FEM[[#This Row],[disp_t6]]--0.0145666666666666)/-0.0145666666666666</f>
        <v>4.582234484876541E-3</v>
      </c>
      <c r="O72" s="3">
        <f>(FEM[[#This Row],[disp_q4]]--0.0145666666666666)/-0.0145666666666666</f>
        <v>-0.4152952314017902</v>
      </c>
      <c r="P72" s="3">
        <f>(FEM[[#This Row],[disp_q8]]--0.0145666666666666)/-0.0145666666666666</f>
        <v>6.4722183513639085E-3</v>
      </c>
      <c r="Q72" s="3">
        <f>(FEM[[#This Row],[disp_q9]]--0.0145666666666666)/-0.0145666666666666</f>
        <v>6.4722183513639085E-3</v>
      </c>
    </row>
    <row r="73" spans="1:17" x14ac:dyDescent="0.3">
      <c r="A73">
        <v>4</v>
      </c>
      <c r="B73">
        <v>15</v>
      </c>
      <c r="C73">
        <v>160</v>
      </c>
      <c r="D73">
        <v>-3.4422419860714701E-3</v>
      </c>
      <c r="E73">
        <v>558</v>
      </c>
      <c r="F73">
        <v>-1.4587414840220201E-2</v>
      </c>
      <c r="G73">
        <v>160</v>
      </c>
      <c r="H73">
        <v>-6.8917515631973696E-3</v>
      </c>
      <c r="I73">
        <v>438</v>
      </c>
      <c r="J73">
        <v>-1.46322278967582E-2</v>
      </c>
      <c r="K73">
        <v>558</v>
      </c>
      <c r="L73">
        <v>-1.46322278967582E-2</v>
      </c>
      <c r="M73" s="3">
        <f>(FEM[[#This Row],[disp_t3]]--0.0145666666666666)/-0.0145666666666666</f>
        <v>-0.76369048150538998</v>
      </c>
      <c r="N73" s="3">
        <f>(FEM[[#This Row],[disp_t6]]--0.0145666666666666)/-0.0145666666666666</f>
        <v>1.4243597405218349E-3</v>
      </c>
      <c r="O73" s="3">
        <f>(FEM[[#This Row],[disp_q4]]--0.0145666666666666)/-0.0145666666666666</f>
        <v>-0.52688204371642555</v>
      </c>
      <c r="P73" s="3">
        <f>(FEM[[#This Row],[disp_q8]]--0.0145666666666666)/-0.0145666666666666</f>
        <v>4.5007709445035035E-3</v>
      </c>
      <c r="Q73" s="3">
        <f>(FEM[[#This Row],[disp_q9]]--0.0145666666666666)/-0.0145666666666666</f>
        <v>4.5007709445035035E-3</v>
      </c>
    </row>
    <row r="74" spans="1:17" x14ac:dyDescent="0.3">
      <c r="A74">
        <v>3</v>
      </c>
      <c r="B74">
        <v>15</v>
      </c>
      <c r="C74">
        <v>128</v>
      </c>
      <c r="D74">
        <v>-2.20331858694932E-3</v>
      </c>
      <c r="E74">
        <v>434</v>
      </c>
      <c r="F74">
        <v>-1.4467689763178001E-2</v>
      </c>
      <c r="G74">
        <v>128</v>
      </c>
      <c r="H74">
        <v>-4.8803604862124499E-3</v>
      </c>
      <c r="I74">
        <v>344</v>
      </c>
      <c r="J74">
        <v>-1.4555545222698E-2</v>
      </c>
      <c r="K74">
        <v>434</v>
      </c>
      <c r="L74">
        <v>-1.4555545222698E-2</v>
      </c>
      <c r="M74" s="3">
        <f>(FEM[[#This Row],[disp_t3]]--0.0145666666666666)/-0.0145666666666666</f>
        <v>-0.84874243110187664</v>
      </c>
      <c r="N74" s="3">
        <f>(FEM[[#This Row],[disp_t6]]--0.0145666666666666)/-0.0145666666666666</f>
        <v>-6.7947530999038384E-3</v>
      </c>
      <c r="O74" s="3">
        <f>(FEM[[#This Row],[disp_q4]]--0.0145666666666666)/-0.0145666666666666</f>
        <v>-0.66496381101516211</v>
      </c>
      <c r="P74" s="3">
        <f>(FEM[[#This Row],[disp_q8]]--0.0145666666666666)/-0.0145666666666666</f>
        <v>-7.6348585596790403E-4</v>
      </c>
      <c r="Q74" s="3">
        <f>(FEM[[#This Row],[disp_q9]]--0.0145666666666666)/-0.0145666666666666</f>
        <v>-7.6348585596790403E-4</v>
      </c>
    </row>
    <row r="75" spans="1:17" x14ac:dyDescent="0.3">
      <c r="A75">
        <v>2</v>
      </c>
      <c r="B75">
        <v>15</v>
      </c>
      <c r="C75">
        <v>96</v>
      </c>
      <c r="D75">
        <v>-1.1340065143465E-3</v>
      </c>
      <c r="E75">
        <v>310</v>
      </c>
      <c r="F75">
        <v>-1.40468286115963E-2</v>
      </c>
      <c r="G75">
        <v>96</v>
      </c>
      <c r="H75">
        <v>-2.6620952570777599E-3</v>
      </c>
      <c r="I75">
        <v>250</v>
      </c>
      <c r="J75">
        <v>-1.42458709311096E-2</v>
      </c>
      <c r="K75">
        <v>310</v>
      </c>
      <c r="L75">
        <v>-1.42458709311096E-2</v>
      </c>
      <c r="M75" s="3">
        <f>(FEM[[#This Row],[disp_t3]]--0.0145666666666666)/-0.0145666666666666</f>
        <v>-0.92215058253914162</v>
      </c>
      <c r="N75" s="3">
        <f>(FEM[[#This Row],[disp_t6]]--0.0145666666666666)/-0.0145666666666666</f>
        <v>-3.5686823002537844E-2</v>
      </c>
      <c r="O75" s="3">
        <f>(FEM[[#This Row],[disp_q4]]--0.0145666666666666)/-0.0145666666666666</f>
        <v>-0.81724746518916891</v>
      </c>
      <c r="P75" s="3">
        <f>(FEM[[#This Row],[disp_q8]]--0.0145666666666666)/-0.0145666666666666</f>
        <v>-2.2022590541670543E-2</v>
      </c>
      <c r="Q75" s="3">
        <f>(FEM[[#This Row],[disp_q9]]--0.0145666666666666)/-0.0145666666666666</f>
        <v>-2.2022590541670543E-2</v>
      </c>
    </row>
    <row r="76" spans="1:17" x14ac:dyDescent="0.3">
      <c r="A76">
        <v>1</v>
      </c>
      <c r="B76">
        <v>15</v>
      </c>
      <c r="C76">
        <v>64</v>
      </c>
      <c r="D76">
        <v>-3.98012231846003E-4</v>
      </c>
      <c r="E76">
        <v>186</v>
      </c>
      <c r="F76">
        <v>-1.1418653677612901E-2</v>
      </c>
      <c r="G76">
        <v>64</v>
      </c>
      <c r="H76">
        <v>-7.7128546143741402E-4</v>
      </c>
      <c r="I76">
        <v>156</v>
      </c>
      <c r="J76">
        <v>-1.18455486068393E-2</v>
      </c>
      <c r="K76">
        <v>186</v>
      </c>
      <c r="L76">
        <v>-1.18455486068393E-2</v>
      </c>
      <c r="M76" s="3">
        <f>(FEM[[#This Row],[disp_t3]]--0.0145666666666666)/-0.0145666666666666</f>
        <v>-0.97267650582292864</v>
      </c>
      <c r="N76" s="3">
        <f>(FEM[[#This Row],[disp_t6]]--0.0145666666666666)/-0.0145666666666666</f>
        <v>-0.21611073151398488</v>
      </c>
      <c r="O76" s="3">
        <f>(FEM[[#This Row],[disp_q4]]--0.0145666666666666)/-0.0145666666666666</f>
        <v>-0.94705134132008573</v>
      </c>
      <c r="P76" s="3">
        <f>(FEM[[#This Row],[disp_q8]]--0.0145666666666666)/-0.0145666666666666</f>
        <v>-0.18680444346640585</v>
      </c>
      <c r="Q76" s="3">
        <f>(FEM[[#This Row],[disp_q9]]--0.0145666666666666)/-0.0145666666666666</f>
        <v>-0.18680444346640585</v>
      </c>
    </row>
    <row r="77" spans="1:17" x14ac:dyDescent="0.3">
      <c r="A77">
        <v>200</v>
      </c>
      <c r="B77">
        <v>12</v>
      </c>
      <c r="C77">
        <v>5226</v>
      </c>
      <c r="D77">
        <v>-1.4501239459529301E-2</v>
      </c>
      <c r="E77">
        <v>20050</v>
      </c>
      <c r="F77">
        <v>-1.4767043599380501E-2</v>
      </c>
      <c r="G77">
        <v>5226</v>
      </c>
      <c r="H77">
        <v>-1.4732339642146401E-2</v>
      </c>
      <c r="I77">
        <v>15250</v>
      </c>
      <c r="J77">
        <v>-1.4774240163926099E-2</v>
      </c>
      <c r="K77">
        <v>20050</v>
      </c>
      <c r="L77">
        <v>-1.4774240163926099E-2</v>
      </c>
      <c r="M77" s="3">
        <f>(FEM[[#This Row],[disp_t3]]--0.0145666666666666)/-0.0145666666666666</f>
        <v>-4.4915702840250876E-3</v>
      </c>
      <c r="N77" s="3">
        <f>(FEM[[#This Row],[disp_t6]]--0.0145666666666666)/-0.0145666666666666</f>
        <v>1.375585350438688E-2</v>
      </c>
      <c r="O77" s="3">
        <f>(FEM[[#This Row],[disp_q4]]--0.0145666666666666)/-0.0145666666666666</f>
        <v>1.1373430810970406E-2</v>
      </c>
      <c r="P77" s="3">
        <f>(FEM[[#This Row],[disp_q8]]--0.0145666666666666)/-0.0145666666666666</f>
        <v>1.4249896837036681E-2</v>
      </c>
      <c r="Q77" s="3">
        <f>(FEM[[#This Row],[disp_q9]]--0.0145666666666666)/-0.0145666666666666</f>
        <v>1.4249896837036681E-2</v>
      </c>
    </row>
    <row r="78" spans="1:17" x14ac:dyDescent="0.3">
      <c r="A78">
        <v>166</v>
      </c>
      <c r="B78">
        <v>12</v>
      </c>
      <c r="C78">
        <v>4342</v>
      </c>
      <c r="D78">
        <v>-1.44912442238836E-2</v>
      </c>
      <c r="E78">
        <v>16650</v>
      </c>
      <c r="F78">
        <v>-1.47654658742276E-2</v>
      </c>
      <c r="G78">
        <v>4342</v>
      </c>
      <c r="H78">
        <v>-1.47280344264651E-2</v>
      </c>
      <c r="I78">
        <v>12666</v>
      </c>
      <c r="J78">
        <v>-1.4772356192987701E-2</v>
      </c>
      <c r="K78">
        <v>16650</v>
      </c>
      <c r="L78">
        <v>-1.4772356192987701E-2</v>
      </c>
      <c r="M78" s="3">
        <f>(FEM[[#This Row],[disp_t3]]--0.0145666666666666)/-0.0145666666666666</f>
        <v>-5.17774206748285E-3</v>
      </c>
      <c r="N78" s="3">
        <f>(FEM[[#This Row],[disp_t6]]--0.0145666666666666)/-0.0145666666666666</f>
        <v>1.3647542853158019E-2</v>
      </c>
      <c r="O78" s="3">
        <f>(FEM[[#This Row],[disp_q4]]--0.0145666666666666)/-0.0145666666666666</f>
        <v>1.1077878247036731E-2</v>
      </c>
      <c r="P78" s="3">
        <f>(FEM[[#This Row],[disp_q8]]--0.0145666666666666)/-0.0145666666666666</f>
        <v>1.4120562447672937E-2</v>
      </c>
      <c r="Q78" s="3">
        <f>(FEM[[#This Row],[disp_q9]]--0.0145666666666666)/-0.0145666666666666</f>
        <v>1.4120562447672937E-2</v>
      </c>
    </row>
    <row r="79" spans="1:17" x14ac:dyDescent="0.3">
      <c r="A79">
        <v>138</v>
      </c>
      <c r="B79">
        <v>12</v>
      </c>
      <c r="C79">
        <v>3614</v>
      </c>
      <c r="D79">
        <v>-1.44771157233138E-2</v>
      </c>
      <c r="E79">
        <v>13850</v>
      </c>
      <c r="F79">
        <v>-1.4763544720148E-2</v>
      </c>
      <c r="G79">
        <v>3614</v>
      </c>
      <c r="H79">
        <v>-1.4722016781293101E-2</v>
      </c>
      <c r="I79">
        <v>10538</v>
      </c>
      <c r="J79">
        <v>-1.47704064681213E-2</v>
      </c>
      <c r="K79">
        <v>13850</v>
      </c>
      <c r="L79">
        <v>-1.47704064681213E-2</v>
      </c>
      <c r="M79" s="3">
        <f>(FEM[[#This Row],[disp_t3]]--0.0145666666666666)/-0.0145666666666666</f>
        <v>-6.1476620150663483E-3</v>
      </c>
      <c r="N79" s="3">
        <f>(FEM[[#This Row],[disp_t6]]--0.0145666666666666)/-0.0145666666666666</f>
        <v>1.3515655845405157E-2</v>
      </c>
      <c r="O79" s="3">
        <f>(FEM[[#This Row],[disp_q4]]--0.0145666666666666)/-0.0145666666666666</f>
        <v>1.0664767594496704E-2</v>
      </c>
      <c r="P79" s="3">
        <f>(FEM[[#This Row],[disp_q8]]--0.0145666666666666)/-0.0145666666666666</f>
        <v>1.3986714058675182E-2</v>
      </c>
      <c r="Q79" s="3">
        <f>(FEM[[#This Row],[disp_q9]]--0.0145666666666666)/-0.0145666666666666</f>
        <v>1.3986714058675182E-2</v>
      </c>
    </row>
    <row r="80" spans="1:17" x14ac:dyDescent="0.3">
      <c r="A80">
        <v>115</v>
      </c>
      <c r="B80">
        <v>12</v>
      </c>
      <c r="C80">
        <v>3016</v>
      </c>
      <c r="D80">
        <v>-1.44573445920209E-2</v>
      </c>
      <c r="E80">
        <v>11550</v>
      </c>
      <c r="F80">
        <v>-1.4761257383787699E-2</v>
      </c>
      <c r="G80">
        <v>3016</v>
      </c>
      <c r="H80">
        <v>-1.47137216763215E-2</v>
      </c>
      <c r="I80">
        <v>8790</v>
      </c>
      <c r="J80">
        <v>-1.47684187047203E-2</v>
      </c>
      <c r="K80">
        <v>11550</v>
      </c>
      <c r="L80">
        <v>-1.47684187047203E-2</v>
      </c>
      <c r="M80" s="3">
        <f>(FEM[[#This Row],[disp_t3]]--0.0145666666666666)/-0.0145666666666666</f>
        <v>-7.5049479161807837E-3</v>
      </c>
      <c r="N80" s="3">
        <f>(FEM[[#This Row],[disp_t6]]--0.0145666666666666)/-0.0145666666666666</f>
        <v>1.335863046597947E-2</v>
      </c>
      <c r="O80" s="3">
        <f>(FEM[[#This Row],[disp_q4]]--0.0145666666666666)/-0.0145666666666666</f>
        <v>1.009530958729297E-2</v>
      </c>
      <c r="P80" s="3">
        <f>(FEM[[#This Row],[disp_q8]]--0.0145666666666666)/-0.0145666666666666</f>
        <v>1.3850254328629375E-2</v>
      </c>
      <c r="Q80" s="3">
        <f>(FEM[[#This Row],[disp_q9]]--0.0145666666666666)/-0.0145666666666666</f>
        <v>1.3850254328629375E-2</v>
      </c>
    </row>
    <row r="81" spans="1:17" x14ac:dyDescent="0.3">
      <c r="A81">
        <v>96</v>
      </c>
      <c r="B81">
        <v>12</v>
      </c>
      <c r="C81">
        <v>2522</v>
      </c>
      <c r="D81">
        <v>-1.4429733077124701E-2</v>
      </c>
      <c r="E81">
        <v>9650</v>
      </c>
      <c r="F81">
        <v>-1.47585623577499E-2</v>
      </c>
      <c r="G81">
        <v>2522</v>
      </c>
      <c r="H81">
        <v>-1.4702343169714501E-2</v>
      </c>
      <c r="I81">
        <v>7346</v>
      </c>
      <c r="J81">
        <v>-1.47663094140211E-2</v>
      </c>
      <c r="K81">
        <v>9650</v>
      </c>
      <c r="L81">
        <v>-1.47663094140211E-2</v>
      </c>
      <c r="M81" s="3">
        <f>(FEM[[#This Row],[disp_t3]]--0.0145666666666666)/-0.0145666666666666</f>
        <v>-9.4004752545926162E-3</v>
      </c>
      <c r="N81" s="3">
        <f>(FEM[[#This Row],[disp_t6]]--0.0145666666666666)/-0.0145666666666666</f>
        <v>1.317361723683994E-2</v>
      </c>
      <c r="O81" s="3">
        <f>(FEM[[#This Row],[disp_q4]]--0.0145666666666666)/-0.0145666666666666</f>
        <v>9.3141764106111271E-3</v>
      </c>
      <c r="P81" s="3">
        <f>(FEM[[#This Row],[disp_q8]]--0.0145666666666666)/-0.0145666666666666</f>
        <v>1.3705451763466957E-2</v>
      </c>
      <c r="Q81" s="3">
        <f>(FEM[[#This Row],[disp_q9]]--0.0145666666666666)/-0.0145666666666666</f>
        <v>1.3705451763466957E-2</v>
      </c>
    </row>
    <row r="82" spans="1:17" x14ac:dyDescent="0.3">
      <c r="A82">
        <v>80</v>
      </c>
      <c r="B82">
        <v>12</v>
      </c>
      <c r="C82">
        <v>2106</v>
      </c>
      <c r="D82">
        <v>-1.43904800530154E-2</v>
      </c>
      <c r="E82">
        <v>8050</v>
      </c>
      <c r="F82">
        <v>-1.4755359076704199E-2</v>
      </c>
      <c r="G82">
        <v>2106</v>
      </c>
      <c r="H82">
        <v>-1.46864814464066E-2</v>
      </c>
      <c r="I82">
        <v>6130</v>
      </c>
      <c r="J82">
        <v>-1.47638544233807E-2</v>
      </c>
      <c r="K82">
        <v>8050</v>
      </c>
      <c r="L82">
        <v>-1.47638544233807E-2</v>
      </c>
      <c r="M82" s="3">
        <f>(FEM[[#This Row],[disp_t3]]--0.0145666666666666)/-0.0145666666666666</f>
        <v>-1.2095190868503443E-2</v>
      </c>
      <c r="N82" s="3">
        <f>(FEM[[#This Row],[disp_t6]]--0.0145666666666666)/-0.0145666666666666</f>
        <v>1.2953712359560707E-2</v>
      </c>
      <c r="O82" s="3">
        <f>(FEM[[#This Row],[disp_q4]]--0.0145666666666666)/-0.0145666666666666</f>
        <v>8.2252709203662448E-3</v>
      </c>
      <c r="P82" s="3">
        <f>(FEM[[#This Row],[disp_q8]]--0.0145666666666666)/-0.0145666666666666</f>
        <v>1.3536916936894855E-2</v>
      </c>
      <c r="Q82" s="3">
        <f>(FEM[[#This Row],[disp_q9]]--0.0145666666666666)/-0.0145666666666666</f>
        <v>1.3536916936894855E-2</v>
      </c>
    </row>
    <row r="83" spans="1:17" x14ac:dyDescent="0.3">
      <c r="A83">
        <v>66</v>
      </c>
      <c r="B83">
        <v>12</v>
      </c>
      <c r="C83">
        <v>1742</v>
      </c>
      <c r="D83">
        <v>-1.4331569177868601E-2</v>
      </c>
      <c r="E83">
        <v>6650</v>
      </c>
      <c r="F83">
        <v>-1.47514113890274E-2</v>
      </c>
      <c r="G83">
        <v>1742</v>
      </c>
      <c r="H83">
        <v>-1.46631484532228E-2</v>
      </c>
      <c r="I83">
        <v>5066</v>
      </c>
      <c r="J83">
        <v>-1.47606608752919E-2</v>
      </c>
      <c r="K83">
        <v>6650</v>
      </c>
      <c r="L83">
        <v>-1.47606608752919E-2</v>
      </c>
      <c r="M83" s="3">
        <f>(FEM[[#This Row],[disp_t3]]--0.0145666666666666)/-0.0145666666666666</f>
        <v>-1.6139415706956508E-2</v>
      </c>
      <c r="N83" s="3">
        <f>(FEM[[#This Row],[disp_t6]]--0.0145666666666666)/-0.0145666666666666</f>
        <v>1.2682704052228906E-2</v>
      </c>
      <c r="O83" s="3">
        <f>(FEM[[#This Row],[disp_q4]]--0.0145666666666666)/-0.0145666666666666</f>
        <v>6.6234636079772211E-3</v>
      </c>
      <c r="P83" s="3">
        <f>(FEM[[#This Row],[disp_q8]]--0.0145666666666666)/-0.0145666666666666</f>
        <v>1.3317680225993229E-2</v>
      </c>
      <c r="Q83" s="3">
        <f>(FEM[[#This Row],[disp_q9]]--0.0145666666666666)/-0.0145666666666666</f>
        <v>1.3317680225993229E-2</v>
      </c>
    </row>
    <row r="84" spans="1:17" x14ac:dyDescent="0.3">
      <c r="A84">
        <v>55</v>
      </c>
      <c r="B84">
        <v>12</v>
      </c>
      <c r="C84">
        <v>1456</v>
      </c>
      <c r="D84">
        <v>-1.42523582067909E-2</v>
      </c>
      <c r="E84">
        <v>5550</v>
      </c>
      <c r="F84">
        <v>-1.47471205092225E-2</v>
      </c>
      <c r="G84">
        <v>1456</v>
      </c>
      <c r="H84">
        <v>-1.46323172310708E-2</v>
      </c>
      <c r="I84">
        <v>4230</v>
      </c>
      <c r="J84">
        <v>-1.47569049025029E-2</v>
      </c>
      <c r="K84">
        <v>5550</v>
      </c>
      <c r="L84">
        <v>-1.47569049025029E-2</v>
      </c>
      <c r="M84" s="3">
        <f>(FEM[[#This Row],[disp_t3]]--0.0145666666666666)/-0.0145666666666666</f>
        <v>-2.1577239808400508E-2</v>
      </c>
      <c r="N84" s="3">
        <f>(FEM[[#This Row],[disp_t6]]--0.0145666666666666)/-0.0145666666666666</f>
        <v>1.2388135644569894E-2</v>
      </c>
      <c r="O84" s="3">
        <f>(FEM[[#This Row],[disp_q4]]--0.0145666666666666)/-0.0145666666666666</f>
        <v>4.5069037348421876E-3</v>
      </c>
      <c r="P84" s="3">
        <f>(FEM[[#This Row],[disp_q8]]--0.0145666666666666)/-0.0145666666666666</f>
        <v>1.3059833123773564E-2</v>
      </c>
      <c r="Q84" s="3">
        <f>(FEM[[#This Row],[disp_q9]]--0.0145666666666666)/-0.0145666666666666</f>
        <v>1.3059833123773564E-2</v>
      </c>
    </row>
    <row r="85" spans="1:17" x14ac:dyDescent="0.3">
      <c r="A85">
        <v>46</v>
      </c>
      <c r="B85">
        <v>12</v>
      </c>
      <c r="C85">
        <v>1222</v>
      </c>
      <c r="D85">
        <v>-1.4143793967361E-2</v>
      </c>
      <c r="E85">
        <v>4650</v>
      </c>
      <c r="F85">
        <v>-1.4742422067417099E-2</v>
      </c>
      <c r="G85">
        <v>1222</v>
      </c>
      <c r="H85">
        <v>-1.45905796461004E-2</v>
      </c>
      <c r="I85">
        <v>3546</v>
      </c>
      <c r="J85">
        <v>-1.47525317450396E-2</v>
      </c>
      <c r="K85">
        <v>4650</v>
      </c>
      <c r="L85">
        <v>-1.47525317450396E-2</v>
      </c>
      <c r="M85" s="3">
        <f>(FEM[[#This Row],[disp_t3]]--0.0145666666666666)/-0.0145666666666666</f>
        <v>-2.9030162423725466E-2</v>
      </c>
      <c r="N85" s="3">
        <f>(FEM[[#This Row],[disp_t6]]--0.0145666666666666)/-0.0145666666666666</f>
        <v>1.2065588152208304E-2</v>
      </c>
      <c r="O85" s="3">
        <f>(FEM[[#This Row],[disp_q4]]--0.0145666666666666)/-0.0145666666666666</f>
        <v>1.6416233020915833E-3</v>
      </c>
      <c r="P85" s="3">
        <f>(FEM[[#This Row],[disp_q8]]--0.0145666666666666)/-0.0145666666666666</f>
        <v>1.2759616364279313E-2</v>
      </c>
      <c r="Q85" s="3">
        <f>(FEM[[#This Row],[disp_q9]]--0.0145666666666666)/-0.0145666666666666</f>
        <v>1.2759616364279313E-2</v>
      </c>
    </row>
    <row r="86" spans="1:17" x14ac:dyDescent="0.3">
      <c r="A86">
        <v>38</v>
      </c>
      <c r="B86">
        <v>12</v>
      </c>
      <c r="C86">
        <v>1014</v>
      </c>
      <c r="D86">
        <v>-1.3980573986471199E-2</v>
      </c>
      <c r="E86">
        <v>3850</v>
      </c>
      <c r="F86">
        <v>-1.4736920859498801E-2</v>
      </c>
      <c r="G86">
        <v>1014</v>
      </c>
      <c r="H86">
        <v>-1.45282107670419E-2</v>
      </c>
      <c r="I86">
        <v>2938</v>
      </c>
      <c r="J86">
        <v>-1.47472229555725E-2</v>
      </c>
      <c r="K86">
        <v>3850</v>
      </c>
      <c r="L86">
        <v>-1.47472229555725E-2</v>
      </c>
      <c r="M86" s="3">
        <f>(FEM[[#This Row],[disp_t3]]--0.0145666666666666)/-0.0145666666666666</f>
        <v>-4.0235195436755328E-2</v>
      </c>
      <c r="N86" s="3">
        <f>(FEM[[#This Row],[disp_t6]]--0.0145666666666666)/-0.0145666666666666</f>
        <v>1.1687930858045923E-2</v>
      </c>
      <c r="O86" s="3">
        <f>(FEM[[#This Row],[disp_q4]]--0.0145666666666666)/-0.0145666666666666</f>
        <v>-2.639993109247092E-3</v>
      </c>
      <c r="P86" s="3">
        <f>(FEM[[#This Row],[disp_q8]]--0.0145666666666666)/-0.0145666666666666</f>
        <v>1.2395168574775874E-2</v>
      </c>
      <c r="Q86" s="3">
        <f>(FEM[[#This Row],[disp_q9]]--0.0145666666666666)/-0.0145666666666666</f>
        <v>1.2395168574775874E-2</v>
      </c>
    </row>
    <row r="87" spans="1:17" x14ac:dyDescent="0.3">
      <c r="A87">
        <v>32</v>
      </c>
      <c r="B87">
        <v>12</v>
      </c>
      <c r="C87">
        <v>858</v>
      </c>
      <c r="D87">
        <v>-1.3776883030454899E-2</v>
      </c>
      <c r="E87">
        <v>3250</v>
      </c>
      <c r="F87">
        <v>-1.4731617673392001E-2</v>
      </c>
      <c r="G87">
        <v>858</v>
      </c>
      <c r="H87">
        <v>-1.44502114690246E-2</v>
      </c>
      <c r="I87">
        <v>2482</v>
      </c>
      <c r="J87">
        <v>-1.47420300884318E-2</v>
      </c>
      <c r="K87">
        <v>3250</v>
      </c>
      <c r="L87">
        <v>-1.47420300884318E-2</v>
      </c>
      <c r="M87" s="3">
        <f>(FEM[[#This Row],[disp_t3]]--0.0145666666666666)/-0.0145666666666666</f>
        <v>-5.4218556261673032E-2</v>
      </c>
      <c r="N87" s="3">
        <f>(FEM[[#This Row],[disp_t6]]--0.0145666666666666)/-0.0145666666666666</f>
        <v>1.1323867738585966E-2</v>
      </c>
      <c r="O87" s="3">
        <f>(FEM[[#This Row],[disp_q4]]--0.0145666666666666)/-0.0145666666666666</f>
        <v>-7.9946359937299923E-3</v>
      </c>
      <c r="P87" s="3">
        <f>(FEM[[#This Row],[disp_q8]]--0.0145666666666666)/-0.0145666666666666</f>
        <v>1.2038678839716333E-2</v>
      </c>
      <c r="Q87" s="3">
        <f>(FEM[[#This Row],[disp_q9]]--0.0145666666666666)/-0.0145666666666666</f>
        <v>1.2038678839716333E-2</v>
      </c>
    </row>
    <row r="88" spans="1:17" x14ac:dyDescent="0.3">
      <c r="A88">
        <v>26</v>
      </c>
      <c r="B88">
        <v>12</v>
      </c>
      <c r="C88">
        <v>702</v>
      </c>
      <c r="D88">
        <v>-1.34327412872582E-2</v>
      </c>
      <c r="E88">
        <v>2650</v>
      </c>
      <c r="F88">
        <v>-1.4724844263764201E-2</v>
      </c>
      <c r="G88">
        <v>702</v>
      </c>
      <c r="H88">
        <v>-1.43166464696153E-2</v>
      </c>
      <c r="I88">
        <v>2026</v>
      </c>
      <c r="J88">
        <v>-1.47353833473143E-2</v>
      </c>
      <c r="K88">
        <v>2650</v>
      </c>
      <c r="L88">
        <v>-1.47353833473143E-2</v>
      </c>
      <c r="M88" s="3">
        <f>(FEM[[#This Row],[disp_t3]]--0.0145666666666666)/-0.0145666666666666</f>
        <v>-7.7843847556641074E-2</v>
      </c>
      <c r="N88" s="3">
        <f>(FEM[[#This Row],[disp_t6]]--0.0145666666666666)/-0.0145666666666666</f>
        <v>1.0858873942627134E-2</v>
      </c>
      <c r="O88" s="3">
        <f>(FEM[[#This Row],[disp_q4]]--0.0145666666666666)/-0.0145666666666666</f>
        <v>-1.7163857921141886E-2</v>
      </c>
      <c r="P88" s="3">
        <f>(FEM[[#This Row],[disp_q8]]--0.0145666666666666)/-0.0145666666666666</f>
        <v>1.1582380822496669E-2</v>
      </c>
      <c r="Q88" s="3">
        <f>(FEM[[#This Row],[disp_q9]]--0.0145666666666666)/-0.0145666666666666</f>
        <v>1.1582380822496669E-2</v>
      </c>
    </row>
    <row r="89" spans="1:17" x14ac:dyDescent="0.3">
      <c r="A89">
        <v>22</v>
      </c>
      <c r="B89">
        <v>12</v>
      </c>
      <c r="C89">
        <v>598</v>
      </c>
      <c r="D89">
        <v>-1.30539282982853E-2</v>
      </c>
      <c r="E89">
        <v>2250</v>
      </c>
      <c r="F89">
        <v>-1.4719149508481501E-2</v>
      </c>
      <c r="G89">
        <v>598</v>
      </c>
      <c r="H89">
        <v>-1.4165818943313599E-2</v>
      </c>
      <c r="I89">
        <v>1722</v>
      </c>
      <c r="J89">
        <v>-1.47298152343574E-2</v>
      </c>
      <c r="K89">
        <v>2250</v>
      </c>
      <c r="L89">
        <v>-1.47298152343574E-2</v>
      </c>
      <c r="M89" s="3">
        <f>(FEM[[#This Row],[disp_t3]]--0.0145666666666666)/-0.0145666666666666</f>
        <v>-0.10384931590718348</v>
      </c>
      <c r="N89" s="3">
        <f>(FEM[[#This Row],[disp_t6]]--0.0145666666666666)/-0.0145666666666666</f>
        <v>1.0467929644043625E-2</v>
      </c>
      <c r="O89" s="3">
        <f>(FEM[[#This Row],[disp_q4]]--0.0145666666666666)/-0.0145666666666666</f>
        <v>-2.7518150344599673E-2</v>
      </c>
      <c r="P89" s="3">
        <f>(FEM[[#This Row],[disp_q8]]--0.0145666666666666)/-0.0145666666666666</f>
        <v>1.1200130505089346E-2</v>
      </c>
      <c r="Q89" s="3">
        <f>(FEM[[#This Row],[disp_q9]]--0.0145666666666666)/-0.0145666666666666</f>
        <v>1.1200130505089346E-2</v>
      </c>
    </row>
    <row r="90" spans="1:17" x14ac:dyDescent="0.3">
      <c r="A90">
        <v>18</v>
      </c>
      <c r="B90">
        <v>12</v>
      </c>
      <c r="C90">
        <v>494</v>
      </c>
      <c r="D90">
        <v>-1.24459455831928E-2</v>
      </c>
      <c r="E90">
        <v>1850</v>
      </c>
      <c r="F90">
        <v>-1.47120419262689E-2</v>
      </c>
      <c r="G90">
        <v>494</v>
      </c>
      <c r="H90">
        <v>-1.39133834403018E-2</v>
      </c>
      <c r="I90">
        <v>1418</v>
      </c>
      <c r="J90">
        <v>-1.47229110810958E-2</v>
      </c>
      <c r="K90">
        <v>1850</v>
      </c>
      <c r="L90">
        <v>-1.47229110810958E-2</v>
      </c>
      <c r="M90" s="3">
        <f>(FEM[[#This Row],[disp_t3]]--0.0145666666666666)/-0.0145666666666666</f>
        <v>-0.14558725973504413</v>
      </c>
      <c r="N90" s="3">
        <f>(FEM[[#This Row],[disp_t6]]--0.0145666666666666)/-0.0145666666666666</f>
        <v>9.9799949383731212E-3</v>
      </c>
      <c r="O90" s="3">
        <f>(FEM[[#This Row],[disp_q4]]--0.0145666666666666)/-0.0145666666666666</f>
        <v>-4.484781874357912E-2</v>
      </c>
      <c r="P90" s="3">
        <f>(FEM[[#This Row],[disp_q8]]--0.0145666666666666)/-0.0145666666666666</f>
        <v>1.0726161173629399E-2</v>
      </c>
      <c r="Q90" s="3">
        <f>(FEM[[#This Row],[disp_q9]]--0.0145666666666666)/-0.0145666666666666</f>
        <v>1.0726161173629399E-2</v>
      </c>
    </row>
    <row r="91" spans="1:17" x14ac:dyDescent="0.3">
      <c r="A91">
        <v>15</v>
      </c>
      <c r="B91">
        <v>12</v>
      </c>
      <c r="C91">
        <v>416</v>
      </c>
      <c r="D91">
        <v>-1.17216337055516E-2</v>
      </c>
      <c r="E91">
        <v>1550</v>
      </c>
      <c r="F91">
        <v>-1.47053054253031E-2</v>
      </c>
      <c r="G91">
        <v>416</v>
      </c>
      <c r="H91">
        <v>-1.3593192771620599E-2</v>
      </c>
      <c r="I91">
        <v>1190</v>
      </c>
      <c r="J91">
        <v>-1.47164364049398E-2</v>
      </c>
      <c r="K91">
        <v>1550</v>
      </c>
      <c r="L91">
        <v>-1.47164364049398E-2</v>
      </c>
      <c r="M91" s="3">
        <f>(FEM[[#This Row],[disp_t3]]--0.0145666666666666)/-0.0145666666666666</f>
        <v>-0.19531118726190017</v>
      </c>
      <c r="N91" s="3">
        <f>(FEM[[#This Row],[disp_t6]]--0.0145666666666666)/-0.0145666666666666</f>
        <v>9.5175349178376282E-3</v>
      </c>
      <c r="O91" s="3">
        <f>(FEM[[#This Row],[disp_q4]]--0.0145666666666666)/-0.0145666666666666</f>
        <v>-6.6828871513455679E-2</v>
      </c>
      <c r="P91" s="3">
        <f>(FEM[[#This Row],[disp_q8]]--0.0145666666666666)/-0.0145666666666666</f>
        <v>1.0281675396329602E-2</v>
      </c>
      <c r="Q91" s="3">
        <f>(FEM[[#This Row],[disp_q9]]--0.0145666666666666)/-0.0145666666666666</f>
        <v>1.0281675396329602E-2</v>
      </c>
    </row>
    <row r="92" spans="1:17" x14ac:dyDescent="0.3">
      <c r="A92">
        <v>12</v>
      </c>
      <c r="B92">
        <v>12</v>
      </c>
      <c r="C92">
        <v>338</v>
      </c>
      <c r="D92">
        <v>-1.05907214481454E-2</v>
      </c>
      <c r="E92">
        <v>1250</v>
      </c>
      <c r="F92">
        <v>-1.4696539048630001E-2</v>
      </c>
      <c r="G92">
        <v>338</v>
      </c>
      <c r="H92">
        <v>-1.3043342928239001E-2</v>
      </c>
      <c r="I92">
        <v>962</v>
      </c>
      <c r="J92">
        <v>-1.4708188049653599E-2</v>
      </c>
      <c r="K92">
        <v>1250</v>
      </c>
      <c r="L92">
        <v>-1.4708188049653599E-2</v>
      </c>
      <c r="M92" s="3">
        <f>(FEM[[#This Row],[disp_t3]]--0.0145666666666666)/-0.0145666666666666</f>
        <v>-0.27294818433784102</v>
      </c>
      <c r="N92" s="3">
        <f>(FEM[[#This Row],[disp_t6]]--0.0145666666666666)/-0.0145666666666666</f>
        <v>8.9157241622472849E-3</v>
      </c>
      <c r="O92" s="3">
        <f>(FEM[[#This Row],[disp_q4]]--0.0145666666666666)/-0.0145666666666666</f>
        <v>-0.10457600034972121</v>
      </c>
      <c r="P92" s="3">
        <f>(FEM[[#This Row],[disp_q8]]--0.0145666666666666)/-0.0145666666666666</f>
        <v>9.7154267496796856E-3</v>
      </c>
      <c r="Q92" s="3">
        <f>(FEM[[#This Row],[disp_q9]]--0.0145666666666666)/-0.0145666666666666</f>
        <v>9.7154267496796856E-3</v>
      </c>
    </row>
    <row r="93" spans="1:17" x14ac:dyDescent="0.3">
      <c r="A93">
        <v>10</v>
      </c>
      <c r="B93">
        <v>12</v>
      </c>
      <c r="C93">
        <v>286</v>
      </c>
      <c r="D93">
        <v>-9.4771637056332708E-3</v>
      </c>
      <c r="E93">
        <v>1050</v>
      </c>
      <c r="F93">
        <v>-1.46886363091757E-2</v>
      </c>
      <c r="G93">
        <v>286</v>
      </c>
      <c r="H93">
        <v>-1.2430718558837799E-2</v>
      </c>
      <c r="I93">
        <v>810</v>
      </c>
      <c r="J93">
        <v>-1.47010437781879E-2</v>
      </c>
      <c r="K93">
        <v>1050</v>
      </c>
      <c r="L93">
        <v>-1.47010437781879E-2</v>
      </c>
      <c r="M93" s="3">
        <f>(FEM[[#This Row],[disp_t3]]--0.0145666666666666)/-0.0145666666666666</f>
        <v>-0.34939379595194636</v>
      </c>
      <c r="N93" s="3">
        <f>(FEM[[#This Row],[disp_t6]]--0.0145666666666666)/-0.0145666666666666</f>
        <v>8.3732020029131521E-3</v>
      </c>
      <c r="O93" s="3">
        <f>(FEM[[#This Row],[disp_q4]]--0.0145666666666666)/-0.0145666666666666</f>
        <v>-0.14663259321479244</v>
      </c>
      <c r="P93" s="3">
        <f>(FEM[[#This Row],[disp_q8]]--0.0145666666666666)/-0.0145666666666666</f>
        <v>9.2249733309817793E-3</v>
      </c>
      <c r="Q93" s="3">
        <f>(FEM[[#This Row],[disp_q9]]--0.0145666666666666)/-0.0145666666666666</f>
        <v>9.2249733309817793E-3</v>
      </c>
    </row>
    <row r="94" spans="1:17" x14ac:dyDescent="0.3">
      <c r="A94">
        <v>8</v>
      </c>
      <c r="B94">
        <v>12</v>
      </c>
      <c r="C94">
        <v>234</v>
      </c>
      <c r="D94">
        <v>-7.9464176025724701E-3</v>
      </c>
      <c r="E94">
        <v>850</v>
      </c>
      <c r="F94">
        <v>-1.46771542428375E-2</v>
      </c>
      <c r="G94">
        <v>234</v>
      </c>
      <c r="H94">
        <v>-1.1443277916257899E-2</v>
      </c>
      <c r="I94">
        <v>658</v>
      </c>
      <c r="J94">
        <v>-1.46913735518647E-2</v>
      </c>
      <c r="K94">
        <v>850</v>
      </c>
      <c r="L94">
        <v>-1.46913735518647E-2</v>
      </c>
      <c r="M94" s="3">
        <f>(FEM[[#This Row],[disp_t3]]--0.0145666666666666)/-0.0145666666666666</f>
        <v>-0.45447934078449609</v>
      </c>
      <c r="N94" s="3">
        <f>(FEM[[#This Row],[disp_t6]]--0.0145666666666666)/-0.0145666666666666</f>
        <v>7.584959462533237E-3</v>
      </c>
      <c r="O94" s="3">
        <f>(FEM[[#This Row],[disp_q4]]--0.0145666666666666)/-0.0145666666666666</f>
        <v>-0.21442028034842434</v>
      </c>
      <c r="P94" s="3">
        <f>(FEM[[#This Row],[disp_q8]]--0.0145666666666666)/-0.0145666666666666</f>
        <v>8.5611134003273429E-3</v>
      </c>
      <c r="Q94" s="3">
        <f>(FEM[[#This Row],[disp_q9]]--0.0145666666666666)/-0.0145666666666666</f>
        <v>8.5611134003273429E-3</v>
      </c>
    </row>
    <row r="95" spans="1:17" x14ac:dyDescent="0.3">
      <c r="A95">
        <v>7</v>
      </c>
      <c r="B95">
        <v>12</v>
      </c>
      <c r="C95">
        <v>208</v>
      </c>
      <c r="D95">
        <v>-6.99137430601573E-3</v>
      </c>
      <c r="E95">
        <v>750</v>
      </c>
      <c r="F95">
        <v>-1.4668525726250501E-2</v>
      </c>
      <c r="G95">
        <v>208</v>
      </c>
      <c r="H95">
        <v>-1.0719977367039699E-2</v>
      </c>
      <c r="I95">
        <v>582</v>
      </c>
      <c r="J95">
        <v>-1.46846978719864E-2</v>
      </c>
      <c r="K95">
        <v>750</v>
      </c>
      <c r="L95">
        <v>-1.46846978719864E-2</v>
      </c>
      <c r="M95" s="3">
        <f>(FEM[[#This Row],[disp_t3]]--0.0145666666666666)/-0.0145666666666666</f>
        <v>-0.5200429538204282</v>
      </c>
      <c r="N95" s="3">
        <f>(FEM[[#This Row],[disp_t6]]--0.0145666666666666)/-0.0145666666666666</f>
        <v>6.9926127860802153E-3</v>
      </c>
      <c r="O95" s="3">
        <f>(FEM[[#This Row],[disp_q4]]--0.0145666666666666)/-0.0145666666666666</f>
        <v>-0.26407478029475406</v>
      </c>
      <c r="P95" s="3">
        <f>(FEM[[#This Row],[disp_q8]]--0.0145666666666666)/-0.0145666666666666</f>
        <v>8.1028287404897696E-3</v>
      </c>
      <c r="Q95" s="3">
        <f>(FEM[[#This Row],[disp_q9]]--0.0145666666666666)/-0.0145666666666666</f>
        <v>8.1028287404897696E-3</v>
      </c>
    </row>
    <row r="96" spans="1:17" x14ac:dyDescent="0.3">
      <c r="A96">
        <v>6</v>
      </c>
      <c r="B96">
        <v>12</v>
      </c>
      <c r="C96">
        <v>182</v>
      </c>
      <c r="D96">
        <v>-5.9046871547684303E-3</v>
      </c>
      <c r="E96">
        <v>650</v>
      </c>
      <c r="F96">
        <v>-1.46556344136092E-2</v>
      </c>
      <c r="G96">
        <v>182</v>
      </c>
      <c r="H96">
        <v>-9.7691858185596607E-3</v>
      </c>
      <c r="I96">
        <v>506</v>
      </c>
      <c r="J96">
        <v>-1.4675486376286699E-2</v>
      </c>
      <c r="K96">
        <v>650</v>
      </c>
      <c r="L96">
        <v>-1.4675486376286699E-2</v>
      </c>
      <c r="M96" s="3">
        <f>(FEM[[#This Row],[disp_t3]]--0.0145666666666666)/-0.0145666666666666</f>
        <v>-0.5946439024186414</v>
      </c>
      <c r="N96" s="3">
        <f>(FEM[[#This Row],[disp_t6]]--0.0145666666666666)/-0.0145666666666666</f>
        <v>6.1076256482334619E-3</v>
      </c>
      <c r="O96" s="3">
        <f>(FEM[[#This Row],[disp_q4]]--0.0145666666666666)/-0.0145666666666666</f>
        <v>-0.32934651131169068</v>
      </c>
      <c r="P96" s="3">
        <f>(FEM[[#This Row],[disp_q8]]--0.0145666666666666)/-0.0145666666666666</f>
        <v>7.4704606146522162E-3</v>
      </c>
      <c r="Q96" s="3">
        <f>(FEM[[#This Row],[disp_q9]]--0.0145666666666666)/-0.0145666666666666</f>
        <v>7.4704606146522162E-3</v>
      </c>
    </row>
    <row r="97" spans="1:17" x14ac:dyDescent="0.3">
      <c r="A97">
        <v>5</v>
      </c>
      <c r="B97">
        <v>12</v>
      </c>
      <c r="C97">
        <v>156</v>
      </c>
      <c r="D97">
        <v>-4.7039056993366897E-3</v>
      </c>
      <c r="E97">
        <v>550</v>
      </c>
      <c r="F97">
        <v>-1.4633433461047601E-2</v>
      </c>
      <c r="G97">
        <v>156</v>
      </c>
      <c r="H97">
        <v>-8.5170140734638893E-3</v>
      </c>
      <c r="I97">
        <v>430</v>
      </c>
      <c r="J97">
        <v>-1.4660878265931701E-2</v>
      </c>
      <c r="K97">
        <v>550</v>
      </c>
      <c r="L97">
        <v>-1.4660878265931701E-2</v>
      </c>
      <c r="M97" s="3">
        <f>(FEM[[#This Row],[disp_t3]]--0.0145666666666666)/-0.0145666666666666</f>
        <v>-0.67707741194484816</v>
      </c>
      <c r="N97" s="3">
        <f>(FEM[[#This Row],[disp_t6]]--0.0145666666666666)/-0.0145666666666666</f>
        <v>4.5835327950344354E-3</v>
      </c>
      <c r="O97" s="3">
        <f>(FEM[[#This Row],[disp_q4]]--0.0145666666666666)/-0.0145666666666666</f>
        <v>-0.41530795834343737</v>
      </c>
      <c r="P97" s="3">
        <f>(FEM[[#This Row],[disp_q8]]--0.0145666666666666)/-0.0145666666666666</f>
        <v>6.4676155101900555E-3</v>
      </c>
      <c r="Q97" s="3">
        <f>(FEM[[#This Row],[disp_q9]]--0.0145666666666666)/-0.0145666666666666</f>
        <v>6.4676155101900555E-3</v>
      </c>
    </row>
    <row r="98" spans="1:17" x14ac:dyDescent="0.3">
      <c r="A98">
        <v>4</v>
      </c>
      <c r="B98">
        <v>12</v>
      </c>
      <c r="C98">
        <v>130</v>
      </c>
      <c r="D98">
        <v>-3.4384380275243598E-3</v>
      </c>
      <c r="E98">
        <v>450</v>
      </c>
      <c r="F98">
        <v>-1.4587437190742999E-2</v>
      </c>
      <c r="G98">
        <v>130</v>
      </c>
      <c r="H98">
        <v>-6.8916310276274598E-3</v>
      </c>
      <c r="I98">
        <v>354</v>
      </c>
      <c r="J98">
        <v>-1.46321455267319E-2</v>
      </c>
      <c r="K98">
        <v>450</v>
      </c>
      <c r="L98">
        <v>-1.46321455267319E-2</v>
      </c>
      <c r="M98" s="3">
        <f>(FEM[[#This Row],[disp_t3]]--0.0145666666666666)/-0.0145666666666666</f>
        <v>-0.76395162282441353</v>
      </c>
      <c r="N98" s="3">
        <f>(FEM[[#This Row],[disp_t6]]--0.0145666666666666)/-0.0145666666666666</f>
        <v>1.4258941013547079E-3</v>
      </c>
      <c r="O98" s="3">
        <f>(FEM[[#This Row],[disp_q4]]--0.0145666666666666)/-0.0145666666666666</f>
        <v>-0.52689031846950862</v>
      </c>
      <c r="P98" s="3">
        <f>(FEM[[#This Row],[disp_q8]]--0.0145666666666666)/-0.0145666666666666</f>
        <v>4.495116251622514E-3</v>
      </c>
      <c r="Q98" s="3">
        <f>(FEM[[#This Row],[disp_q9]]--0.0145666666666666)/-0.0145666666666666</f>
        <v>4.495116251622514E-3</v>
      </c>
    </row>
    <row r="99" spans="1:17" x14ac:dyDescent="0.3">
      <c r="A99">
        <v>3</v>
      </c>
      <c r="B99">
        <v>12</v>
      </c>
      <c r="C99">
        <v>104</v>
      </c>
      <c r="D99">
        <v>-2.2017993868237301E-3</v>
      </c>
      <c r="E99">
        <v>350</v>
      </c>
      <c r="F99">
        <v>-1.44676944068896E-2</v>
      </c>
      <c r="G99">
        <v>104</v>
      </c>
      <c r="H99">
        <v>-4.8802999116334001E-3</v>
      </c>
      <c r="I99">
        <v>278</v>
      </c>
      <c r="J99">
        <v>-1.45554125552597E-2</v>
      </c>
      <c r="K99">
        <v>350</v>
      </c>
      <c r="L99">
        <v>-1.45554125552597E-2</v>
      </c>
      <c r="M99" s="3">
        <f>(FEM[[#This Row],[disp_t3]]--0.0145666666666666)/-0.0145666666666666</f>
        <v>-0.84884672401667682</v>
      </c>
      <c r="N99" s="3">
        <f>(FEM[[#This Row],[disp_t6]]--0.0145666666666666)/-0.0145666666666666</f>
        <v>-6.7944343096338657E-3</v>
      </c>
      <c r="O99" s="3">
        <f>(FEM[[#This Row],[disp_q4]]--0.0145666666666666)/-0.0145666666666666</f>
        <v>-0.66496796945308312</v>
      </c>
      <c r="P99" s="3">
        <f>(FEM[[#This Row],[disp_q8]]--0.0145666666666666)/-0.0145666666666666</f>
        <v>-7.7259346042790763E-4</v>
      </c>
      <c r="Q99" s="3">
        <f>(FEM[[#This Row],[disp_q9]]--0.0145666666666666)/-0.0145666666666666</f>
        <v>-7.7259346042790763E-4</v>
      </c>
    </row>
    <row r="100" spans="1:17" x14ac:dyDescent="0.3">
      <c r="A100">
        <v>2</v>
      </c>
      <c r="B100">
        <v>12</v>
      </c>
      <c r="C100">
        <v>78</v>
      </c>
      <c r="D100">
        <v>-1.13361298463356E-3</v>
      </c>
      <c r="E100">
        <v>250</v>
      </c>
      <c r="F100">
        <v>-1.40467760942931E-2</v>
      </c>
      <c r="G100">
        <v>78</v>
      </c>
      <c r="H100">
        <v>-2.6620752331759901E-3</v>
      </c>
      <c r="I100">
        <v>202</v>
      </c>
      <c r="J100">
        <v>-1.4245590901765E-2</v>
      </c>
      <c r="K100">
        <v>250</v>
      </c>
      <c r="L100">
        <v>-1.4245590901765E-2</v>
      </c>
      <c r="M100" s="3">
        <f>(FEM[[#This Row],[disp_t3]]--0.0145666666666666)/-0.0145666666666666</f>
        <v>-0.92217759830890855</v>
      </c>
      <c r="N100" s="3">
        <f>(FEM[[#This Row],[disp_t6]]--0.0145666666666666)/-0.0145666666666666</f>
        <v>-3.5690428309393729E-2</v>
      </c>
      <c r="O100" s="3">
        <f>(FEM[[#This Row],[disp_q4]]--0.0145666666666666)/-0.0145666666666666</f>
        <v>-0.81724883982773433</v>
      </c>
      <c r="P100" s="3">
        <f>(FEM[[#This Row],[disp_q8]]--0.0145666666666666)/-0.0145666666666666</f>
        <v>-2.2041814524137344E-2</v>
      </c>
      <c r="Q100" s="3">
        <f>(FEM[[#This Row],[disp_q9]]--0.0145666666666666)/-0.0145666666666666</f>
        <v>-2.2041814524137344E-2</v>
      </c>
    </row>
    <row r="101" spans="1:17" x14ac:dyDescent="0.3">
      <c r="A101">
        <v>1</v>
      </c>
      <c r="B101">
        <v>12</v>
      </c>
      <c r="C101">
        <v>52</v>
      </c>
      <c r="D101">
        <v>-3.9795104700821997E-4</v>
      </c>
      <c r="E101">
        <v>150</v>
      </c>
      <c r="F101">
        <v>-1.14185453336251E-2</v>
      </c>
      <c r="G101">
        <v>52</v>
      </c>
      <c r="H101">
        <v>-7.7128254665651105E-4</v>
      </c>
      <c r="I101">
        <v>126</v>
      </c>
      <c r="J101">
        <v>-1.18452338098627E-2</v>
      </c>
      <c r="K101">
        <v>150</v>
      </c>
      <c r="L101">
        <v>-1.18452338098627E-2</v>
      </c>
      <c r="M101" s="3">
        <f>(FEM[[#This Row],[disp_t3]]--0.0145666666666666)/-0.0145666666666666</f>
        <v>-0.97268070615504187</v>
      </c>
      <c r="N101" s="3">
        <f>(FEM[[#This Row],[disp_t6]]--0.0145666666666666)/-0.0145666666666666</f>
        <v>-0.21611816931635106</v>
      </c>
      <c r="O101" s="3">
        <f>(FEM[[#This Row],[disp_q4]]--0.0145666666666666)/-0.0145666666666666</f>
        <v>-0.94705154141946124</v>
      </c>
      <c r="P101" s="3">
        <f>(FEM[[#This Row],[disp_q8]]--0.0145666666666666)/-0.0145666666666666</f>
        <v>-0.1868260542428315</v>
      </c>
      <c r="Q101" s="3">
        <f>(FEM[[#This Row],[disp_q9]]--0.0145666666666666)/-0.0145666666666666</f>
        <v>-0.1868260542428315</v>
      </c>
    </row>
    <row r="102" spans="1:17" x14ac:dyDescent="0.3">
      <c r="A102">
        <v>200</v>
      </c>
      <c r="B102">
        <v>9</v>
      </c>
      <c r="C102">
        <v>4020</v>
      </c>
      <c r="D102">
        <v>-1.4341482958744999E-2</v>
      </c>
      <c r="E102">
        <v>15238</v>
      </c>
      <c r="F102">
        <v>-1.47586104267037E-2</v>
      </c>
      <c r="G102">
        <v>4020</v>
      </c>
      <c r="H102">
        <v>-1.47223724551246E-2</v>
      </c>
      <c r="I102">
        <v>11638</v>
      </c>
      <c r="J102">
        <v>-1.4766565939675701E-2</v>
      </c>
      <c r="K102">
        <v>15238</v>
      </c>
      <c r="L102">
        <v>-1.4766565939675701E-2</v>
      </c>
      <c r="M102" s="3">
        <f>(FEM[[#This Row],[disp_t3]]--0.0145666666666666)/-0.0145666666666666</f>
        <v>-1.5458835784091613E-2</v>
      </c>
      <c r="N102" s="3">
        <f>(FEM[[#This Row],[disp_t6]]--0.0145666666666666)/-0.0145666666666666</f>
        <v>1.3176917165018433E-2</v>
      </c>
      <c r="O102" s="3">
        <f>(FEM[[#This Row],[disp_q4]]--0.0145666666666666)/-0.0145666666666666</f>
        <v>1.0689184562334218E-2</v>
      </c>
      <c r="P102" s="3">
        <f>(FEM[[#This Row],[disp_q8]]--0.0145666666666666)/-0.0145666666666666</f>
        <v>1.3723062220304503E-2</v>
      </c>
      <c r="Q102" s="3">
        <f>(FEM[[#This Row],[disp_q9]]--0.0145666666666666)/-0.0145666666666666</f>
        <v>1.3723062220304503E-2</v>
      </c>
    </row>
    <row r="103" spans="1:17" x14ac:dyDescent="0.3">
      <c r="A103">
        <v>166</v>
      </c>
      <c r="B103">
        <v>9</v>
      </c>
      <c r="C103">
        <v>3340</v>
      </c>
      <c r="D103">
        <v>-1.4332164769343301E-2</v>
      </c>
      <c r="E103">
        <v>12654</v>
      </c>
      <c r="F103">
        <v>-1.47575055342521E-2</v>
      </c>
      <c r="G103">
        <v>3340</v>
      </c>
      <c r="H103">
        <v>-1.4718572321773E-2</v>
      </c>
      <c r="I103">
        <v>9666</v>
      </c>
      <c r="J103">
        <v>-1.4764942724911001E-2</v>
      </c>
      <c r="K103">
        <v>12654</v>
      </c>
      <c r="L103">
        <v>-1.4764942724911001E-2</v>
      </c>
      <c r="M103" s="3">
        <f>(FEM[[#This Row],[disp_t3]]--0.0145666666666666)/-0.0145666666666666</f>
        <v>-1.6098528420363838E-2</v>
      </c>
      <c r="N103" s="3">
        <f>(FEM[[#This Row],[disp_t6]]--0.0145666666666666)/-0.0145666666666666</f>
        <v>1.3101066424633958E-2</v>
      </c>
      <c r="O103" s="3">
        <f>(FEM[[#This Row],[disp_q4]]--0.0145666666666666)/-0.0145666666666666</f>
        <v>1.0428305842544703E-2</v>
      </c>
      <c r="P103" s="3">
        <f>(FEM[[#This Row],[disp_q8]]--0.0145666666666666)/-0.0145666666666666</f>
        <v>1.361162871243036E-2</v>
      </c>
      <c r="Q103" s="3">
        <f>(FEM[[#This Row],[disp_q9]]--0.0145666666666666)/-0.0145666666666666</f>
        <v>1.361162871243036E-2</v>
      </c>
    </row>
    <row r="104" spans="1:17" x14ac:dyDescent="0.3">
      <c r="A104">
        <v>138</v>
      </c>
      <c r="B104">
        <v>9</v>
      </c>
      <c r="C104">
        <v>2780</v>
      </c>
      <c r="D104">
        <v>-1.4318906958628599E-2</v>
      </c>
      <c r="E104">
        <v>10526</v>
      </c>
      <c r="F104">
        <v>-1.47561190000848E-2</v>
      </c>
      <c r="G104">
        <v>2780</v>
      </c>
      <c r="H104">
        <v>-1.4713181293725799E-2</v>
      </c>
      <c r="I104">
        <v>8042</v>
      </c>
      <c r="J104">
        <v>-1.47631470528503E-2</v>
      </c>
      <c r="K104">
        <v>10526</v>
      </c>
      <c r="L104">
        <v>-1.47631470528503E-2</v>
      </c>
      <c r="M104" s="3">
        <f>(FEM[[#This Row],[disp_t3]]--0.0145666666666666)/-0.0145666666666666</f>
        <v>-1.7008675609016092E-2</v>
      </c>
      <c r="N104" s="3">
        <f>(FEM[[#This Row],[disp_t6]]--0.0145666666666666)/-0.0145666666666666</f>
        <v>1.3005881012691184E-2</v>
      </c>
      <c r="O104" s="3">
        <f>(FEM[[#This Row],[disp_q4]]--0.0145666666666666)/-0.0145666666666666</f>
        <v>1.0058212383926825E-2</v>
      </c>
      <c r="P104" s="3">
        <f>(FEM[[#This Row],[disp_q8]]--0.0145666666666666)/-0.0145666666666666</f>
        <v>1.3488356030917697E-2</v>
      </c>
      <c r="Q104" s="3">
        <f>(FEM[[#This Row],[disp_q9]]--0.0145666666666666)/-0.0145666666666666</f>
        <v>1.3488356030917697E-2</v>
      </c>
    </row>
    <row r="105" spans="1:17" x14ac:dyDescent="0.3">
      <c r="A105">
        <v>115</v>
      </c>
      <c r="B105">
        <v>9</v>
      </c>
      <c r="C105">
        <v>2320</v>
      </c>
      <c r="D105">
        <v>-1.4300222771478899E-2</v>
      </c>
      <c r="E105">
        <v>8778</v>
      </c>
      <c r="F105">
        <v>-1.4754424588687601E-2</v>
      </c>
      <c r="G105">
        <v>2320</v>
      </c>
      <c r="H105">
        <v>-1.4705624378703E-2</v>
      </c>
      <c r="I105">
        <v>6708</v>
      </c>
      <c r="J105">
        <v>-1.4761261506325399E-2</v>
      </c>
      <c r="K105">
        <v>8778</v>
      </c>
      <c r="L105">
        <v>-1.4761261506325399E-2</v>
      </c>
      <c r="M105" s="3">
        <f>(FEM[[#This Row],[disp_t3]]--0.0145666666666666)/-0.0145666666666666</f>
        <v>-1.829134291906415E-2</v>
      </c>
      <c r="N105" s="3">
        <f>(FEM[[#This Row],[disp_t6]]--0.0145666666666666)/-0.0145666666666666</f>
        <v>1.2889559864142034E-2</v>
      </c>
      <c r="O105" s="3">
        <f>(FEM[[#This Row],[disp_q4]]--0.0145666666666666)/-0.0145666666666666</f>
        <v>9.5394310322472285E-3</v>
      </c>
      <c r="P105" s="3">
        <f>(FEM[[#This Row],[disp_q8]]--0.0145666666666666)/-0.0145666666666666</f>
        <v>1.3358913477720896E-2</v>
      </c>
      <c r="Q105" s="3">
        <f>(FEM[[#This Row],[disp_q9]]--0.0145666666666666)/-0.0145666666666666</f>
        <v>1.3358913477720896E-2</v>
      </c>
    </row>
    <row r="106" spans="1:17" x14ac:dyDescent="0.3">
      <c r="A106">
        <v>96</v>
      </c>
      <c r="B106">
        <v>9</v>
      </c>
      <c r="C106">
        <v>1940</v>
      </c>
      <c r="D106">
        <v>-1.4273939530306401E-2</v>
      </c>
      <c r="E106">
        <v>7334</v>
      </c>
      <c r="F106">
        <v>-1.47523868429111E-2</v>
      </c>
      <c r="G106">
        <v>1940</v>
      </c>
      <c r="H106">
        <v>-1.4695073635524801E-2</v>
      </c>
      <c r="I106">
        <v>5606</v>
      </c>
      <c r="J106">
        <v>-1.47593315478093E-2</v>
      </c>
      <c r="K106">
        <v>7334</v>
      </c>
      <c r="L106">
        <v>-1.47593315478093E-2</v>
      </c>
      <c r="M106" s="3">
        <f>(FEM[[#This Row],[disp_t3]]--0.0145666666666666)/-0.0145666666666666</f>
        <v>-2.0095684418320374E-2</v>
      </c>
      <c r="N106" s="3">
        <f>(FEM[[#This Row],[disp_t6]]--0.0145666666666666)/-0.0145666666666666</f>
        <v>1.2749668849736917E-2</v>
      </c>
      <c r="O106" s="3">
        <f>(FEM[[#This Row],[disp_q4]]--0.0145666666666666)/-0.0145666666666666</f>
        <v>8.815123720242693E-3</v>
      </c>
      <c r="P106" s="3">
        <f>(FEM[[#This Row],[disp_q8]]--0.0145666666666666)/-0.0145666666666666</f>
        <v>1.322642204640973E-2</v>
      </c>
      <c r="Q106" s="3">
        <f>(FEM[[#This Row],[disp_q9]]--0.0145666666666666)/-0.0145666666666666</f>
        <v>1.322642204640973E-2</v>
      </c>
    </row>
    <row r="107" spans="1:17" x14ac:dyDescent="0.3">
      <c r="A107">
        <v>80</v>
      </c>
      <c r="B107">
        <v>9</v>
      </c>
      <c r="C107">
        <v>1620</v>
      </c>
      <c r="D107">
        <v>-1.42363113336478E-2</v>
      </c>
      <c r="E107">
        <v>6118</v>
      </c>
      <c r="F107">
        <v>-1.4749922560709301E-2</v>
      </c>
      <c r="G107">
        <v>1620</v>
      </c>
      <c r="H107">
        <v>-1.46801065652647E-2</v>
      </c>
      <c r="I107">
        <v>4678</v>
      </c>
      <c r="J107">
        <v>-1.47573003830801E-2</v>
      </c>
      <c r="K107">
        <v>6118</v>
      </c>
      <c r="L107">
        <v>-1.47573003830801E-2</v>
      </c>
      <c r="M107" s="3">
        <f>(FEM[[#This Row],[disp_t3]]--0.0145666666666666)/-0.0145666666666666</f>
        <v>-2.267885581364765E-2</v>
      </c>
      <c r="N107" s="3">
        <f>(FEM[[#This Row],[disp_t6]]--0.0145666666666666)/-0.0145666666666666</f>
        <v>1.2580496158537898E-2</v>
      </c>
      <c r="O107" s="3">
        <f>(FEM[[#This Row],[disp_q4]]--0.0145666666666666)/-0.0145666666666666</f>
        <v>7.7876360593661922E-3</v>
      </c>
      <c r="P107" s="3">
        <f>(FEM[[#This Row],[disp_q8]]--0.0145666666666666)/-0.0145666666666666</f>
        <v>1.3086982820148838E-2</v>
      </c>
      <c r="Q107" s="3">
        <f>(FEM[[#This Row],[disp_q9]]--0.0145666666666666)/-0.0145666666666666</f>
        <v>1.3086982820148838E-2</v>
      </c>
    </row>
    <row r="108" spans="1:17" x14ac:dyDescent="0.3">
      <c r="A108">
        <v>66</v>
      </c>
      <c r="B108">
        <v>9</v>
      </c>
      <c r="C108">
        <v>1340</v>
      </c>
      <c r="D108">
        <v>-1.41794720632205E-2</v>
      </c>
      <c r="E108">
        <v>5054</v>
      </c>
      <c r="F108">
        <v>-1.47468246964061E-2</v>
      </c>
      <c r="G108">
        <v>1340</v>
      </c>
      <c r="H108">
        <v>-1.46577257784669E-2</v>
      </c>
      <c r="I108">
        <v>3866</v>
      </c>
      <c r="J108">
        <v>-1.4754926138671199E-2</v>
      </c>
      <c r="K108">
        <v>5054</v>
      </c>
      <c r="L108">
        <v>-1.4754926138671199E-2</v>
      </c>
      <c r="M108" s="3">
        <f>(FEM[[#This Row],[disp_t3]]--0.0145666666666666)/-0.0145666666666666</f>
        <v>-2.6580865225132783E-2</v>
      </c>
      <c r="N108" s="3">
        <f>(FEM[[#This Row],[disp_t6]]--0.0145666666666666)/-0.0145666666666666</f>
        <v>1.2367828128569885E-2</v>
      </c>
      <c r="O108" s="3">
        <f>(FEM[[#This Row],[disp_q4]]--0.0145666666666666)/-0.0145666666666666</f>
        <v>6.2511976064280076E-3</v>
      </c>
      <c r="P108" s="3">
        <f>(FEM[[#This Row],[disp_q8]]--0.0145666666666666)/-0.0145666666666666</f>
        <v>1.2923991213130493E-2</v>
      </c>
      <c r="Q108" s="3">
        <f>(FEM[[#This Row],[disp_q9]]--0.0145666666666666)/-0.0145666666666666</f>
        <v>1.2923991213130493E-2</v>
      </c>
    </row>
    <row r="109" spans="1:17" x14ac:dyDescent="0.3">
      <c r="A109">
        <v>55</v>
      </c>
      <c r="B109">
        <v>9</v>
      </c>
      <c r="C109">
        <v>1120</v>
      </c>
      <c r="D109">
        <v>-1.41026457487548E-2</v>
      </c>
      <c r="E109">
        <v>4218</v>
      </c>
      <c r="F109">
        <v>-1.47433671021586E-2</v>
      </c>
      <c r="G109">
        <v>1120</v>
      </c>
      <c r="H109">
        <v>-1.46277507205146E-2</v>
      </c>
      <c r="I109">
        <v>3228</v>
      </c>
      <c r="J109">
        <v>-1.47522306242898E-2</v>
      </c>
      <c r="K109">
        <v>4218</v>
      </c>
      <c r="L109">
        <v>-1.47522306242898E-2</v>
      </c>
      <c r="M109" s="3">
        <f>(FEM[[#This Row],[disp_t3]]--0.0145666666666666)/-0.0145666666666666</f>
        <v>-3.1854982923006973E-2</v>
      </c>
      <c r="N109" s="3">
        <f>(FEM[[#This Row],[disp_t6]]--0.0145666666666666)/-0.0145666666666666</f>
        <v>1.2130464679084739E-2</v>
      </c>
      <c r="O109" s="3">
        <f>(FEM[[#This Row],[disp_q4]]--0.0145666666666666)/-0.0145666666666666</f>
        <v>4.1934133076430508E-3</v>
      </c>
      <c r="P109" s="3">
        <f>(FEM[[#This Row],[disp_q8]]--0.0145666666666666)/-0.0145666666666666</f>
        <v>1.2738944459258704E-2</v>
      </c>
      <c r="Q109" s="3">
        <f>(FEM[[#This Row],[disp_q9]]--0.0145666666666666)/-0.0145666666666666</f>
        <v>1.2738944459258704E-2</v>
      </c>
    </row>
    <row r="110" spans="1:17" x14ac:dyDescent="0.3">
      <c r="A110">
        <v>46</v>
      </c>
      <c r="B110">
        <v>9</v>
      </c>
      <c r="C110">
        <v>940</v>
      </c>
      <c r="D110">
        <v>-1.3996952544006101E-2</v>
      </c>
      <c r="E110">
        <v>3534</v>
      </c>
      <c r="F110">
        <v>-1.47394560887461E-2</v>
      </c>
      <c r="G110">
        <v>940</v>
      </c>
      <c r="H110">
        <v>-1.4586767901786601E-2</v>
      </c>
      <c r="I110">
        <v>2706</v>
      </c>
      <c r="J110">
        <v>-1.4748963486205901E-2</v>
      </c>
      <c r="K110">
        <v>3534</v>
      </c>
      <c r="L110">
        <v>-1.4748963486205901E-2</v>
      </c>
      <c r="M110" s="3">
        <f>(FEM[[#This Row],[disp_t3]]--0.0145666666666666)/-0.0145666666666666</f>
        <v>-3.9110809335961193E-2</v>
      </c>
      <c r="N110" s="3">
        <f>(FEM[[#This Row],[disp_t6]]--0.0145666666666666)/-0.0145666666666666</f>
        <v>1.1861974055801049E-2</v>
      </c>
      <c r="O110" s="3">
        <f>(FEM[[#This Row],[disp_q4]]--0.0145666666666666)/-0.0145666666666666</f>
        <v>1.3799474910756169E-3</v>
      </c>
      <c r="P110" s="3">
        <f>(FEM[[#This Row],[disp_q8]]--0.0145666666666666)/-0.0145666666666666</f>
        <v>1.2514655803613413E-2</v>
      </c>
      <c r="Q110" s="3">
        <f>(FEM[[#This Row],[disp_q9]]--0.0145666666666666)/-0.0145666666666666</f>
        <v>1.2514655803613413E-2</v>
      </c>
    </row>
    <row r="111" spans="1:17" x14ac:dyDescent="0.3">
      <c r="A111">
        <v>38</v>
      </c>
      <c r="B111">
        <v>9</v>
      </c>
      <c r="C111">
        <v>780</v>
      </c>
      <c r="D111">
        <v>-1.38376201927457E-2</v>
      </c>
      <c r="E111">
        <v>2926</v>
      </c>
      <c r="F111">
        <v>-1.47347051529123E-2</v>
      </c>
      <c r="G111">
        <v>780</v>
      </c>
      <c r="H111">
        <v>-1.4525087926734501E-2</v>
      </c>
      <c r="I111">
        <v>2242</v>
      </c>
      <c r="J111">
        <v>-1.47446893858473E-2</v>
      </c>
      <c r="K111">
        <v>2926</v>
      </c>
      <c r="L111">
        <v>-1.47446893858473E-2</v>
      </c>
      <c r="M111" s="3">
        <f>(FEM[[#This Row],[disp_t3]]--0.0145666666666666)/-0.0145666666666666</f>
        <v>-5.0048957019741623E-2</v>
      </c>
      <c r="N111" s="3">
        <f>(FEM[[#This Row],[disp_t6]]--0.0145666666666666)/-0.0145666666666666</f>
        <v>1.153582285439597E-2</v>
      </c>
      <c r="O111" s="3">
        <f>(FEM[[#This Row],[disp_q4]]--0.0145666666666666)/-0.0145666666666666</f>
        <v>-2.8543757390456889E-3</v>
      </c>
      <c r="P111" s="3">
        <f>(FEM[[#This Row],[disp_q8]]--0.0145666666666666)/-0.0145666666666666</f>
        <v>1.222123930302301E-2</v>
      </c>
      <c r="Q111" s="3">
        <f>(FEM[[#This Row],[disp_q9]]--0.0145666666666666)/-0.0145666666666666</f>
        <v>1.222123930302301E-2</v>
      </c>
    </row>
    <row r="112" spans="1:17" x14ac:dyDescent="0.3">
      <c r="A112">
        <v>32</v>
      </c>
      <c r="B112">
        <v>9</v>
      </c>
      <c r="C112">
        <v>660</v>
      </c>
      <c r="D112">
        <v>-1.3638426791819E-2</v>
      </c>
      <c r="E112">
        <v>2470</v>
      </c>
      <c r="F112">
        <v>-1.4729963212849201E-2</v>
      </c>
      <c r="G112">
        <v>660</v>
      </c>
      <c r="H112">
        <v>-1.4447598288689601E-2</v>
      </c>
      <c r="I112">
        <v>1894</v>
      </c>
      <c r="J112">
        <v>-1.4740205606045E-2</v>
      </c>
      <c r="K112">
        <v>2470</v>
      </c>
      <c r="L112">
        <v>-1.4740205606045E-2</v>
      </c>
      <c r="M112" s="3">
        <f>(FEM[[#This Row],[disp_t3]]--0.0145666666666666)/-0.0145666666666666</f>
        <v>-6.3723561202352674E-2</v>
      </c>
      <c r="N112" s="3">
        <f>(FEM[[#This Row],[disp_t6]]--0.0145666666666666)/-0.0145666666666666</f>
        <v>1.1210289211620268E-2</v>
      </c>
      <c r="O112" s="3">
        <f>(FEM[[#This Row],[disp_q4]]--0.0145666666666666)/-0.0145666666666666</f>
        <v>-8.1740305247367841E-3</v>
      </c>
      <c r="P112" s="3">
        <f>(FEM[[#This Row],[disp_q8]]--0.0145666666666666)/-0.0145666666666666</f>
        <v>1.1913428332613368E-2</v>
      </c>
      <c r="Q112" s="3">
        <f>(FEM[[#This Row],[disp_q9]]--0.0145666666666666)/-0.0145666666666666</f>
        <v>1.1913428332613368E-2</v>
      </c>
    </row>
    <row r="113" spans="1:17" x14ac:dyDescent="0.3">
      <c r="A113">
        <v>26</v>
      </c>
      <c r="B113">
        <v>9</v>
      </c>
      <c r="C113">
        <v>540</v>
      </c>
      <c r="D113">
        <v>-1.3301442230155501E-2</v>
      </c>
      <c r="E113">
        <v>2014</v>
      </c>
      <c r="F113">
        <v>-1.47237145306033E-2</v>
      </c>
      <c r="G113">
        <v>540</v>
      </c>
      <c r="H113">
        <v>-1.43145203626388E-2</v>
      </c>
      <c r="I113">
        <v>1546</v>
      </c>
      <c r="J113">
        <v>-1.47341497836232E-2</v>
      </c>
      <c r="K113">
        <v>2014</v>
      </c>
      <c r="L113">
        <v>-1.47341497836232E-2</v>
      </c>
      <c r="M113" s="3">
        <f>(FEM[[#This Row],[disp_t3]]--0.0145666666666666)/-0.0145666666666666</f>
        <v>-8.6857512803965989E-2</v>
      </c>
      <c r="N113" s="3">
        <f>(FEM[[#This Row],[disp_t6]]--0.0145666666666666)/-0.0145666666666666</f>
        <v>1.0781317890391381E-2</v>
      </c>
      <c r="O113" s="3">
        <f>(FEM[[#This Row],[disp_q4]]--0.0145666666666666)/-0.0145666666666666</f>
        <v>-1.7309814921816973E-2</v>
      </c>
      <c r="P113" s="3">
        <f>(FEM[[#This Row],[disp_q8]]--0.0145666666666666)/-0.0145666666666666</f>
        <v>1.1497696816242627E-2</v>
      </c>
      <c r="Q113" s="3">
        <f>(FEM[[#This Row],[disp_q9]]--0.0145666666666666)/-0.0145666666666666</f>
        <v>1.1497696816242627E-2</v>
      </c>
    </row>
    <row r="114" spans="1:17" x14ac:dyDescent="0.3">
      <c r="A114">
        <v>22</v>
      </c>
      <c r="B114">
        <v>9</v>
      </c>
      <c r="C114">
        <v>460</v>
      </c>
      <c r="D114">
        <v>-1.29301309406739E-2</v>
      </c>
      <c r="E114">
        <v>1710</v>
      </c>
      <c r="F114">
        <v>-1.47183316523308E-2</v>
      </c>
      <c r="G114">
        <v>460</v>
      </c>
      <c r="H114">
        <v>-1.4163998376036199E-2</v>
      </c>
      <c r="I114">
        <v>1314</v>
      </c>
      <c r="J114">
        <v>-1.4728900824162601E-2</v>
      </c>
      <c r="K114">
        <v>1710</v>
      </c>
      <c r="L114">
        <v>-1.4728900824162601E-2</v>
      </c>
      <c r="M114" s="3">
        <f>(FEM[[#This Row],[disp_t3]]--0.0145666666666666)/-0.0145666666666666</f>
        <v>-0.11234799034274878</v>
      </c>
      <c r="N114" s="3">
        <f>(FEM[[#This Row],[disp_t6]]--0.0145666666666666)/-0.0145666666666666</f>
        <v>1.0411783912874228E-2</v>
      </c>
      <c r="O114" s="3">
        <f>(FEM[[#This Row],[disp_q4]]--0.0145666666666666)/-0.0145666666666666</f>
        <v>-2.7643132079890293E-2</v>
      </c>
      <c r="P114" s="3">
        <f>(FEM[[#This Row],[disp_q8]]--0.0145666666666666)/-0.0145666666666666</f>
        <v>1.1137356349839958E-2</v>
      </c>
      <c r="Q114" s="3">
        <f>(FEM[[#This Row],[disp_q9]]--0.0145666666666666)/-0.0145666666666666</f>
        <v>1.1137356349839958E-2</v>
      </c>
    </row>
    <row r="115" spans="1:17" x14ac:dyDescent="0.3">
      <c r="A115">
        <v>18</v>
      </c>
      <c r="B115">
        <v>9</v>
      </c>
      <c r="C115">
        <v>380</v>
      </c>
      <c r="D115">
        <v>-1.23336069622754E-2</v>
      </c>
      <c r="E115">
        <v>1406</v>
      </c>
      <c r="F115">
        <v>-1.4711494082988601E-2</v>
      </c>
      <c r="G115">
        <v>380</v>
      </c>
      <c r="H115">
        <v>-1.3911851890547699E-2</v>
      </c>
      <c r="I115">
        <v>1082</v>
      </c>
      <c r="J115">
        <v>-1.4722261720839401E-2</v>
      </c>
      <c r="K115">
        <v>1406</v>
      </c>
      <c r="L115">
        <v>-1.4722261720839401E-2</v>
      </c>
      <c r="M115" s="3">
        <f>(FEM[[#This Row],[disp_t3]]--0.0145666666666666)/-0.0145666666666666</f>
        <v>-0.1532992932076345</v>
      </c>
      <c r="N115" s="3">
        <f>(FEM[[#This Row],[disp_t6]]--0.0145666666666666)/-0.0145666666666666</f>
        <v>9.9423855598628381E-3</v>
      </c>
      <c r="O115" s="3">
        <f>(FEM[[#This Row],[disp_q4]]--0.0145666666666666)/-0.0145666666666666</f>
        <v>-4.4952959458963604E-2</v>
      </c>
      <c r="P115" s="3">
        <f>(FEM[[#This Row],[disp_q8]]--0.0145666666666666)/-0.0145666666666666</f>
        <v>1.0681582666325086E-2</v>
      </c>
      <c r="Q115" s="3">
        <f>(FEM[[#This Row],[disp_q9]]--0.0145666666666666)/-0.0145666666666666</f>
        <v>1.0681582666325086E-2</v>
      </c>
    </row>
    <row r="116" spans="1:17" x14ac:dyDescent="0.3">
      <c r="A116">
        <v>15</v>
      </c>
      <c r="B116">
        <v>9</v>
      </c>
      <c r="C116">
        <v>320</v>
      </c>
      <c r="D116">
        <v>-1.1622153358904199E-2</v>
      </c>
      <c r="E116">
        <v>1178</v>
      </c>
      <c r="F116">
        <v>-1.4704927938750599E-2</v>
      </c>
      <c r="G116">
        <v>320</v>
      </c>
      <c r="H116">
        <v>-1.35918712254391E-2</v>
      </c>
      <c r="I116">
        <v>908</v>
      </c>
      <c r="J116">
        <v>-1.47159558679772E-2</v>
      </c>
      <c r="K116">
        <v>1178</v>
      </c>
      <c r="L116">
        <v>-1.47159558679772E-2</v>
      </c>
      <c r="M116" s="3">
        <f>(FEM[[#This Row],[disp_t3]]--0.0145666666666666)/-0.0145666666666666</f>
        <v>-0.20214050167705355</v>
      </c>
      <c r="N116" s="3">
        <f>(FEM[[#This Row],[disp_t6]]--0.0145666666666666)/-0.0145666666666666</f>
        <v>9.4916205091991335E-3</v>
      </c>
      <c r="O116" s="3">
        <f>(FEM[[#This Row],[disp_q4]]--0.0145666666666666)/-0.0145666666666666</f>
        <v>-6.6919595507608967E-2</v>
      </c>
      <c r="P116" s="3">
        <f>(FEM[[#This Row],[disp_q8]]--0.0145666666666666)/-0.0145666666666666</f>
        <v>1.0248686588828456E-2</v>
      </c>
      <c r="Q116" s="3">
        <f>(FEM[[#This Row],[disp_q9]]--0.0145666666666666)/-0.0145666666666666</f>
        <v>1.0248686588828456E-2</v>
      </c>
    </row>
    <row r="117" spans="1:17" x14ac:dyDescent="0.3">
      <c r="A117">
        <v>12</v>
      </c>
      <c r="B117">
        <v>9</v>
      </c>
      <c r="C117">
        <v>260</v>
      </c>
      <c r="D117">
        <v>-1.05097156355566E-2</v>
      </c>
      <c r="E117">
        <v>950</v>
      </c>
      <c r="F117">
        <v>-1.4696302313542801E-2</v>
      </c>
      <c r="G117">
        <v>260</v>
      </c>
      <c r="H117">
        <v>-1.3042236714161101E-2</v>
      </c>
      <c r="I117">
        <v>734</v>
      </c>
      <c r="J117">
        <v>-1.47078531483022E-2</v>
      </c>
      <c r="K117">
        <v>950</v>
      </c>
      <c r="L117">
        <v>-1.47078531483022E-2</v>
      </c>
      <c r="M117" s="3">
        <f>(FEM[[#This Row],[disp_t3]]--0.0145666666666666)/-0.0145666666666666</f>
        <v>-0.27850922410366258</v>
      </c>
      <c r="N117" s="3">
        <f>(FEM[[#This Row],[disp_t6]]--0.0145666666666666)/-0.0145666666666666</f>
        <v>8.8994723255973896E-3</v>
      </c>
      <c r="O117" s="3">
        <f>(FEM[[#This Row],[disp_q4]]--0.0145666666666666)/-0.0145666666666666</f>
        <v>-0.10465194181959994</v>
      </c>
      <c r="P117" s="3">
        <f>(FEM[[#This Row],[disp_q8]]--0.0145666666666666)/-0.0145666666666666</f>
        <v>9.692435810224366E-3</v>
      </c>
      <c r="Q117" s="3">
        <f>(FEM[[#This Row],[disp_q9]]--0.0145666666666666)/-0.0145666666666666</f>
        <v>9.692435810224366E-3</v>
      </c>
    </row>
    <row r="118" spans="1:17" x14ac:dyDescent="0.3">
      <c r="A118">
        <v>10</v>
      </c>
      <c r="B118">
        <v>9</v>
      </c>
      <c r="C118">
        <v>220</v>
      </c>
      <c r="D118">
        <v>-9.4124864529102192E-3</v>
      </c>
      <c r="E118">
        <v>798</v>
      </c>
      <c r="F118">
        <v>-1.46884773957798E-2</v>
      </c>
      <c r="G118">
        <v>220</v>
      </c>
      <c r="H118">
        <v>-1.2429770519218499E-2</v>
      </c>
      <c r="I118">
        <v>618</v>
      </c>
      <c r="J118">
        <v>-1.47007917519602E-2</v>
      </c>
      <c r="K118">
        <v>798</v>
      </c>
      <c r="L118">
        <v>-1.47007917519602E-2</v>
      </c>
      <c r="M118" s="3">
        <f>(FEM[[#This Row],[disp_t3]]--0.0145666666666666)/-0.0145666666666666</f>
        <v>-0.35383388195124055</v>
      </c>
      <c r="N118" s="3">
        <f>(FEM[[#This Row],[disp_t6]]--0.0145666666666666)/-0.0145666666666666</f>
        <v>8.3622926164668814E-3</v>
      </c>
      <c r="O118" s="3">
        <f>(FEM[[#This Row],[disp_q4]]--0.0145666666666666)/-0.0145666666666666</f>
        <v>-0.14669767602618602</v>
      </c>
      <c r="P118" s="3">
        <f>(FEM[[#This Row],[disp_q8]]--0.0145666666666666)/-0.0145666666666666</f>
        <v>9.2076717592861432E-3</v>
      </c>
      <c r="Q118" s="3">
        <f>(FEM[[#This Row],[disp_q9]]--0.0145666666666666)/-0.0145666666666666</f>
        <v>9.2076717592861432E-3</v>
      </c>
    </row>
    <row r="119" spans="1:17" x14ac:dyDescent="0.3">
      <c r="A119">
        <v>8</v>
      </c>
      <c r="B119">
        <v>9</v>
      </c>
      <c r="C119">
        <v>180</v>
      </c>
      <c r="D119">
        <v>-7.9011906183591302E-3</v>
      </c>
      <c r="E119">
        <v>646</v>
      </c>
      <c r="F119">
        <v>-1.46770616872255E-2</v>
      </c>
      <c r="G119">
        <v>180</v>
      </c>
      <c r="H119">
        <v>-1.1442515102429799E-2</v>
      </c>
      <c r="I119">
        <v>502</v>
      </c>
      <c r="J119">
        <v>-1.46911888714732E-2</v>
      </c>
      <c r="K119">
        <v>646</v>
      </c>
      <c r="L119">
        <v>-1.46911888714732E-2</v>
      </c>
      <c r="M119" s="3">
        <f>(FEM[[#This Row],[disp_t3]]--0.0145666666666666)/-0.0145666666666666</f>
        <v>-0.45758416807602975</v>
      </c>
      <c r="N119" s="3">
        <f>(FEM[[#This Row],[disp_t6]]--0.0145666666666666)/-0.0145666666666666</f>
        <v>7.5786055303593749E-3</v>
      </c>
      <c r="O119" s="3">
        <f>(FEM[[#This Row],[disp_q4]]--0.0145666666666666)/-0.0145666666666666</f>
        <v>-0.21447264743044492</v>
      </c>
      <c r="P119" s="3">
        <f>(FEM[[#This Row],[disp_q8]]--0.0145666666666666)/-0.0145666666666666</f>
        <v>8.5484351125813211E-3</v>
      </c>
      <c r="Q119" s="3">
        <f>(FEM[[#This Row],[disp_q9]]--0.0145666666666666)/-0.0145666666666666</f>
        <v>8.5484351125813211E-3</v>
      </c>
    </row>
    <row r="120" spans="1:17" x14ac:dyDescent="0.3">
      <c r="A120">
        <v>7</v>
      </c>
      <c r="B120">
        <v>9</v>
      </c>
      <c r="C120">
        <v>160</v>
      </c>
      <c r="D120">
        <v>-6.9565259966245796E-3</v>
      </c>
      <c r="E120">
        <v>570</v>
      </c>
      <c r="F120">
        <v>-1.46684619079357E-2</v>
      </c>
      <c r="G120">
        <v>160</v>
      </c>
      <c r="H120">
        <v>-1.07193230998512E-2</v>
      </c>
      <c r="I120">
        <v>444</v>
      </c>
      <c r="J120">
        <v>-1.46845382864784E-2</v>
      </c>
      <c r="K120">
        <v>570</v>
      </c>
      <c r="L120">
        <v>-1.46845382864784E-2</v>
      </c>
      <c r="M120" s="3">
        <f>(FEM[[#This Row],[disp_t3]]--0.0145666666666666)/-0.0145666666666666</f>
        <v>-0.52243528627290992</v>
      </c>
      <c r="N120" s="3">
        <f>(FEM[[#This Row],[disp_t6]]--0.0145666666666666)/-0.0145666666666666</f>
        <v>6.9882316660709841E-3</v>
      </c>
      <c r="O120" s="3">
        <f>(FEM[[#This Row],[disp_q4]]--0.0145666666666666)/-0.0145666666666666</f>
        <v>-0.26411969566238563</v>
      </c>
      <c r="P120" s="3">
        <f>(FEM[[#This Row],[disp_q8]]--0.0145666666666666)/-0.0145666666666666</f>
        <v>8.0918732136248291E-3</v>
      </c>
      <c r="Q120" s="3">
        <f>(FEM[[#This Row],[disp_q9]]--0.0145666666666666)/-0.0145666666666666</f>
        <v>8.0918732136248291E-3</v>
      </c>
    </row>
    <row r="121" spans="1:17" x14ac:dyDescent="0.3">
      <c r="A121">
        <v>6</v>
      </c>
      <c r="B121">
        <v>9</v>
      </c>
      <c r="C121">
        <v>140</v>
      </c>
      <c r="D121">
        <v>-5.8800043096775704E-3</v>
      </c>
      <c r="E121">
        <v>494</v>
      </c>
      <c r="F121">
        <v>-1.46555947810642E-2</v>
      </c>
      <c r="G121">
        <v>140</v>
      </c>
      <c r="H121">
        <v>-9.7686532870195995E-3</v>
      </c>
      <c r="I121">
        <v>386</v>
      </c>
      <c r="J121">
        <v>-1.46753425116645E-2</v>
      </c>
      <c r="K121">
        <v>494</v>
      </c>
      <c r="L121">
        <v>-1.46753425116645E-2</v>
      </c>
      <c r="M121" s="3">
        <f>(FEM[[#This Row],[disp_t3]]--0.0145666666666666)/-0.0145666666666666</f>
        <v>-0.5963383769100048</v>
      </c>
      <c r="N121" s="3">
        <f>(FEM[[#This Row],[disp_t6]]--0.0145666666666666)/-0.0145666666666666</f>
        <v>6.104904878553875E-3</v>
      </c>
      <c r="O121" s="3">
        <f>(FEM[[#This Row],[disp_q4]]--0.0145666666666666)/-0.0145666666666666</f>
        <v>-0.32938306954098551</v>
      </c>
      <c r="P121" s="3">
        <f>(FEM[[#This Row],[disp_q8]]--0.0145666666666666)/-0.0145666666666666</f>
        <v>7.4605843247987002E-3</v>
      </c>
      <c r="Q121" s="3">
        <f>(FEM[[#This Row],[disp_q9]]--0.0145666666666666)/-0.0145666666666666</f>
        <v>7.4605843247987002E-3</v>
      </c>
    </row>
    <row r="122" spans="1:17" x14ac:dyDescent="0.3">
      <c r="A122">
        <v>5</v>
      </c>
      <c r="B122">
        <v>9</v>
      </c>
      <c r="C122">
        <v>120</v>
      </c>
      <c r="D122">
        <v>-4.6884173880970799E-3</v>
      </c>
      <c r="E122">
        <v>418</v>
      </c>
      <c r="F122">
        <v>-1.4633409155714899E-2</v>
      </c>
      <c r="G122">
        <v>120</v>
      </c>
      <c r="H122">
        <v>-8.5166160544349404E-3</v>
      </c>
      <c r="I122">
        <v>328</v>
      </c>
      <c r="J122">
        <v>-1.46607348761648E-2</v>
      </c>
      <c r="K122">
        <v>418</v>
      </c>
      <c r="L122">
        <v>-1.46607348761648E-2</v>
      </c>
      <c r="M122" s="3">
        <f>(FEM[[#This Row],[disp_t3]]--0.0145666666666666)/-0.0145666666666666</f>
        <v>-0.67814068273932948</v>
      </c>
      <c r="N122" s="3">
        <f>(FEM[[#This Row],[disp_t6]]--0.0145666666666666)/-0.0145666666666666</f>
        <v>4.5818642367254194E-3</v>
      </c>
      <c r="O122" s="3">
        <f>(FEM[[#This Row],[disp_q4]]--0.0145666666666666)/-0.0145666666666666</f>
        <v>-0.41533528230423478</v>
      </c>
      <c r="P122" s="3">
        <f>(FEM[[#This Row],[disp_q8]]--0.0145666666666666)/-0.0145666666666666</f>
        <v>6.4577718190984975E-3</v>
      </c>
      <c r="Q122" s="3">
        <f>(FEM[[#This Row],[disp_q9]]--0.0145666666666666)/-0.0145666666666666</f>
        <v>6.4577718190984975E-3</v>
      </c>
    </row>
    <row r="123" spans="1:17" x14ac:dyDescent="0.3">
      <c r="A123">
        <v>4</v>
      </c>
      <c r="B123">
        <v>9</v>
      </c>
      <c r="C123">
        <v>100</v>
      </c>
      <c r="D123">
        <v>-3.4303201981048998E-3</v>
      </c>
      <c r="E123">
        <v>342</v>
      </c>
      <c r="F123">
        <v>-1.4587408548826199E-2</v>
      </c>
      <c r="G123">
        <v>100</v>
      </c>
      <c r="H123">
        <v>-6.8913722001018498E-3</v>
      </c>
      <c r="I123">
        <v>270</v>
      </c>
      <c r="J123">
        <v>-1.4631969158371101E-2</v>
      </c>
      <c r="K123">
        <v>342</v>
      </c>
      <c r="L123">
        <v>-1.4631969158371101E-2</v>
      </c>
      <c r="M123" s="3">
        <f>(FEM[[#This Row],[disp_t3]]--0.0145666666666666)/-0.0145666666666666</f>
        <v>-0.76450891088524608</v>
      </c>
      <c r="N123" s="3">
        <f>(FEM[[#This Row],[disp_t6]]--0.0145666666666666)/-0.0145666666666666</f>
        <v>1.4239278370434879E-3</v>
      </c>
      <c r="O123" s="3">
        <f>(FEM[[#This Row],[disp_q4]]--0.0145666666666666)/-0.0145666666666666</f>
        <v>-0.52690808694952762</v>
      </c>
      <c r="P123" s="3">
        <f>(FEM[[#This Row],[disp_q8]]--0.0145666666666666)/-0.0145666666666666</f>
        <v>4.4830085838330749E-3</v>
      </c>
      <c r="Q123" s="3">
        <f>(FEM[[#This Row],[disp_q9]]--0.0145666666666666)/-0.0145666666666666</f>
        <v>4.4830085838330749E-3</v>
      </c>
    </row>
    <row r="124" spans="1:17" x14ac:dyDescent="0.3">
      <c r="A124">
        <v>3</v>
      </c>
      <c r="B124">
        <v>9</v>
      </c>
      <c r="C124">
        <v>80</v>
      </c>
      <c r="D124">
        <v>-2.1985834853354802E-3</v>
      </c>
      <c r="E124">
        <v>266</v>
      </c>
      <c r="F124">
        <v>-1.4467617852595401E-2</v>
      </c>
      <c r="G124">
        <v>80</v>
      </c>
      <c r="H124">
        <v>-4.8801697985828103E-3</v>
      </c>
      <c r="I124">
        <v>212</v>
      </c>
      <c r="J124">
        <v>-1.4555128026819599E-2</v>
      </c>
      <c r="K124">
        <v>266</v>
      </c>
      <c r="L124">
        <v>-1.4555128026819599E-2</v>
      </c>
      <c r="M124" s="3">
        <f>(FEM[[#This Row],[disp_t3]]--0.0145666666666666)/-0.0145666666666666</f>
        <v>-0.84906749528589309</v>
      </c>
      <c r="N124" s="3">
        <f>(FEM[[#This Row],[disp_t6]]--0.0145666666666666)/-0.0145666666666666</f>
        <v>-6.7996897531715523E-3</v>
      </c>
      <c r="O124" s="3">
        <f>(FEM[[#This Row],[disp_q4]]--0.0145666666666666)/-0.0145666666666666</f>
        <v>-0.66497690169911894</v>
      </c>
      <c r="P124" s="3">
        <f>(FEM[[#This Row],[disp_q8]]--0.0145666666666666)/-0.0145666666666666</f>
        <v>-7.9212630528605922E-4</v>
      </c>
      <c r="Q124" s="3">
        <f>(FEM[[#This Row],[disp_q9]]--0.0145666666666666)/-0.0145666666666666</f>
        <v>-7.9212630528605922E-4</v>
      </c>
    </row>
    <row r="125" spans="1:17" x14ac:dyDescent="0.3">
      <c r="A125">
        <v>2</v>
      </c>
      <c r="B125">
        <v>9</v>
      </c>
      <c r="C125">
        <v>60</v>
      </c>
      <c r="D125">
        <v>-1.13280638429438E-3</v>
      </c>
      <c r="E125">
        <v>190</v>
      </c>
      <c r="F125">
        <v>-1.40465767145528E-2</v>
      </c>
      <c r="G125">
        <v>60</v>
      </c>
      <c r="H125">
        <v>-2.6620321937494999E-3</v>
      </c>
      <c r="I125">
        <v>154</v>
      </c>
      <c r="J125">
        <v>-1.42449892347324E-2</v>
      </c>
      <c r="K125">
        <v>190</v>
      </c>
      <c r="L125">
        <v>-1.42449892347324E-2</v>
      </c>
      <c r="M125" s="3">
        <f>(FEM[[#This Row],[disp_t3]]--0.0145666666666666)/-0.0145666666666666</f>
        <v>-0.92223297132990489</v>
      </c>
      <c r="N125" s="3">
        <f>(FEM[[#This Row],[disp_t6]]--0.0145666666666666)/-0.0145666666666666</f>
        <v>-3.5704115705752951E-2</v>
      </c>
      <c r="O125" s="3">
        <f>(FEM[[#This Row],[disp_q4]]--0.0145666666666666)/-0.0145666666666666</f>
        <v>-0.81725179447943841</v>
      </c>
      <c r="P125" s="3">
        <f>(FEM[[#This Row],[disp_q8]]--0.0145666666666666)/-0.0145666666666666</f>
        <v>-2.2083118897084742E-2</v>
      </c>
      <c r="Q125" s="3">
        <f>(FEM[[#This Row],[disp_q9]]--0.0145666666666666)/-0.0145666666666666</f>
        <v>-2.2083118897084742E-2</v>
      </c>
    </row>
    <row r="126" spans="1:17" x14ac:dyDescent="0.3">
      <c r="A126">
        <v>1</v>
      </c>
      <c r="B126">
        <v>9</v>
      </c>
      <c r="C126">
        <v>40</v>
      </c>
      <c r="D126">
        <v>-3.9784133225882702E-4</v>
      </c>
      <c r="E126">
        <v>114</v>
      </c>
      <c r="F126">
        <v>-1.1418251758673901E-2</v>
      </c>
      <c r="G126">
        <v>40</v>
      </c>
      <c r="H126">
        <v>-7.7127626532554603E-4</v>
      </c>
      <c r="I126">
        <v>96</v>
      </c>
      <c r="J126">
        <v>-1.18445568406395E-2</v>
      </c>
      <c r="K126">
        <v>114</v>
      </c>
      <c r="L126">
        <v>-1.18445568406395E-2</v>
      </c>
      <c r="M126" s="3">
        <f>(FEM[[#This Row],[disp_t3]]--0.0145666666666666)/-0.0145666666666666</f>
        <v>-0.97268823806003457</v>
      </c>
      <c r="N126" s="3">
        <f>(FEM[[#This Row],[disp_t6]]--0.0145666666666666)/-0.0145666666666666</f>
        <v>-0.21613832320316109</v>
      </c>
      <c r="O126" s="3">
        <f>(FEM[[#This Row],[disp_q4]]--0.0145666666666666)/-0.0145666666666666</f>
        <v>-0.94705197263211327</v>
      </c>
      <c r="P126" s="3">
        <f>(FEM[[#This Row],[disp_q8]]--0.0145666666666666)/-0.0145666666666666</f>
        <v>-0.18687252810254773</v>
      </c>
      <c r="Q126" s="3">
        <f>(FEM[[#This Row],[disp_q9]]--0.0145666666666666)/-0.0145666666666666</f>
        <v>-0.18687252810254773</v>
      </c>
    </row>
    <row r="127" spans="1:17" x14ac:dyDescent="0.3">
      <c r="A127">
        <v>200</v>
      </c>
      <c r="B127">
        <v>7</v>
      </c>
      <c r="C127">
        <v>3216</v>
      </c>
      <c r="D127">
        <v>-1.4113854606372401E-2</v>
      </c>
      <c r="E127">
        <v>12030</v>
      </c>
      <c r="F127">
        <v>-1.47507536258697E-2</v>
      </c>
      <c r="G127">
        <v>3216</v>
      </c>
      <c r="H127">
        <v>-1.47125397605048E-2</v>
      </c>
      <c r="I127">
        <v>9230</v>
      </c>
      <c r="J127">
        <v>-1.47594005321169E-2</v>
      </c>
      <c r="K127">
        <v>12030</v>
      </c>
      <c r="L127">
        <v>-1.47594005321169E-2</v>
      </c>
      <c r="M127" s="3">
        <f>(FEM[[#This Row],[disp_t3]]--0.0145666666666666)/-0.0145666666666666</f>
        <v>-3.1085496130036677E-2</v>
      </c>
      <c r="N127" s="3">
        <f>(FEM[[#This Row],[disp_t6]]--0.0145666666666666)/-0.0145666666666666</f>
        <v>1.2637548686711769E-2</v>
      </c>
      <c r="O127" s="3">
        <f>(FEM[[#This Row],[disp_q4]]--0.0145666666666666)/-0.0145666666666666</f>
        <v>1.0014171201707181E-2</v>
      </c>
      <c r="P127" s="3">
        <f>(FEM[[#This Row],[disp_q8]]--0.0145666666666666)/-0.0145666666666666</f>
        <v>1.3231157811233503E-2</v>
      </c>
      <c r="Q127" s="3">
        <f>(FEM[[#This Row],[disp_q9]]--0.0145666666666666)/-0.0145666666666666</f>
        <v>1.3231157811233503E-2</v>
      </c>
    </row>
    <row r="128" spans="1:17" x14ac:dyDescent="0.3">
      <c r="A128">
        <v>166</v>
      </c>
      <c r="B128">
        <v>7</v>
      </c>
      <c r="C128">
        <v>2672</v>
      </c>
      <c r="D128">
        <v>-1.41050961110622E-2</v>
      </c>
      <c r="E128">
        <v>9990</v>
      </c>
      <c r="F128">
        <v>-1.4749973653594499E-2</v>
      </c>
      <c r="G128">
        <v>2672</v>
      </c>
      <c r="H128">
        <v>-1.4709038532818601E-2</v>
      </c>
      <c r="I128">
        <v>7666</v>
      </c>
      <c r="J128">
        <v>-1.4758108751858399E-2</v>
      </c>
      <c r="K128">
        <v>9990</v>
      </c>
      <c r="L128">
        <v>-1.4758108751858399E-2</v>
      </c>
      <c r="M128" s="3">
        <f>(FEM[[#This Row],[disp_t3]]--0.0145666666666666)/-0.0145666666666666</f>
        <v>-3.1686765830965753E-2</v>
      </c>
      <c r="N128" s="3">
        <f>(FEM[[#This Row],[disp_t6]]--0.0145666666666666)/-0.0145666666666666</f>
        <v>1.2584003679260922E-2</v>
      </c>
      <c r="O128" s="3">
        <f>(FEM[[#This Row],[disp_q4]]--0.0145666666666666)/-0.0145666666666666</f>
        <v>9.7738123216477343E-3</v>
      </c>
      <c r="P128" s="3">
        <f>(FEM[[#This Row],[disp_q8]]--0.0145666666666666)/-0.0145666666666666</f>
        <v>1.3142477244288376E-2</v>
      </c>
      <c r="Q128" s="3">
        <f>(FEM[[#This Row],[disp_q9]]--0.0145666666666666)/-0.0145666666666666</f>
        <v>1.3142477244288376E-2</v>
      </c>
    </row>
    <row r="129" spans="1:17" x14ac:dyDescent="0.3">
      <c r="A129">
        <v>138</v>
      </c>
      <c r="B129">
        <v>7</v>
      </c>
      <c r="C129">
        <v>2224</v>
      </c>
      <c r="D129">
        <v>-1.40925968141014E-2</v>
      </c>
      <c r="E129">
        <v>8310</v>
      </c>
      <c r="F129">
        <v>-1.4748969601483201E-2</v>
      </c>
      <c r="G129">
        <v>2224</v>
      </c>
      <c r="H129">
        <v>-1.4704038274419001E-2</v>
      </c>
      <c r="I129">
        <v>6378</v>
      </c>
      <c r="J129">
        <v>-1.47565794473865E-2</v>
      </c>
      <c r="K129">
        <v>8310</v>
      </c>
      <c r="L129">
        <v>-1.47565794473865E-2</v>
      </c>
      <c r="M129" s="3">
        <f>(FEM[[#This Row],[disp_t3]]--0.0145666666666666)/-0.0145666666666666</f>
        <v>-3.2544841137199208E-2</v>
      </c>
      <c r="N129" s="3">
        <f>(FEM[[#This Row],[disp_t6]]--0.0145666666666666)/-0.0145666666666666</f>
        <v>1.2515075616700381E-2</v>
      </c>
      <c r="O129" s="3">
        <f>(FEM[[#This Row],[disp_q4]]--0.0145666666666666)/-0.0145666666666666</f>
        <v>9.4305451546271291E-3</v>
      </c>
      <c r="P129" s="3">
        <f>(FEM[[#This Row],[disp_q8]]--0.0145666666666666)/-0.0145666666666666</f>
        <v>1.3037490667270125E-2</v>
      </c>
      <c r="Q129" s="3">
        <f>(FEM[[#This Row],[disp_q9]]--0.0145666666666666)/-0.0145666666666666</f>
        <v>1.3037490667270125E-2</v>
      </c>
    </row>
    <row r="130" spans="1:17" x14ac:dyDescent="0.3">
      <c r="A130">
        <v>115</v>
      </c>
      <c r="B130">
        <v>7</v>
      </c>
      <c r="C130">
        <v>1856</v>
      </c>
      <c r="D130">
        <v>-1.4074921746571699E-2</v>
      </c>
      <c r="E130">
        <v>6930</v>
      </c>
      <c r="F130">
        <v>-1.4747709506688101E-2</v>
      </c>
      <c r="G130">
        <v>1856</v>
      </c>
      <c r="H130">
        <v>-1.4696971956529199E-2</v>
      </c>
      <c r="I130">
        <v>5320</v>
      </c>
      <c r="J130">
        <v>-1.47548665562945E-2</v>
      </c>
      <c r="K130">
        <v>6930</v>
      </c>
      <c r="L130">
        <v>-1.47548665562945E-2</v>
      </c>
      <c r="M130" s="3">
        <f>(FEM[[#This Row],[disp_t3]]--0.0145666666666666)/-0.0145666666666666</f>
        <v>-3.3758232500794218E-2</v>
      </c>
      <c r="N130" s="3">
        <f>(FEM[[#This Row],[disp_t6]]--0.0145666666666666)/-0.0145666666666666</f>
        <v>1.2428570253192368E-2</v>
      </c>
      <c r="O130" s="3">
        <f>(FEM[[#This Row],[disp_q4]]--0.0145666666666666)/-0.0145666666666666</f>
        <v>8.9454432399954584E-3</v>
      </c>
      <c r="P130" s="3">
        <f>(FEM[[#This Row],[disp_q8]]--0.0145666666666666)/-0.0145666666666666</f>
        <v>1.2919900889787304E-2</v>
      </c>
      <c r="Q130" s="3">
        <f>(FEM[[#This Row],[disp_q9]]--0.0145666666666666)/-0.0145666666666666</f>
        <v>1.2919900889787304E-2</v>
      </c>
    </row>
    <row r="131" spans="1:17" x14ac:dyDescent="0.3">
      <c r="A131">
        <v>96</v>
      </c>
      <c r="B131">
        <v>7</v>
      </c>
      <c r="C131">
        <v>1552</v>
      </c>
      <c r="D131">
        <v>-1.4049965580601601E-2</v>
      </c>
      <c r="E131">
        <v>5790</v>
      </c>
      <c r="F131">
        <v>-1.47461565104662E-2</v>
      </c>
      <c r="G131">
        <v>1552</v>
      </c>
      <c r="H131">
        <v>-1.4687013478816201E-2</v>
      </c>
      <c r="I131">
        <v>4446</v>
      </c>
      <c r="J131">
        <v>-1.47530336486793E-2</v>
      </c>
      <c r="K131">
        <v>5790</v>
      </c>
      <c r="L131">
        <v>-1.47530336486793E-2</v>
      </c>
      <c r="M131" s="3">
        <f>(FEM[[#This Row],[disp_t3]]--0.0145666666666666)/-0.0145666666666666</f>
        <v>-3.5471470439244909E-2</v>
      </c>
      <c r="N131" s="3">
        <f>(FEM[[#This Row],[disp_t6]]--0.0145666666666666)/-0.0145666666666666</f>
        <v>1.232195724024727E-2</v>
      </c>
      <c r="O131" s="3">
        <f>(FEM[[#This Row],[disp_q4]]--0.0145666666666666)/-0.0145666666666666</f>
        <v>8.2617948844120326E-3</v>
      </c>
      <c r="P131" s="3">
        <f>(FEM[[#This Row],[disp_q8]]--0.0145666666666666)/-0.0145666666666666</f>
        <v>1.2794071991718638E-2</v>
      </c>
      <c r="Q131" s="3">
        <f>(FEM[[#This Row],[disp_q9]]--0.0145666666666666)/-0.0145666666666666</f>
        <v>1.2794071991718638E-2</v>
      </c>
    </row>
    <row r="132" spans="1:17" x14ac:dyDescent="0.3">
      <c r="A132">
        <v>80</v>
      </c>
      <c r="B132">
        <v>7</v>
      </c>
      <c r="C132">
        <v>1296</v>
      </c>
      <c r="D132">
        <v>-1.4014096020182E-2</v>
      </c>
      <c r="E132">
        <v>4830</v>
      </c>
      <c r="F132">
        <v>-1.47442401509414E-2</v>
      </c>
      <c r="G132">
        <v>1296</v>
      </c>
      <c r="H132">
        <v>-1.46727415317114E-2</v>
      </c>
      <c r="I132">
        <v>3710</v>
      </c>
      <c r="J132">
        <v>-1.47511064965793E-2</v>
      </c>
      <c r="K132">
        <v>4830</v>
      </c>
      <c r="L132">
        <v>-1.47511064965793E-2</v>
      </c>
      <c r="M132" s="3">
        <f>(FEM[[#This Row],[disp_t3]]--0.0145666666666666)/-0.0145666666666666</f>
        <v>-3.7933911657981802E-2</v>
      </c>
      <c r="N132" s="3">
        <f>(FEM[[#This Row],[disp_t6]]--0.0145666666666666)/-0.0145666666666666</f>
        <v>1.2190399378132858E-2</v>
      </c>
      <c r="O132" s="3">
        <f>(FEM[[#This Row],[disp_q4]]--0.0145666666666666)/-0.0145666666666666</f>
        <v>7.2820273486133621E-3</v>
      </c>
      <c r="P132" s="3">
        <f>(FEM[[#This Row],[disp_q8]]--0.0145666666666666)/-0.0145666666666666</f>
        <v>1.2661773220551604E-2</v>
      </c>
      <c r="Q132" s="3">
        <f>(FEM[[#This Row],[disp_q9]]--0.0145666666666666)/-0.0145666666666666</f>
        <v>1.2661773220551604E-2</v>
      </c>
    </row>
    <row r="133" spans="1:17" x14ac:dyDescent="0.3">
      <c r="A133">
        <v>66</v>
      </c>
      <c r="B133">
        <v>7</v>
      </c>
      <c r="C133">
        <v>1072</v>
      </c>
      <c r="D133">
        <v>-1.39596912778337E-2</v>
      </c>
      <c r="E133">
        <v>3990</v>
      </c>
      <c r="F133">
        <v>-1.4741790961004701E-2</v>
      </c>
      <c r="G133">
        <v>1072</v>
      </c>
      <c r="H133">
        <v>-1.4651170547897999E-2</v>
      </c>
      <c r="I133">
        <v>3066</v>
      </c>
      <c r="J133">
        <v>-1.47490016498131E-2</v>
      </c>
      <c r="K133">
        <v>3990</v>
      </c>
      <c r="L133">
        <v>-1.47490016498131E-2</v>
      </c>
      <c r="M133" s="3">
        <f>(FEM[[#This Row],[disp_t3]]--0.0145666666666666)/-0.0145666666666666</f>
        <v>-4.1668790995393723E-2</v>
      </c>
      <c r="N133" s="3">
        <f>(FEM[[#This Row],[disp_t6]]--0.0145666666666666)/-0.0145666666666666</f>
        <v>1.202226276920609E-2</v>
      </c>
      <c r="O133" s="3">
        <f>(FEM[[#This Row],[disp_q4]]--0.0145666666666666)/-0.0145666666666666</f>
        <v>5.8011817778993412E-3</v>
      </c>
      <c r="P133" s="3">
        <f>(FEM[[#This Row],[disp_q8]]--0.0145666666666666)/-0.0145666666666666</f>
        <v>1.2517275730881133E-2</v>
      </c>
      <c r="Q133" s="3">
        <f>(FEM[[#This Row],[disp_q9]]--0.0145666666666666)/-0.0145666666666666</f>
        <v>1.2517275730881133E-2</v>
      </c>
    </row>
    <row r="134" spans="1:17" x14ac:dyDescent="0.3">
      <c r="A134">
        <v>55</v>
      </c>
      <c r="B134">
        <v>7</v>
      </c>
      <c r="C134">
        <v>896</v>
      </c>
      <c r="D134">
        <v>-1.38858774513777E-2</v>
      </c>
      <c r="E134">
        <v>3330</v>
      </c>
      <c r="F134">
        <v>-1.47390136252913E-2</v>
      </c>
      <c r="G134">
        <v>896</v>
      </c>
      <c r="H134">
        <v>-1.4621993034202301E-2</v>
      </c>
      <c r="I134">
        <v>2560</v>
      </c>
      <c r="J134">
        <v>-1.47468469028346E-2</v>
      </c>
      <c r="K134">
        <v>3330</v>
      </c>
      <c r="L134">
        <v>-1.47468469028346E-2</v>
      </c>
      <c r="M134" s="3">
        <f>(FEM[[#This Row],[disp_t3]]--0.0145666666666666)/-0.0145666666666666</f>
        <v>-4.6736101736080234E-2</v>
      </c>
      <c r="N134" s="3">
        <f>(FEM[[#This Row],[disp_t6]]--0.0145666666666666)/-0.0145666666666666</f>
        <v>1.1831598990254112E-2</v>
      </c>
      <c r="O134" s="3">
        <f>(FEM[[#This Row],[disp_q4]]--0.0145666666666666)/-0.0145666666666666</f>
        <v>3.798148801077901E-3</v>
      </c>
      <c r="P134" s="3">
        <f>(FEM[[#This Row],[disp_q8]]--0.0145666666666666)/-0.0145666666666666</f>
        <v>1.2369352597345619E-2</v>
      </c>
      <c r="Q134" s="3">
        <f>(FEM[[#This Row],[disp_q9]]--0.0145666666666666)/-0.0145666666666666</f>
        <v>1.2369352597345619E-2</v>
      </c>
    </row>
    <row r="135" spans="1:17" x14ac:dyDescent="0.3">
      <c r="A135">
        <v>46</v>
      </c>
      <c r="B135">
        <v>7</v>
      </c>
      <c r="C135">
        <v>752</v>
      </c>
      <c r="D135">
        <v>-1.37840102304279E-2</v>
      </c>
      <c r="E135">
        <v>2790</v>
      </c>
      <c r="F135">
        <v>-1.4735810222812101E-2</v>
      </c>
      <c r="G135">
        <v>752</v>
      </c>
      <c r="H135">
        <v>-1.45817751657039E-2</v>
      </c>
      <c r="I135">
        <v>2146</v>
      </c>
      <c r="J135">
        <v>-1.4744394343820201E-2</v>
      </c>
      <c r="K135">
        <v>2790</v>
      </c>
      <c r="L135">
        <v>-1.4744394343820201E-2</v>
      </c>
      <c r="M135" s="3">
        <f>(FEM[[#This Row],[disp_t3]]--0.0145666666666666)/-0.0145666666666666</f>
        <v>-5.3729274798995627E-2</v>
      </c>
      <c r="N135" s="3">
        <f>(FEM[[#This Row],[disp_t6]]--0.0145666666666666)/-0.0145666666666666</f>
        <v>1.1611685776579088E-2</v>
      </c>
      <c r="O135" s="3">
        <f>(FEM[[#This Row],[disp_q4]]--0.0145666666666666)/-0.0145666666666666</f>
        <v>1.0371967302494913E-3</v>
      </c>
      <c r="P135" s="3">
        <f>(FEM[[#This Row],[disp_q8]]--0.0145666666666666)/-0.0145666666666666</f>
        <v>1.2200984701620286E-2</v>
      </c>
      <c r="Q135" s="3">
        <f>(FEM[[#This Row],[disp_q9]]--0.0145666666666666)/-0.0145666666666666</f>
        <v>1.2200984701620286E-2</v>
      </c>
    </row>
    <row r="136" spans="1:17" x14ac:dyDescent="0.3">
      <c r="A136">
        <v>38</v>
      </c>
      <c r="B136">
        <v>7</v>
      </c>
      <c r="C136">
        <v>624</v>
      </c>
      <c r="D136">
        <v>-1.3630049326765E-2</v>
      </c>
      <c r="E136">
        <v>2310</v>
      </c>
      <c r="F136">
        <v>-1.47318137030125E-2</v>
      </c>
      <c r="G136">
        <v>624</v>
      </c>
      <c r="H136">
        <v>-1.4520850967806601E-2</v>
      </c>
      <c r="I136">
        <v>1778</v>
      </c>
      <c r="J136">
        <v>-1.47411548500728E-2</v>
      </c>
      <c r="K136">
        <v>2310</v>
      </c>
      <c r="L136">
        <v>-1.47411548500728E-2</v>
      </c>
      <c r="M136" s="3">
        <f>(FEM[[#This Row],[disp_t3]]--0.0145666666666666)/-0.0145666666666666</f>
        <v>-6.4298673219789701E-2</v>
      </c>
      <c r="N136" s="3">
        <f>(FEM[[#This Row],[disp_t6]]--0.0145666666666666)/-0.0145666666666666</f>
        <v>1.133732514960425E-2</v>
      </c>
      <c r="O136" s="3">
        <f>(FEM[[#This Row],[disp_q4]]--0.0145666666666666)/-0.0145666666666666</f>
        <v>-3.1452424846681233E-3</v>
      </c>
      <c r="P136" s="3">
        <f>(FEM[[#This Row],[disp_q8]]--0.0145666666666666)/-0.0145666666666666</f>
        <v>1.1978593826512667E-2</v>
      </c>
      <c r="Q136" s="3">
        <f>(FEM[[#This Row],[disp_q9]]--0.0145666666666666)/-0.0145666666666666</f>
        <v>1.1978593826512667E-2</v>
      </c>
    </row>
    <row r="137" spans="1:17" x14ac:dyDescent="0.3">
      <c r="A137">
        <v>32</v>
      </c>
      <c r="B137">
        <v>7</v>
      </c>
      <c r="C137">
        <v>528</v>
      </c>
      <c r="D137">
        <v>-1.3437198346854499E-2</v>
      </c>
      <c r="E137">
        <v>1950</v>
      </c>
      <c r="F137">
        <v>-1.47276999393937E-2</v>
      </c>
      <c r="G137">
        <v>528</v>
      </c>
      <c r="H137">
        <v>-1.4443960523478801E-2</v>
      </c>
      <c r="I137">
        <v>1502</v>
      </c>
      <c r="J137">
        <v>-1.4737559546022299E-2</v>
      </c>
      <c r="K137">
        <v>1950</v>
      </c>
      <c r="L137">
        <v>-1.4737559546022299E-2</v>
      </c>
      <c r="M137" s="3">
        <f>(FEM[[#This Row],[disp_t3]]--0.0145666666666666)/-0.0145666666666666</f>
        <v>-7.7537870925316166E-2</v>
      </c>
      <c r="N137" s="3">
        <f>(FEM[[#This Row],[disp_t6]]--0.0145666666666666)/-0.0145666666666666</f>
        <v>1.1054915747855954E-2</v>
      </c>
      <c r="O137" s="3">
        <f>(FEM[[#This Row],[disp_q4]]--0.0145666666666666)/-0.0145666666666666</f>
        <v>-8.4237626902379306E-3</v>
      </c>
      <c r="P137" s="3">
        <f>(FEM[[#This Row],[disp_q8]]--0.0145666666666666)/-0.0145666666666666</f>
        <v>1.1731776614807832E-2</v>
      </c>
      <c r="Q137" s="3">
        <f>(FEM[[#This Row],[disp_q9]]--0.0145666666666666)/-0.0145666666666666</f>
        <v>1.1731776614807832E-2</v>
      </c>
    </row>
    <row r="138" spans="1:17" x14ac:dyDescent="0.3">
      <c r="A138">
        <v>26</v>
      </c>
      <c r="B138">
        <v>7</v>
      </c>
      <c r="C138">
        <v>432</v>
      </c>
      <c r="D138">
        <v>-1.31104195852922E-2</v>
      </c>
      <c r="E138">
        <v>1590</v>
      </c>
      <c r="F138">
        <v>-1.47220965282641E-2</v>
      </c>
      <c r="G138">
        <v>432</v>
      </c>
      <c r="H138">
        <v>-1.4311491136692001E-2</v>
      </c>
      <c r="I138">
        <v>1226</v>
      </c>
      <c r="J138">
        <v>-1.4732357220952201E-2</v>
      </c>
      <c r="K138">
        <v>1590</v>
      </c>
      <c r="L138">
        <v>-1.4732357220952201E-2</v>
      </c>
      <c r="M138" s="3">
        <f>(FEM[[#This Row],[disp_t3]]--0.0145666666666666)/-0.0145666666666666</f>
        <v>-9.9971195517693776E-2</v>
      </c>
      <c r="N138" s="3">
        <f>(FEM[[#This Row],[disp_t6]]--0.0145666666666666)/-0.0145666666666666</f>
        <v>1.0670242214931418E-2</v>
      </c>
      <c r="O138" s="3">
        <f>(FEM[[#This Row],[disp_q4]]--0.0145666666666666)/-0.0145666666666666</f>
        <v>-1.7517770936471392E-2</v>
      </c>
      <c r="P138" s="3">
        <f>(FEM[[#This Row],[disp_q8]]--0.0145666666666666)/-0.0145666666666666</f>
        <v>1.1374637593977263E-2</v>
      </c>
      <c r="Q138" s="3">
        <f>(FEM[[#This Row],[disp_q9]]--0.0145666666666666)/-0.0145666666666666</f>
        <v>1.1374637593977263E-2</v>
      </c>
    </row>
    <row r="139" spans="1:17" x14ac:dyDescent="0.3">
      <c r="A139">
        <v>22</v>
      </c>
      <c r="B139">
        <v>7</v>
      </c>
      <c r="C139">
        <v>368</v>
      </c>
      <c r="D139">
        <v>-1.27498663473303E-2</v>
      </c>
      <c r="E139">
        <v>1350</v>
      </c>
      <c r="F139">
        <v>-1.47171260437812E-2</v>
      </c>
      <c r="G139">
        <v>368</v>
      </c>
      <c r="H139">
        <v>-1.4161370572751001E-2</v>
      </c>
      <c r="I139">
        <v>1042</v>
      </c>
      <c r="J139">
        <v>-1.4727595265204899E-2</v>
      </c>
      <c r="K139">
        <v>1350</v>
      </c>
      <c r="L139">
        <v>-1.4727595265204899E-2</v>
      </c>
      <c r="M139" s="3">
        <f>(FEM[[#This Row],[disp_t3]]--0.0145666666666666)/-0.0145666666666666</f>
        <v>-0.12472313405054743</v>
      </c>
      <c r="N139" s="3">
        <f>(FEM[[#This Row],[disp_t6]]--0.0145666666666666)/-0.0145666666666666</f>
        <v>1.0329019023885654E-2</v>
      </c>
      <c r="O139" s="3">
        <f>(FEM[[#This Row],[disp_q4]]--0.0145666666666666)/-0.0145666666666666</f>
        <v>-2.7823530474755189E-2</v>
      </c>
      <c r="P139" s="3">
        <f>(FEM[[#This Row],[disp_q8]]--0.0145666666666666)/-0.0145666666666666</f>
        <v>1.1047729876771214E-2</v>
      </c>
      <c r="Q139" s="3">
        <f>(FEM[[#This Row],[disp_q9]]--0.0145666666666666)/-0.0145666666666666</f>
        <v>1.1047729876771214E-2</v>
      </c>
    </row>
    <row r="140" spans="1:17" x14ac:dyDescent="0.3">
      <c r="A140">
        <v>18</v>
      </c>
      <c r="B140">
        <v>7</v>
      </c>
      <c r="C140">
        <v>304</v>
      </c>
      <c r="D140">
        <v>-1.21698308265987E-2</v>
      </c>
      <c r="E140">
        <v>1110</v>
      </c>
      <c r="F140">
        <v>-1.4710662821724599E-2</v>
      </c>
      <c r="G140">
        <v>304</v>
      </c>
      <c r="H140">
        <v>-1.39096186207059E-2</v>
      </c>
      <c r="I140">
        <v>858</v>
      </c>
      <c r="J140">
        <v>-1.47213534450508E-2</v>
      </c>
      <c r="K140">
        <v>1110</v>
      </c>
      <c r="L140">
        <v>-1.47213534450508E-2</v>
      </c>
      <c r="M140" s="3">
        <f>(FEM[[#This Row],[disp_t3]]--0.0145666666666666)/-0.0145666666666666</f>
        <v>-0.16454250618315172</v>
      </c>
      <c r="N140" s="3">
        <f>(FEM[[#This Row],[disp_t6]]--0.0145666666666666)/-0.0145666666666666</f>
        <v>9.8853195691991184E-3</v>
      </c>
      <c r="O140" s="3">
        <f>(FEM[[#This Row],[disp_q4]]--0.0145666666666666)/-0.0145666666666666</f>
        <v>-4.510627317808024E-2</v>
      </c>
      <c r="P140" s="3">
        <f>(FEM[[#This Row],[disp_q8]]--0.0145666666666666)/-0.0145666666666666</f>
        <v>1.0619229637359331E-2</v>
      </c>
      <c r="Q140" s="3">
        <f>(FEM[[#This Row],[disp_q9]]--0.0145666666666666)/-0.0145666666666666</f>
        <v>1.0619229637359331E-2</v>
      </c>
    </row>
    <row r="141" spans="1:17" x14ac:dyDescent="0.3">
      <c r="A141">
        <v>15</v>
      </c>
      <c r="B141">
        <v>7</v>
      </c>
      <c r="C141">
        <v>256</v>
      </c>
      <c r="D141">
        <v>-1.1476930981138601E-2</v>
      </c>
      <c r="E141">
        <v>930</v>
      </c>
      <c r="F141">
        <v>-1.47043399194208E-2</v>
      </c>
      <c r="G141">
        <v>256</v>
      </c>
      <c r="H141">
        <v>-1.35899335295537E-2</v>
      </c>
      <c r="I141">
        <v>720</v>
      </c>
      <c r="J141">
        <v>-1.47152881567598E-2</v>
      </c>
      <c r="K141">
        <v>930</v>
      </c>
      <c r="L141">
        <v>-1.47152881567598E-2</v>
      </c>
      <c r="M141" s="3">
        <f>(FEM[[#This Row],[disp_t3]]--0.0145666666666666)/-0.0145666666666666</f>
        <v>-0.21211000129482926</v>
      </c>
      <c r="N141" s="3">
        <f>(FEM[[#This Row],[disp_t6]]--0.0145666666666666)/-0.0145666666666666</f>
        <v>9.451253049487518E-3</v>
      </c>
      <c r="O141" s="3">
        <f>(FEM[[#This Row],[disp_q4]]--0.0145666666666666)/-0.0145666666666666</f>
        <v>-6.7052618108437351E-2</v>
      </c>
      <c r="P141" s="3">
        <f>(FEM[[#This Row],[disp_q8]]--0.0145666666666666)/-0.0145666666666666</f>
        <v>1.0202848290151093E-2</v>
      </c>
      <c r="Q141" s="3">
        <f>(FEM[[#This Row],[disp_q9]]--0.0145666666666666)/-0.0145666666666666</f>
        <v>1.0202848290151093E-2</v>
      </c>
    </row>
    <row r="142" spans="1:17" x14ac:dyDescent="0.3">
      <c r="A142">
        <v>12</v>
      </c>
      <c r="B142">
        <v>7</v>
      </c>
      <c r="C142">
        <v>208</v>
      </c>
      <c r="D142">
        <v>-1.03912300290094E-2</v>
      </c>
      <c r="E142">
        <v>750</v>
      </c>
      <c r="F142">
        <v>-1.46959169556622E-2</v>
      </c>
      <c r="G142">
        <v>208</v>
      </c>
      <c r="H142">
        <v>-1.3040608784912399E-2</v>
      </c>
      <c r="I142">
        <v>582</v>
      </c>
      <c r="J142">
        <v>-1.4707384111672699E-2</v>
      </c>
      <c r="K142">
        <v>750</v>
      </c>
      <c r="L142">
        <v>-1.4707384111672699E-2</v>
      </c>
      <c r="M142" s="3">
        <f>(FEM[[#This Row],[disp_t3]]--0.0145666666666666)/-0.0145666666666666</f>
        <v>-0.28664324743642233</v>
      </c>
      <c r="N142" s="3">
        <f>(FEM[[#This Row],[disp_t6]]--0.0145666666666666)/-0.0145666666666666</f>
        <v>8.8730175511854588E-3</v>
      </c>
      <c r="O142" s="3">
        <f>(FEM[[#This Row],[disp_q4]]--0.0145666666666666)/-0.0145666666666666</f>
        <v>-0.10476369897626135</v>
      </c>
      <c r="P142" s="3">
        <f>(FEM[[#This Row],[disp_q8]]--0.0145666666666666)/-0.0145666666666666</f>
        <v>9.6602364992746416E-3</v>
      </c>
      <c r="Q142" s="3">
        <f>(FEM[[#This Row],[disp_q9]]--0.0145666666666666)/-0.0145666666666666</f>
        <v>9.6602364992746416E-3</v>
      </c>
    </row>
    <row r="143" spans="1:17" x14ac:dyDescent="0.3">
      <c r="A143">
        <v>10</v>
      </c>
      <c r="B143">
        <v>7</v>
      </c>
      <c r="C143">
        <v>176</v>
      </c>
      <c r="D143">
        <v>-9.3177090613718195E-3</v>
      </c>
      <c r="E143">
        <v>630</v>
      </c>
      <c r="F143">
        <v>-1.46882021360519E-2</v>
      </c>
      <c r="G143">
        <v>176</v>
      </c>
      <c r="H143">
        <v>-1.24283732136833E-2</v>
      </c>
      <c r="I143">
        <v>490</v>
      </c>
      <c r="J143">
        <v>-1.4700433948927101E-2</v>
      </c>
      <c r="K143">
        <v>630</v>
      </c>
      <c r="L143">
        <v>-1.4700433948927101E-2</v>
      </c>
      <c r="M143" s="3">
        <f>(FEM[[#This Row],[disp_t3]]--0.0145666666666666)/-0.0145666666666666</f>
        <v>-0.36034033903625656</v>
      </c>
      <c r="N143" s="3">
        <f>(FEM[[#This Row],[disp_t6]]--0.0145666666666666)/-0.0145666666666666</f>
        <v>8.3433960676408021E-3</v>
      </c>
      <c r="O143" s="3">
        <f>(FEM[[#This Row],[disp_q4]]--0.0145666666666666)/-0.0145666666666666</f>
        <v>-0.14679360089130272</v>
      </c>
      <c r="P143" s="3">
        <f>(FEM[[#This Row],[disp_q8]]--0.0145666666666666)/-0.0145666666666666</f>
        <v>9.1831086220024224E-3</v>
      </c>
      <c r="Q143" s="3">
        <f>(FEM[[#This Row],[disp_q9]]--0.0145666666666666)/-0.0145666666666666</f>
        <v>9.1831086220024224E-3</v>
      </c>
    </row>
    <row r="144" spans="1:17" x14ac:dyDescent="0.3">
      <c r="A144">
        <v>8</v>
      </c>
      <c r="B144">
        <v>7</v>
      </c>
      <c r="C144">
        <v>144</v>
      </c>
      <c r="D144">
        <v>-7.83475718840306E-3</v>
      </c>
      <c r="E144">
        <v>510</v>
      </c>
      <c r="F144">
        <v>-1.46768753157145E-2</v>
      </c>
      <c r="G144">
        <v>144</v>
      </c>
      <c r="H144">
        <v>-1.1441389694187201E-2</v>
      </c>
      <c r="I144">
        <v>398</v>
      </c>
      <c r="J144">
        <v>-1.46909220634355E-2</v>
      </c>
      <c r="K144">
        <v>510</v>
      </c>
      <c r="L144">
        <v>-1.46909220634355E-2</v>
      </c>
      <c r="M144" s="3">
        <f>(FEM[[#This Row],[disp_t3]]--0.0145666666666666)/-0.0145666666666666</f>
        <v>-0.46214481544143504</v>
      </c>
      <c r="N144" s="3">
        <f>(FEM[[#This Row],[disp_t6]]--0.0145666666666666)/-0.0145666666666666</f>
        <v>7.5658111474531942E-3</v>
      </c>
      <c r="O144" s="3">
        <f>(FEM[[#This Row],[disp_q4]]--0.0145666666666666)/-0.0145666666666666</f>
        <v>-0.21454990657753409</v>
      </c>
      <c r="P144" s="3">
        <f>(FEM[[#This Row],[disp_q8]]--0.0145666666666666)/-0.0145666666666666</f>
        <v>8.530118771320469E-3</v>
      </c>
      <c r="Q144" s="3">
        <f>(FEM[[#This Row],[disp_q9]]--0.0145666666666666)/-0.0145666666666666</f>
        <v>8.530118771320469E-3</v>
      </c>
    </row>
    <row r="145" spans="1:17" x14ac:dyDescent="0.3">
      <c r="A145">
        <v>7</v>
      </c>
      <c r="B145">
        <v>7</v>
      </c>
      <c r="C145">
        <v>128</v>
      </c>
      <c r="D145">
        <v>-6.9052688030089701E-3</v>
      </c>
      <c r="E145">
        <v>450</v>
      </c>
      <c r="F145">
        <v>-1.4668310681052499E-2</v>
      </c>
      <c r="G145">
        <v>128</v>
      </c>
      <c r="H145">
        <v>-1.0718357498997501E-2</v>
      </c>
      <c r="I145">
        <v>352</v>
      </c>
      <c r="J145">
        <v>-1.4684305812066201E-2</v>
      </c>
      <c r="K145">
        <v>450</v>
      </c>
      <c r="L145">
        <v>-1.4684305812066201E-2</v>
      </c>
      <c r="M145" s="3">
        <f>(FEM[[#This Row],[disp_t3]]--0.0145666666666666)/-0.0145666666666666</f>
        <v>-0.52595408674995414</v>
      </c>
      <c r="N145" s="3">
        <f>(FEM[[#This Row],[disp_t6]]--0.0145666666666666)/-0.0145666666666666</f>
        <v>6.977849957842148E-3</v>
      </c>
      <c r="O145" s="3">
        <f>(FEM[[#This Row],[disp_q4]]--0.0145666666666666)/-0.0145666666666666</f>
        <v>-0.26418598405051141</v>
      </c>
      <c r="P145" s="3">
        <f>(FEM[[#This Row],[disp_q8]]--0.0145666666666666)/-0.0145666666666666</f>
        <v>8.0759138718262159E-3</v>
      </c>
      <c r="Q145" s="3">
        <f>(FEM[[#This Row],[disp_q9]]--0.0145666666666666)/-0.0145666666666666</f>
        <v>8.0759138718262159E-3</v>
      </c>
    </row>
    <row r="146" spans="1:17" x14ac:dyDescent="0.3">
      <c r="A146">
        <v>6</v>
      </c>
      <c r="B146">
        <v>7</v>
      </c>
      <c r="C146">
        <v>112</v>
      </c>
      <c r="D146">
        <v>-5.8436520415726997E-3</v>
      </c>
      <c r="E146">
        <v>390</v>
      </c>
      <c r="F146">
        <v>-1.46554696005213E-2</v>
      </c>
      <c r="G146">
        <v>112</v>
      </c>
      <c r="H146">
        <v>-9.7678671269559904E-3</v>
      </c>
      <c r="I146">
        <v>306</v>
      </c>
      <c r="J146">
        <v>-1.4675131606986301E-2</v>
      </c>
      <c r="K146">
        <v>390</v>
      </c>
      <c r="L146">
        <v>-1.4675131606986301E-2</v>
      </c>
      <c r="M146" s="3">
        <f>(FEM[[#This Row],[disp_t3]]--0.0145666666666666)/-0.0145666666666666</f>
        <v>-0.59883395595610567</v>
      </c>
      <c r="N146" s="3">
        <f>(FEM[[#This Row],[disp_t6]]--0.0145666666666666)/-0.0145666666666666</f>
        <v>6.0963112486064931E-3</v>
      </c>
      <c r="O146" s="3">
        <f>(FEM[[#This Row],[disp_q4]]--0.0145666666666666)/-0.0145666666666666</f>
        <v>-0.3294370393394026</v>
      </c>
      <c r="P146" s="3">
        <f>(FEM[[#This Row],[disp_q8]]--0.0145666666666666)/-0.0145666666666666</f>
        <v>7.4461057427712973E-3</v>
      </c>
      <c r="Q146" s="3">
        <f>(FEM[[#This Row],[disp_q9]]--0.0145666666666666)/-0.0145666666666666</f>
        <v>7.4461057427712973E-3</v>
      </c>
    </row>
    <row r="147" spans="1:17" x14ac:dyDescent="0.3">
      <c r="A147">
        <v>5</v>
      </c>
      <c r="B147">
        <v>7</v>
      </c>
      <c r="C147">
        <v>96</v>
      </c>
      <c r="D147">
        <v>-4.6655863363984701E-3</v>
      </c>
      <c r="E147">
        <v>330</v>
      </c>
      <c r="F147">
        <v>-1.4633294548058499E-2</v>
      </c>
      <c r="G147">
        <v>96</v>
      </c>
      <c r="H147">
        <v>-8.5160283106830697E-3</v>
      </c>
      <c r="I147">
        <v>260</v>
      </c>
      <c r="J147">
        <v>-1.4660523977990701E-2</v>
      </c>
      <c r="K147">
        <v>330</v>
      </c>
      <c r="L147">
        <v>-1.4660523977990701E-2</v>
      </c>
      <c r="M147" s="3">
        <f>(FEM[[#This Row],[disp_t3]]--0.0145666666666666)/-0.0145666666666666</f>
        <v>-0.67970803182619044</v>
      </c>
      <c r="N147" s="3">
        <f>(FEM[[#This Row],[disp_t6]]--0.0145666666666666)/-0.0145666666666666</f>
        <v>4.5739964342265725E-3</v>
      </c>
      <c r="O147" s="3">
        <f>(FEM[[#This Row],[disp_q4]]--0.0145666666666666)/-0.0145666666666666</f>
        <v>-0.41537563084555318</v>
      </c>
      <c r="P147" s="3">
        <f>(FEM[[#This Row],[disp_q8]]--0.0145666666666666)/-0.0145666666666666</f>
        <v>6.4432936835767708E-3</v>
      </c>
      <c r="Q147" s="3">
        <f>(FEM[[#This Row],[disp_q9]]--0.0145666666666666)/-0.0145666666666666</f>
        <v>6.4432936835767708E-3</v>
      </c>
    </row>
    <row r="148" spans="1:17" x14ac:dyDescent="0.3">
      <c r="A148">
        <v>4</v>
      </c>
      <c r="B148">
        <v>7</v>
      </c>
      <c r="C148">
        <v>80</v>
      </c>
      <c r="D148">
        <v>-3.4183602159296501E-3</v>
      </c>
      <c r="E148">
        <v>270</v>
      </c>
      <c r="F148">
        <v>-1.45872740460723E-2</v>
      </c>
      <c r="G148">
        <v>80</v>
      </c>
      <c r="H148">
        <v>-6.8909898833507E-3</v>
      </c>
      <c r="I148">
        <v>214</v>
      </c>
      <c r="J148">
        <v>-1.46317095422574E-2</v>
      </c>
      <c r="K148">
        <v>270</v>
      </c>
      <c r="L148">
        <v>-1.46317095422574E-2</v>
      </c>
      <c r="M148" s="3">
        <f>(FEM[[#This Row],[disp_t3]]--0.0145666666666666)/-0.0145666666666666</f>
        <v>-0.76532996229315797</v>
      </c>
      <c r="N148" s="3">
        <f>(FEM[[#This Row],[disp_t6]]--0.0145666666666666)/-0.0145666666666666</f>
        <v>1.414694238377593E-3</v>
      </c>
      <c r="O148" s="3">
        <f>(FEM[[#This Row],[disp_q4]]--0.0145666666666666)/-0.0145666666666666</f>
        <v>-0.52693433295075065</v>
      </c>
      <c r="P148" s="3">
        <f>(FEM[[#This Row],[disp_q8]]--0.0145666666666666)/-0.0145666666666666</f>
        <v>4.4651859673318821E-3</v>
      </c>
      <c r="Q148" s="3">
        <f>(FEM[[#This Row],[disp_q9]]--0.0145666666666666)/-0.0145666666666666</f>
        <v>4.4651859673318821E-3</v>
      </c>
    </row>
    <row r="149" spans="1:17" x14ac:dyDescent="0.3">
      <c r="A149">
        <v>3</v>
      </c>
      <c r="B149">
        <v>7</v>
      </c>
      <c r="C149">
        <v>64</v>
      </c>
      <c r="D149">
        <v>-2.1938708309283601E-3</v>
      </c>
      <c r="E149">
        <v>210</v>
      </c>
      <c r="F149">
        <v>-1.44674011663222E-2</v>
      </c>
      <c r="G149">
        <v>64</v>
      </c>
      <c r="H149">
        <v>-4.87997750414802E-3</v>
      </c>
      <c r="I149">
        <v>168</v>
      </c>
      <c r="J149">
        <v>-1.45547083912295E-2</v>
      </c>
      <c r="K149">
        <v>210</v>
      </c>
      <c r="L149">
        <v>-1.45547083912295E-2</v>
      </c>
      <c r="M149" s="3">
        <f>(FEM[[#This Row],[disp_t3]]--0.0145666666666666)/-0.0145666666666666</f>
        <v>-0.84939101847173659</v>
      </c>
      <c r="N149" s="3">
        <f>(FEM[[#This Row],[disp_t6]]--0.0145666666666666)/-0.0145666666666666</f>
        <v>-6.8145652410342887E-3</v>
      </c>
      <c r="O149" s="3">
        <f>(FEM[[#This Row],[disp_q4]]--0.0145666666666666)/-0.0145666666666666</f>
        <v>-0.66499010269006575</v>
      </c>
      <c r="P149" s="3">
        <f>(FEM[[#This Row],[disp_q8]]--0.0145666666666666)/-0.0145666666666666</f>
        <v>-8.2093424053315876E-4</v>
      </c>
      <c r="Q149" s="3">
        <f>(FEM[[#This Row],[disp_q9]]--0.0145666666666666)/-0.0145666666666666</f>
        <v>-8.2093424053315876E-4</v>
      </c>
    </row>
    <row r="150" spans="1:17" x14ac:dyDescent="0.3">
      <c r="A150">
        <v>2</v>
      </c>
      <c r="B150">
        <v>7</v>
      </c>
      <c r="C150">
        <v>48</v>
      </c>
      <c r="D150">
        <v>-1.13165493176653E-3</v>
      </c>
      <c r="E150">
        <v>150</v>
      </c>
      <c r="F150">
        <v>-1.4046178554623799E-2</v>
      </c>
      <c r="G150">
        <v>48</v>
      </c>
      <c r="H150">
        <v>-2.6619685129115698E-3</v>
      </c>
      <c r="I150">
        <v>122</v>
      </c>
      <c r="J150">
        <v>-1.4244099437584401E-2</v>
      </c>
      <c r="K150">
        <v>150</v>
      </c>
      <c r="L150">
        <v>-1.4244099437584401E-2</v>
      </c>
      <c r="M150" s="3">
        <f>(FEM[[#This Row],[disp_t3]]--0.0145666666666666)/-0.0145666666666666</f>
        <v>-0.92231201841419674</v>
      </c>
      <c r="N150" s="3">
        <f>(FEM[[#This Row],[disp_t6]]--0.0145666666666666)/-0.0145666666666666</f>
        <v>-3.5731449339322811E-2</v>
      </c>
      <c r="O150" s="3">
        <f>(FEM[[#This Row],[disp_q4]]--0.0145666666666666)/-0.0145666666666666</f>
        <v>-0.81725616616167629</v>
      </c>
      <c r="P150" s="3">
        <f>(FEM[[#This Row],[disp_q8]]--0.0145666666666666)/-0.0145666666666666</f>
        <v>-2.2144203369487428E-2</v>
      </c>
      <c r="Q150" s="3">
        <f>(FEM[[#This Row],[disp_q9]]--0.0145666666666666)/-0.0145666666666666</f>
        <v>-2.2144203369487428E-2</v>
      </c>
    </row>
    <row r="151" spans="1:17" x14ac:dyDescent="0.3">
      <c r="A151">
        <v>1</v>
      </c>
      <c r="B151">
        <v>7</v>
      </c>
      <c r="C151">
        <v>32</v>
      </c>
      <c r="D151">
        <v>-3.9770412281224402E-4</v>
      </c>
      <c r="E151">
        <v>90</v>
      </c>
      <c r="F151">
        <v>-1.1417745089674599E-2</v>
      </c>
      <c r="G151">
        <v>32</v>
      </c>
      <c r="H151">
        <v>-7.71266929873678E-4</v>
      </c>
      <c r="I151">
        <v>76</v>
      </c>
      <c r="J151">
        <v>-1.18435543160495E-2</v>
      </c>
      <c r="K151">
        <v>90</v>
      </c>
      <c r="L151">
        <v>-1.18435543160495E-2</v>
      </c>
      <c r="M151" s="3">
        <f>(FEM[[#This Row],[disp_t3]]--0.0145666666666666)/-0.0145666666666666</f>
        <v>-0.97269765747284354</v>
      </c>
      <c r="N151" s="3">
        <f>(FEM[[#This Row],[disp_t6]]--0.0145666666666666)/-0.0145666666666666</f>
        <v>-0.21617310597199185</v>
      </c>
      <c r="O151" s="3">
        <f>(FEM[[#This Row],[disp_q4]]--0.0145666666666666)/-0.0145666666666666</f>
        <v>-0.94705261350981595</v>
      </c>
      <c r="P151" s="3">
        <f>(FEM[[#This Row],[disp_q8]]--0.0145666666666666)/-0.0145666666666666</f>
        <v>-0.18694135130094591</v>
      </c>
      <c r="Q151" s="3">
        <f>(FEM[[#This Row],[disp_q9]]--0.0145666666666666)/-0.0145666666666666</f>
        <v>-0.18694135130094591</v>
      </c>
    </row>
    <row r="152" spans="1:17" x14ac:dyDescent="0.3">
      <c r="A152">
        <v>200</v>
      </c>
      <c r="B152">
        <v>6</v>
      </c>
      <c r="C152">
        <v>2814</v>
      </c>
      <c r="D152">
        <v>-1.39140076521879E-2</v>
      </c>
      <c r="E152">
        <v>10426</v>
      </c>
      <c r="F152">
        <v>-1.47457560849892E-2</v>
      </c>
      <c r="G152">
        <v>2814</v>
      </c>
      <c r="H152">
        <v>-1.47058940079617E-2</v>
      </c>
      <c r="I152">
        <v>8026</v>
      </c>
      <c r="J152">
        <v>-1.47547682506394E-2</v>
      </c>
      <c r="K152">
        <v>10426</v>
      </c>
      <c r="L152">
        <v>-1.47547682506394E-2</v>
      </c>
      <c r="M152" s="3">
        <f>(FEM[[#This Row],[disp_t3]]--0.0145666666666666)/-0.0145666666666666</f>
        <v>-4.4804966669018467E-2</v>
      </c>
      <c r="N152" s="3">
        <f>(FEM[[#This Row],[disp_t6]]--0.0145666666666666)/-0.0145666666666666</f>
        <v>1.2294468077066476E-2</v>
      </c>
      <c r="O152" s="3">
        <f>(FEM[[#This Row],[disp_q4]]--0.0145666666666666)/-0.0145666666666666</f>
        <v>9.5579410500069278E-3</v>
      </c>
      <c r="P152" s="3">
        <f>(FEM[[#This Row],[disp_q8]]--0.0145666666666666)/-0.0145666666666666</f>
        <v>1.2913152217812432E-2</v>
      </c>
      <c r="Q152" s="3">
        <f>(FEM[[#This Row],[disp_q9]]--0.0145666666666666)/-0.0145666666666666</f>
        <v>1.2913152217812432E-2</v>
      </c>
    </row>
    <row r="153" spans="1:17" x14ac:dyDescent="0.3">
      <c r="A153">
        <v>166</v>
      </c>
      <c r="B153">
        <v>6</v>
      </c>
      <c r="C153">
        <v>2338</v>
      </c>
      <c r="D153">
        <v>-1.3905611419105899E-2</v>
      </c>
      <c r="E153">
        <v>8658</v>
      </c>
      <c r="F153">
        <v>-1.47451347945807E-2</v>
      </c>
      <c r="G153">
        <v>2338</v>
      </c>
      <c r="H153">
        <v>-1.4702524315837399E-2</v>
      </c>
      <c r="I153">
        <v>6666</v>
      </c>
      <c r="J153">
        <v>-1.47536908965366E-2</v>
      </c>
      <c r="K153">
        <v>8658</v>
      </c>
      <c r="L153">
        <v>-1.47536908965366E-2</v>
      </c>
      <c r="M153" s="3">
        <f>(FEM[[#This Row],[disp_t3]]--0.0145666666666666)/-0.0145666666666666</f>
        <v>-4.5381367109430422E-2</v>
      </c>
      <c r="N153" s="3">
        <f>(FEM[[#This Row],[disp_t6]]--0.0145666666666666)/-0.0145666666666666</f>
        <v>1.2251816561608788E-2</v>
      </c>
      <c r="O153" s="3">
        <f>(FEM[[#This Row],[disp_q4]]--0.0145666666666666)/-0.0145666666666666</f>
        <v>9.3266120712220176E-3</v>
      </c>
      <c r="P153" s="3">
        <f>(FEM[[#This Row],[disp_q8]]--0.0145666666666666)/-0.0145666666666666</f>
        <v>1.2839191981922304E-2</v>
      </c>
      <c r="Q153" s="3">
        <f>(FEM[[#This Row],[disp_q9]]--0.0145666666666666)/-0.0145666666666666</f>
        <v>1.2839191981922304E-2</v>
      </c>
    </row>
    <row r="154" spans="1:17" x14ac:dyDescent="0.3">
      <c r="A154">
        <v>138</v>
      </c>
      <c r="B154">
        <v>6</v>
      </c>
      <c r="C154">
        <v>1946</v>
      </c>
      <c r="D154">
        <v>-1.3893615624555201E-2</v>
      </c>
      <c r="E154">
        <v>7202</v>
      </c>
      <c r="F154">
        <v>-1.4744324568624701E-2</v>
      </c>
      <c r="G154">
        <v>1946</v>
      </c>
      <c r="H154">
        <v>-1.46977011071885E-2</v>
      </c>
      <c r="I154">
        <v>5546</v>
      </c>
      <c r="J154">
        <v>-1.4752366718342401E-2</v>
      </c>
      <c r="K154">
        <v>7202</v>
      </c>
      <c r="L154">
        <v>-1.4752366718342401E-2</v>
      </c>
      <c r="M154" s="3">
        <f>(FEM[[#This Row],[disp_t3]]--0.0145666666666666)/-0.0145666666666666</f>
        <v>-4.6204877032819343E-2</v>
      </c>
      <c r="N154" s="3">
        <f>(FEM[[#This Row],[disp_t6]]--0.0145666666666666)/-0.0145666666666666</f>
        <v>1.2196194642432649E-2</v>
      </c>
      <c r="O154" s="3">
        <f>(FEM[[#This Row],[disp_q4]]--0.0145666666666666)/-0.0145666666666666</f>
        <v>8.9954993493296005E-3</v>
      </c>
      <c r="P154" s="3">
        <f>(FEM[[#This Row],[disp_q8]]--0.0145666666666666)/-0.0145666666666666</f>
        <v>1.2748287300398313E-2</v>
      </c>
      <c r="Q154" s="3">
        <f>(FEM[[#This Row],[disp_q9]]--0.0145666666666666)/-0.0145666666666666</f>
        <v>1.2748287300398313E-2</v>
      </c>
    </row>
    <row r="155" spans="1:17" x14ac:dyDescent="0.3">
      <c r="A155">
        <v>115</v>
      </c>
      <c r="B155">
        <v>6</v>
      </c>
      <c r="C155">
        <v>1624</v>
      </c>
      <c r="D155">
        <v>-1.38766311030707E-2</v>
      </c>
      <c r="E155">
        <v>6006</v>
      </c>
      <c r="F155">
        <v>-1.47432919716366E-2</v>
      </c>
      <c r="G155">
        <v>1624</v>
      </c>
      <c r="H155">
        <v>-1.4690865494542399E-2</v>
      </c>
      <c r="I155">
        <v>4626</v>
      </c>
      <c r="J155">
        <v>-1.4750821235040901E-2</v>
      </c>
      <c r="K155">
        <v>6006</v>
      </c>
      <c r="L155">
        <v>-1.4750821235040901E-2</v>
      </c>
      <c r="M155" s="3">
        <f>(FEM[[#This Row],[disp_t3]]--0.0145666666666666)/-0.0145666666666666</f>
        <v>-4.7370862489421232E-2</v>
      </c>
      <c r="N155" s="3">
        <f>(FEM[[#This Row],[disp_t6]]--0.0145666666666666)/-0.0145666666666666</f>
        <v>1.2125306977345617E-2</v>
      </c>
      <c r="O155" s="3">
        <f>(FEM[[#This Row],[disp_q4]]--0.0145666666666666)/-0.0145666666666666</f>
        <v>8.5262353232814954E-3</v>
      </c>
      <c r="P155" s="3">
        <f>(FEM[[#This Row],[disp_q8]]--0.0145666666666666)/-0.0145666666666666</f>
        <v>1.2642190048579098E-2</v>
      </c>
      <c r="Q155" s="3">
        <f>(FEM[[#This Row],[disp_q9]]--0.0145666666666666)/-0.0145666666666666</f>
        <v>1.2642190048579098E-2</v>
      </c>
    </row>
    <row r="156" spans="1:17" x14ac:dyDescent="0.3">
      <c r="A156">
        <v>96</v>
      </c>
      <c r="B156">
        <v>6</v>
      </c>
      <c r="C156">
        <v>1358</v>
      </c>
      <c r="D156">
        <v>-1.38526158654797E-2</v>
      </c>
      <c r="E156">
        <v>5018</v>
      </c>
      <c r="F156">
        <v>-1.4741998469198001E-2</v>
      </c>
      <c r="G156">
        <v>1358</v>
      </c>
      <c r="H156">
        <v>-1.4681198550708501E-2</v>
      </c>
      <c r="I156">
        <v>3866</v>
      </c>
      <c r="J156">
        <v>-1.47490996862204E-2</v>
      </c>
      <c r="K156">
        <v>5018</v>
      </c>
      <c r="L156">
        <v>-1.47490996862204E-2</v>
      </c>
      <c r="M156" s="3">
        <f>(FEM[[#This Row],[disp_t3]]--0.0145666666666666)/-0.0145666666666666</f>
        <v>-4.9019505802304499E-2</v>
      </c>
      <c r="N156" s="3">
        <f>(FEM[[#This Row],[disp_t6]]--0.0145666666666666)/-0.0145666666666666</f>
        <v>1.2036508182933798E-2</v>
      </c>
      <c r="O156" s="3">
        <f>(FEM[[#This Row],[disp_q4]]--0.0145666666666666)/-0.0145666666666666</f>
        <v>7.8626007351420158E-3</v>
      </c>
      <c r="P156" s="3">
        <f>(FEM[[#This Row],[disp_q8]]--0.0145666666666666)/-0.0145666666666666</f>
        <v>1.2524005919025263E-2</v>
      </c>
      <c r="Q156" s="3">
        <f>(FEM[[#This Row],[disp_q9]]--0.0145666666666666)/-0.0145666666666666</f>
        <v>1.2524005919025263E-2</v>
      </c>
    </row>
    <row r="157" spans="1:17" x14ac:dyDescent="0.3">
      <c r="A157">
        <v>80</v>
      </c>
      <c r="B157">
        <v>6</v>
      </c>
      <c r="C157">
        <v>1134</v>
      </c>
      <c r="D157">
        <v>-1.38180438734403E-2</v>
      </c>
      <c r="E157">
        <v>4186</v>
      </c>
      <c r="F157">
        <v>-1.4740377572534999E-2</v>
      </c>
      <c r="G157">
        <v>1134</v>
      </c>
      <c r="H157">
        <v>-1.46672878694923E-2</v>
      </c>
      <c r="I157">
        <v>3226</v>
      </c>
      <c r="J157">
        <v>-1.47472342265682E-2</v>
      </c>
      <c r="K157">
        <v>4186</v>
      </c>
      <c r="L157">
        <v>-1.47472342265682E-2</v>
      </c>
      <c r="M157" s="3">
        <f>(FEM[[#This Row],[disp_t3]]--0.0145666666666666)/-0.0145666666666666</f>
        <v>-5.1392869100203881E-2</v>
      </c>
      <c r="N157" s="3">
        <f>(FEM[[#This Row],[disp_t6]]--0.0145666666666666)/-0.0145666666666666</f>
        <v>1.1925233812476023E-2</v>
      </c>
      <c r="O157" s="3">
        <f>(FEM[[#This Row],[disp_q4]]--0.0145666666666666)/-0.0145666666666666</f>
        <v>6.9076340612609748E-3</v>
      </c>
      <c r="P157" s="3">
        <f>(FEM[[#This Row],[disp_q8]]--0.0145666666666666)/-0.0145666666666666</f>
        <v>1.239594232734104E-2</v>
      </c>
      <c r="Q157" s="3">
        <f>(FEM[[#This Row],[disp_q9]]--0.0145666666666666)/-0.0145666666666666</f>
        <v>1.239594232734104E-2</v>
      </c>
    </row>
    <row r="158" spans="1:17" x14ac:dyDescent="0.3">
      <c r="A158">
        <v>66</v>
      </c>
      <c r="B158">
        <v>6</v>
      </c>
      <c r="C158">
        <v>938</v>
      </c>
      <c r="D158">
        <v>-1.3765514265846599E-2</v>
      </c>
      <c r="E158">
        <v>3458</v>
      </c>
      <c r="F158">
        <v>-1.47382785651805E-2</v>
      </c>
      <c r="G158">
        <v>938</v>
      </c>
      <c r="H158">
        <v>-1.46461654141675E-2</v>
      </c>
      <c r="I158">
        <v>2666</v>
      </c>
      <c r="J158">
        <v>-1.4745189375865501E-2</v>
      </c>
      <c r="K158">
        <v>3458</v>
      </c>
      <c r="L158">
        <v>-1.4745189375865501E-2</v>
      </c>
      <c r="M158" s="3">
        <f>(FEM[[#This Row],[disp_t3]]--0.0145666666666666)/-0.0145666666666666</f>
        <v>-5.4999020651258827E-2</v>
      </c>
      <c r="N158" s="3">
        <f>(FEM[[#This Row],[disp_t6]]--0.0145666666666666)/-0.0145666666666666</f>
        <v>1.1781137197750679E-2</v>
      </c>
      <c r="O158" s="3">
        <f>(FEM[[#This Row],[disp_q4]]--0.0145666666666666)/-0.0145666666666666</f>
        <v>5.4575799199703097E-3</v>
      </c>
      <c r="P158" s="3">
        <f>(FEM[[#This Row],[disp_q8]]--0.0145666666666666)/-0.0145666666666666</f>
        <v>1.2255563560565371E-2</v>
      </c>
      <c r="Q158" s="3">
        <f>(FEM[[#This Row],[disp_q9]]--0.0145666666666666)/-0.0145666666666666</f>
        <v>1.2255563560565371E-2</v>
      </c>
    </row>
    <row r="159" spans="1:17" x14ac:dyDescent="0.3">
      <c r="A159">
        <v>55</v>
      </c>
      <c r="B159">
        <v>6</v>
      </c>
      <c r="C159">
        <v>784</v>
      </c>
      <c r="D159">
        <v>-1.36941163581296E-2</v>
      </c>
      <c r="E159">
        <v>2886</v>
      </c>
      <c r="F159">
        <v>-1.4735873840232E-2</v>
      </c>
      <c r="G159">
        <v>784</v>
      </c>
      <c r="H159">
        <v>-1.4617460888004001E-2</v>
      </c>
      <c r="I159">
        <v>2226</v>
      </c>
      <c r="J159">
        <v>-1.4743175481967401E-2</v>
      </c>
      <c r="K159">
        <v>2886</v>
      </c>
      <c r="L159">
        <v>-1.4743175481967401E-2</v>
      </c>
      <c r="M159" s="3">
        <f>(FEM[[#This Row],[disp_t3]]--0.0145666666666666)/-0.0145666666666666</f>
        <v>-5.9900478846933877E-2</v>
      </c>
      <c r="N159" s="3">
        <f>(FEM[[#This Row],[disp_t6]]--0.0145666666666666)/-0.0145666666666666</f>
        <v>1.1616053105176322E-2</v>
      </c>
      <c r="O159" s="3">
        <f>(FEM[[#This Row],[disp_q4]]--0.0145666666666666)/-0.0145666666666666</f>
        <v>3.487017483116815E-3</v>
      </c>
      <c r="P159" s="3">
        <f>(FEM[[#This Row],[disp_q8]]--0.0145666666666666)/-0.0145666666666666</f>
        <v>1.2117309974883446E-2</v>
      </c>
      <c r="Q159" s="3">
        <f>(FEM[[#This Row],[disp_q9]]--0.0145666666666666)/-0.0145666666666666</f>
        <v>1.2117309974883446E-2</v>
      </c>
    </row>
    <row r="160" spans="1:17" x14ac:dyDescent="0.3">
      <c r="A160">
        <v>46</v>
      </c>
      <c r="B160">
        <v>6</v>
      </c>
      <c r="C160">
        <v>658</v>
      </c>
      <c r="D160">
        <v>-1.35954192193776E-2</v>
      </c>
      <c r="E160">
        <v>2418</v>
      </c>
      <c r="F160">
        <v>-1.4733074568195699E-2</v>
      </c>
      <c r="G160">
        <v>658</v>
      </c>
      <c r="H160">
        <v>-1.4577728231396799E-2</v>
      </c>
      <c r="I160">
        <v>1866</v>
      </c>
      <c r="J160">
        <v>-1.4741024526814899E-2</v>
      </c>
      <c r="K160">
        <v>2418</v>
      </c>
      <c r="L160">
        <v>-1.4741024526814899E-2</v>
      </c>
      <c r="M160" s="3">
        <f>(FEM[[#This Row],[disp_t3]]--0.0145666666666666)/-0.0145666666666666</f>
        <v>-6.6676026129679877E-2</v>
      </c>
      <c r="N160" s="3">
        <f>(FEM[[#This Row],[disp_t6]]--0.0145666666666666)/-0.0145666666666666</f>
        <v>1.14238834001671E-2</v>
      </c>
      <c r="O160" s="3">
        <f>(FEM[[#This Row],[disp_q4]]--0.0145666666666666)/-0.0145666666666666</f>
        <v>7.5937515310296549E-4</v>
      </c>
      <c r="P160" s="3">
        <f>(FEM[[#This Row],[disp_q8]]--0.0145666666666666)/-0.0145666666666666</f>
        <v>1.1969647149768919E-2</v>
      </c>
      <c r="Q160" s="3">
        <f>(FEM[[#This Row],[disp_q9]]--0.0145666666666666)/-0.0145666666666666</f>
        <v>1.1969647149768919E-2</v>
      </c>
    </row>
    <row r="161" spans="1:17" x14ac:dyDescent="0.3">
      <c r="A161">
        <v>38</v>
      </c>
      <c r="B161">
        <v>6</v>
      </c>
      <c r="C161">
        <v>546</v>
      </c>
      <c r="D161">
        <v>-1.34460191672273E-2</v>
      </c>
      <c r="E161">
        <v>2002</v>
      </c>
      <c r="F161">
        <v>-1.4729540281595401E-2</v>
      </c>
      <c r="G161">
        <v>546</v>
      </c>
      <c r="H161">
        <v>-1.45173165253087E-2</v>
      </c>
      <c r="I161">
        <v>1546</v>
      </c>
      <c r="J161">
        <v>-1.47383074727888E-2</v>
      </c>
      <c r="K161">
        <v>2002</v>
      </c>
      <c r="L161">
        <v>-1.47383074727888E-2</v>
      </c>
      <c r="M161" s="3">
        <f>(FEM[[#This Row],[disp_t3]]--0.0145666666666666)/-0.0145666666666666</f>
        <v>-7.6932322615970578E-2</v>
      </c>
      <c r="N161" s="3">
        <f>(FEM[[#This Row],[disp_t6]]--0.0145666666666666)/-0.0145666666666666</f>
        <v>1.1181255029437223E-2</v>
      </c>
      <c r="O161" s="3">
        <f>(FEM[[#This Row],[disp_q4]]--0.0145666666666666)/-0.0145666666666666</f>
        <v>-3.3878815577505486E-3</v>
      </c>
      <c r="P161" s="3">
        <f>(FEM[[#This Row],[disp_q8]]--0.0145666666666666)/-0.0145666666666666</f>
        <v>1.1783121701752977E-2</v>
      </c>
      <c r="Q161" s="3">
        <f>(FEM[[#This Row],[disp_q9]]--0.0145666666666666)/-0.0145666666666666</f>
        <v>1.1783121701752977E-2</v>
      </c>
    </row>
    <row r="162" spans="1:17" x14ac:dyDescent="0.3">
      <c r="A162">
        <v>32</v>
      </c>
      <c r="B162">
        <v>6</v>
      </c>
      <c r="C162">
        <v>462</v>
      </c>
      <c r="D162">
        <v>-1.32586366175806E-2</v>
      </c>
      <c r="E162">
        <v>1690</v>
      </c>
      <c r="F162">
        <v>-1.47258447550992E-2</v>
      </c>
      <c r="G162">
        <v>462</v>
      </c>
      <c r="H162">
        <v>-1.4440857969094299E-2</v>
      </c>
      <c r="I162">
        <v>1306</v>
      </c>
      <c r="J162">
        <v>-1.47352859071108E-2</v>
      </c>
      <c r="K162">
        <v>1690</v>
      </c>
      <c r="L162">
        <v>-1.47352859071108E-2</v>
      </c>
      <c r="M162" s="3">
        <f>(FEM[[#This Row],[disp_t3]]--0.0145666666666666)/-0.0145666666666666</f>
        <v>-8.979611320956557E-2</v>
      </c>
      <c r="N162" s="3">
        <f>(FEM[[#This Row],[disp_t6]]--0.0145666666666666)/-0.0145666666666666</f>
        <v>1.0927557558302173E-2</v>
      </c>
      <c r="O162" s="3">
        <f>(FEM[[#This Row],[disp_q4]]--0.0145666666666666)/-0.0145666666666666</f>
        <v>-8.6367526937506187E-3</v>
      </c>
      <c r="P162" s="3">
        <f>(FEM[[#This Row],[disp_q8]]--0.0145666666666666)/-0.0145666666666666</f>
        <v>1.1575691563675184E-2</v>
      </c>
      <c r="Q162" s="3">
        <f>(FEM[[#This Row],[disp_q9]]--0.0145666666666666)/-0.0145666666666666</f>
        <v>1.1575691563675184E-2</v>
      </c>
    </row>
    <row r="163" spans="1:17" x14ac:dyDescent="0.3">
      <c r="A163">
        <v>26</v>
      </c>
      <c r="B163">
        <v>6</v>
      </c>
      <c r="C163">
        <v>378</v>
      </c>
      <c r="D163">
        <v>-1.29407383384064E-2</v>
      </c>
      <c r="E163">
        <v>1378</v>
      </c>
      <c r="F163">
        <v>-1.4720709455832899E-2</v>
      </c>
      <c r="G163">
        <v>378</v>
      </c>
      <c r="H163">
        <v>-1.4308852600710501E-2</v>
      </c>
      <c r="I163">
        <v>1066</v>
      </c>
      <c r="J163">
        <v>-1.4730750671685401E-2</v>
      </c>
      <c r="K163">
        <v>1378</v>
      </c>
      <c r="L163">
        <v>-1.4730750671685401E-2</v>
      </c>
      <c r="M163" s="3">
        <f>(FEM[[#This Row],[disp_t3]]--0.0145666666666666)/-0.0145666666666666</f>
        <v>-0.11161979370207367</v>
      </c>
      <c r="N163" s="3">
        <f>(FEM[[#This Row],[disp_t6]]--0.0145666666666666)/-0.0145666666666666</f>
        <v>1.0575019851233464E-2</v>
      </c>
      <c r="O163" s="3">
        <f>(FEM[[#This Row],[disp_q4]]--0.0145666666666666)/-0.0145666666666666</f>
        <v>-1.7698906129709362E-2</v>
      </c>
      <c r="P163" s="3">
        <f>(FEM[[#This Row],[disp_q8]]--0.0145666666666666)/-0.0145666666666666</f>
        <v>1.1264348170627153E-2</v>
      </c>
      <c r="Q163" s="3">
        <f>(FEM[[#This Row],[disp_q9]]--0.0145666666666666)/-0.0145666666666666</f>
        <v>1.1264348170627153E-2</v>
      </c>
    </row>
    <row r="164" spans="1:17" x14ac:dyDescent="0.3">
      <c r="A164">
        <v>22</v>
      </c>
      <c r="B164">
        <v>6</v>
      </c>
      <c r="C164">
        <v>322</v>
      </c>
      <c r="D164">
        <v>-1.2589593424476299E-2</v>
      </c>
      <c r="E164">
        <v>1170</v>
      </c>
      <c r="F164">
        <v>-1.47160611630407E-2</v>
      </c>
      <c r="G164">
        <v>322</v>
      </c>
      <c r="H164">
        <v>-1.4159053250086101E-2</v>
      </c>
      <c r="I164">
        <v>906</v>
      </c>
      <c r="J164">
        <v>-1.4726419290175799E-2</v>
      </c>
      <c r="K164">
        <v>1170</v>
      </c>
      <c r="L164">
        <v>-1.4726419290175799E-2</v>
      </c>
      <c r="M164" s="3">
        <f>(FEM[[#This Row],[disp_t3]]--0.0145666666666666)/-0.0145666666666666</f>
        <v>-0.13572585186661162</v>
      </c>
      <c r="N164" s="3">
        <f>(FEM[[#This Row],[disp_t6]]--0.0145666666666666)/-0.0145666666666666</f>
        <v>1.0255915082890237E-2</v>
      </c>
      <c r="O164" s="3">
        <f>(FEM[[#This Row],[disp_q4]]--0.0145666666666666)/-0.0145666666666666</f>
        <v>-2.7982614410560675E-2</v>
      </c>
      <c r="P164" s="3">
        <f>(FEM[[#This Row],[disp_q8]]--0.0145666666666666)/-0.0145666666666666</f>
        <v>1.096699932557442E-2</v>
      </c>
      <c r="Q164" s="3">
        <f>(FEM[[#This Row],[disp_q9]]--0.0145666666666666)/-0.0145666666666666</f>
        <v>1.096699932557442E-2</v>
      </c>
    </row>
    <row r="165" spans="1:17" x14ac:dyDescent="0.3">
      <c r="A165">
        <v>18</v>
      </c>
      <c r="B165">
        <v>6</v>
      </c>
      <c r="C165">
        <v>266</v>
      </c>
      <c r="D165">
        <v>-1.20240240503069E-2</v>
      </c>
      <c r="E165">
        <v>962</v>
      </c>
      <c r="F165">
        <v>-1.47099068116055E-2</v>
      </c>
      <c r="G165">
        <v>266</v>
      </c>
      <c r="H165">
        <v>-1.39076292728272E-2</v>
      </c>
      <c r="I165">
        <v>746</v>
      </c>
      <c r="J165">
        <v>-1.4720546340680299E-2</v>
      </c>
      <c r="K165">
        <v>962</v>
      </c>
      <c r="L165">
        <v>-1.4720546340680299E-2</v>
      </c>
      <c r="M165" s="3">
        <f>(FEM[[#This Row],[disp_t3]]--0.0145666666666666)/-0.0145666666666666</f>
        <v>-0.17455212469288631</v>
      </c>
      <c r="N165" s="3">
        <f>(FEM[[#This Row],[disp_t6]]--0.0145666666666666)/-0.0145666666666666</f>
        <v>9.8334195610229637E-3</v>
      </c>
      <c r="O165" s="3">
        <f>(FEM[[#This Row],[disp_q4]]--0.0145666666666666)/-0.0145666666666666</f>
        <v>-4.5242841682338865E-2</v>
      </c>
      <c r="P165" s="3">
        <f>(FEM[[#This Row],[disp_q8]]--0.0145666666666666)/-0.0145666666666666</f>
        <v>1.056382201467052E-2</v>
      </c>
      <c r="Q165" s="3">
        <f>(FEM[[#This Row],[disp_q9]]--0.0145666666666666)/-0.0145666666666666</f>
        <v>1.056382201467052E-2</v>
      </c>
    </row>
    <row r="166" spans="1:17" x14ac:dyDescent="0.3">
      <c r="A166">
        <v>15</v>
      </c>
      <c r="B166">
        <v>6</v>
      </c>
      <c r="C166">
        <v>224</v>
      </c>
      <c r="D166">
        <v>-1.1347448141954901E-2</v>
      </c>
      <c r="E166">
        <v>806</v>
      </c>
      <c r="F166">
        <v>-1.4703792610678499E-2</v>
      </c>
      <c r="G166">
        <v>224</v>
      </c>
      <c r="H166">
        <v>-1.3588197692751E-2</v>
      </c>
      <c r="I166">
        <v>626</v>
      </c>
      <c r="J166">
        <v>-1.4714702941749201E-2</v>
      </c>
      <c r="K166">
        <v>806</v>
      </c>
      <c r="L166">
        <v>-1.4714702941749201E-2</v>
      </c>
      <c r="M166" s="3">
        <f>(FEM[[#This Row],[disp_t3]]--0.0145666666666666)/-0.0145666666666666</f>
        <v>-0.22099898338982016</v>
      </c>
      <c r="N166" s="3">
        <f>(FEM[[#This Row],[disp_t6]]--0.0145666666666666)/-0.0145666666666666</f>
        <v>9.4136803669497005E-3</v>
      </c>
      <c r="O166" s="3">
        <f>(FEM[[#This Row],[disp_q4]]--0.0145666666666666)/-0.0145666666666666</f>
        <v>-6.7171783106334329E-2</v>
      </c>
      <c r="P166" s="3">
        <f>(FEM[[#This Row],[disp_q8]]--0.0145666666666666)/-0.0145666666666666</f>
        <v>1.0162673346631729E-2</v>
      </c>
      <c r="Q166" s="3">
        <f>(FEM[[#This Row],[disp_q9]]--0.0145666666666666)/-0.0145666666666666</f>
        <v>1.0162673346631729E-2</v>
      </c>
    </row>
    <row r="167" spans="1:17" x14ac:dyDescent="0.3">
      <c r="A167">
        <v>12</v>
      </c>
      <c r="B167">
        <v>6</v>
      </c>
      <c r="C167">
        <v>182</v>
      </c>
      <c r="D167">
        <v>-1.02853453877616E-2</v>
      </c>
      <c r="E167">
        <v>650</v>
      </c>
      <c r="F167">
        <v>-1.46955470845921E-2</v>
      </c>
      <c r="G167">
        <v>182</v>
      </c>
      <c r="H167">
        <v>-1.30391447820466E-2</v>
      </c>
      <c r="I167">
        <v>506</v>
      </c>
      <c r="J167">
        <v>-1.47069749873936E-2</v>
      </c>
      <c r="K167">
        <v>650</v>
      </c>
      <c r="L167">
        <v>-1.47069749873936E-2</v>
      </c>
      <c r="M167" s="3">
        <f>(FEM[[#This Row],[disp_t3]]--0.0145666666666666)/-0.0145666666666666</f>
        <v>-0.29391221594313632</v>
      </c>
      <c r="N167" s="3">
        <f>(FEM[[#This Row],[disp_t6]]--0.0145666666666666)/-0.0145666666666666</f>
        <v>8.8476259445424525E-3</v>
      </c>
      <c r="O167" s="3">
        <f>(FEM[[#This Row],[disp_q4]]--0.0145666666666666)/-0.0145666666666666</f>
        <v>-0.10486420260549242</v>
      </c>
      <c r="P167" s="3">
        <f>(FEM[[#This Row],[disp_q8]]--0.0145666666666666)/-0.0145666666666666</f>
        <v>9.6321501643250526E-3</v>
      </c>
      <c r="Q167" s="3">
        <f>(FEM[[#This Row],[disp_q9]]--0.0145666666666666)/-0.0145666666666666</f>
        <v>9.6321501643250526E-3</v>
      </c>
    </row>
    <row r="168" spans="1:17" x14ac:dyDescent="0.3">
      <c r="A168">
        <v>10</v>
      </c>
      <c r="B168">
        <v>6</v>
      </c>
      <c r="C168">
        <v>154</v>
      </c>
      <c r="D168">
        <v>-9.2328250855645295E-3</v>
      </c>
      <c r="E168">
        <v>546</v>
      </c>
      <c r="F168">
        <v>-1.4687928575483501E-2</v>
      </c>
      <c r="G168">
        <v>154</v>
      </c>
      <c r="H168">
        <v>-1.24271145142899E-2</v>
      </c>
      <c r="I168">
        <v>426</v>
      </c>
      <c r="J168">
        <v>-1.47001199398721E-2</v>
      </c>
      <c r="K168">
        <v>546</v>
      </c>
      <c r="L168">
        <v>-1.47001199398721E-2</v>
      </c>
      <c r="M168" s="3">
        <f>(FEM[[#This Row],[disp_t3]]--0.0145666666666666)/-0.0145666666666666</f>
        <v>-0.36616761426330169</v>
      </c>
      <c r="N168" s="3">
        <f>(FEM[[#This Row],[disp_t6]]--0.0145666666666666)/-0.0145666666666666</f>
        <v>8.3246161659200277E-3</v>
      </c>
      <c r="O168" s="3">
        <f>(FEM[[#This Row],[disp_q4]]--0.0145666666666666)/-0.0145666666666666</f>
        <v>-0.14688001046064364</v>
      </c>
      <c r="P168" s="3">
        <f>(FEM[[#This Row],[disp_q8]]--0.0145666666666666)/-0.0145666666666666</f>
        <v>9.1615519363044094E-3</v>
      </c>
      <c r="Q168" s="3">
        <f>(FEM[[#This Row],[disp_q9]]--0.0145666666666666)/-0.0145666666666666</f>
        <v>9.1615519363044094E-3</v>
      </c>
    </row>
    <row r="169" spans="1:17" x14ac:dyDescent="0.3">
      <c r="A169">
        <v>8</v>
      </c>
      <c r="B169">
        <v>6</v>
      </c>
      <c r="C169">
        <v>126</v>
      </c>
      <c r="D169">
        <v>-7.7750836146898801E-3</v>
      </c>
      <c r="E169">
        <v>442</v>
      </c>
      <c r="F169">
        <v>-1.46766772231513E-2</v>
      </c>
      <c r="G169">
        <v>126</v>
      </c>
      <c r="H169">
        <v>-1.14403748215368E-2</v>
      </c>
      <c r="I169">
        <v>346</v>
      </c>
      <c r="J169">
        <v>-1.4690684921592E-2</v>
      </c>
      <c r="K169">
        <v>442</v>
      </c>
      <c r="L169">
        <v>-1.4690684921592E-2</v>
      </c>
      <c r="M169" s="3">
        <f>(FEM[[#This Row],[disp_t3]]--0.0145666666666666)/-0.0145666666666666</f>
        <v>-0.46624139944920484</v>
      </c>
      <c r="N169" s="3">
        <f>(FEM[[#This Row],[disp_t6]]--0.0145666666666666)/-0.0145666666666666</f>
        <v>7.5522121156545658E-3</v>
      </c>
      <c r="O169" s="3">
        <f>(FEM[[#This Row],[disp_q4]]--0.0145666666666666)/-0.0145666666666666</f>
        <v>-0.21461957746886592</v>
      </c>
      <c r="P169" s="3">
        <f>(FEM[[#This Row],[disp_q8]]--0.0145666666666666)/-0.0145666666666666</f>
        <v>8.5138390108970841E-3</v>
      </c>
      <c r="Q169" s="3">
        <f>(FEM[[#This Row],[disp_q9]]--0.0145666666666666)/-0.0145666666666666</f>
        <v>8.5138390108970841E-3</v>
      </c>
    </row>
    <row r="170" spans="1:17" x14ac:dyDescent="0.3">
      <c r="A170">
        <v>7</v>
      </c>
      <c r="B170">
        <v>6</v>
      </c>
      <c r="C170">
        <v>112</v>
      </c>
      <c r="D170">
        <v>-6.85914646056147E-3</v>
      </c>
      <c r="E170">
        <v>390</v>
      </c>
      <c r="F170">
        <v>-1.46681405991957E-2</v>
      </c>
      <c r="G170">
        <v>112</v>
      </c>
      <c r="H170">
        <v>-1.07174864004654E-2</v>
      </c>
      <c r="I170">
        <v>306</v>
      </c>
      <c r="J170">
        <v>-1.46840977416287E-2</v>
      </c>
      <c r="K170">
        <v>390</v>
      </c>
      <c r="L170">
        <v>-1.46840977416287E-2</v>
      </c>
      <c r="M170" s="3">
        <f>(FEM[[#This Row],[disp_t3]]--0.0145666666666666)/-0.0145666666666666</f>
        <v>-0.52912038028181907</v>
      </c>
      <c r="N170" s="3">
        <f>(FEM[[#This Row],[disp_t6]]--0.0145666666666666)/-0.0145666666666666</f>
        <v>6.9661738578330051E-3</v>
      </c>
      <c r="O170" s="3">
        <f>(FEM[[#This Row],[disp_q4]]--0.0145666666666666)/-0.0145666666666666</f>
        <v>-0.26424578486507211</v>
      </c>
      <c r="P170" s="3">
        <f>(FEM[[#This Row],[disp_q8]]--0.0145666666666666)/-0.0145666666666666</f>
        <v>8.0616298600984498E-3</v>
      </c>
      <c r="Q170" s="3">
        <f>(FEM[[#This Row],[disp_q9]]--0.0145666666666666)/-0.0145666666666666</f>
        <v>8.0616298600984498E-3</v>
      </c>
    </row>
    <row r="171" spans="1:17" x14ac:dyDescent="0.3">
      <c r="A171">
        <v>6</v>
      </c>
      <c r="B171">
        <v>6</v>
      </c>
      <c r="C171">
        <v>98</v>
      </c>
      <c r="D171">
        <v>-5.8108805005882896E-3</v>
      </c>
      <c r="E171">
        <v>338</v>
      </c>
      <c r="F171">
        <v>-1.46553181088148E-2</v>
      </c>
      <c r="G171">
        <v>98</v>
      </c>
      <c r="H171">
        <v>-9.7671576798268999E-3</v>
      </c>
      <c r="I171">
        <v>266</v>
      </c>
      <c r="J171">
        <v>-1.4674941830591001E-2</v>
      </c>
      <c r="K171">
        <v>338</v>
      </c>
      <c r="L171">
        <v>-1.4674941830591001E-2</v>
      </c>
      <c r="M171" s="3">
        <f>(FEM[[#This Row],[disp_t3]]--0.0145666666666666)/-0.0145666666666666</f>
        <v>-0.60108371849508124</v>
      </c>
      <c r="N171" s="3">
        <f>(FEM[[#This Row],[disp_t6]]--0.0145666666666666)/-0.0145666666666666</f>
        <v>6.0859113602883819E-3</v>
      </c>
      <c r="O171" s="3">
        <f>(FEM[[#This Row],[disp_q4]]--0.0145666666666666)/-0.0145666666666666</f>
        <v>-0.32948574280364223</v>
      </c>
      <c r="P171" s="3">
        <f>(FEM[[#This Row],[disp_q8]]--0.0145666666666666)/-0.0145666666666666</f>
        <v>7.4330776149475076E-3</v>
      </c>
      <c r="Q171" s="3">
        <f>(FEM[[#This Row],[disp_q9]]--0.0145666666666666)/-0.0145666666666666</f>
        <v>7.4330776149475076E-3</v>
      </c>
    </row>
    <row r="172" spans="1:17" x14ac:dyDescent="0.3">
      <c r="A172">
        <v>5</v>
      </c>
      <c r="B172">
        <v>6</v>
      </c>
      <c r="C172">
        <v>84</v>
      </c>
      <c r="D172">
        <v>-4.6449682593966302E-3</v>
      </c>
      <c r="E172">
        <v>286</v>
      </c>
      <c r="F172">
        <v>-1.4633146425250701E-2</v>
      </c>
      <c r="G172">
        <v>84</v>
      </c>
      <c r="H172">
        <v>-8.5154977543750593E-3</v>
      </c>
      <c r="I172">
        <v>226</v>
      </c>
      <c r="J172">
        <v>-1.46603337801292E-2</v>
      </c>
      <c r="K172">
        <v>286</v>
      </c>
      <c r="L172">
        <v>-1.46603337801292E-2</v>
      </c>
      <c r="M172" s="3">
        <f>(FEM[[#This Row],[disp_t3]]--0.0145666666666666)/-0.0145666666666666</f>
        <v>-0.68112346045331906</v>
      </c>
      <c r="N172" s="3">
        <f>(FEM[[#This Row],[disp_t6]]--0.0145666666666666)/-0.0145666666666666</f>
        <v>4.5638278204188729E-3</v>
      </c>
      <c r="O172" s="3">
        <f>(FEM[[#This Row],[disp_q4]]--0.0145666666666666)/-0.0145666666666666</f>
        <v>-0.41541205347539367</v>
      </c>
      <c r="P172" s="3">
        <f>(FEM[[#This Row],[disp_q8]]--0.0145666666666666)/-0.0145666666666666</f>
        <v>6.4302366221465398E-3</v>
      </c>
      <c r="Q172" s="3">
        <f>(FEM[[#This Row],[disp_q9]]--0.0145666666666666)/-0.0145666666666666</f>
        <v>6.4302366221465398E-3</v>
      </c>
    </row>
    <row r="173" spans="1:17" x14ac:dyDescent="0.3">
      <c r="A173">
        <v>4</v>
      </c>
      <c r="B173">
        <v>6</v>
      </c>
      <c r="C173">
        <v>70</v>
      </c>
      <c r="D173">
        <v>-3.4075489799159598E-3</v>
      </c>
      <c r="E173">
        <v>234</v>
      </c>
      <c r="F173">
        <v>-1.45871010125032E-2</v>
      </c>
      <c r="G173">
        <v>70</v>
      </c>
      <c r="H173">
        <v>-6.89064464809498E-3</v>
      </c>
      <c r="I173">
        <v>186</v>
      </c>
      <c r="J173">
        <v>-1.46314755250891E-2</v>
      </c>
      <c r="K173">
        <v>234</v>
      </c>
      <c r="L173">
        <v>-1.46314755250891E-2</v>
      </c>
      <c r="M173" s="3">
        <f>(FEM[[#This Row],[disp_t3]]--0.0145666666666666)/-0.0145666666666666</f>
        <v>-0.76607215240851423</v>
      </c>
      <c r="N173" s="3">
        <f>(FEM[[#This Row],[disp_t6]]--0.0145666666666666)/-0.0145666666666666</f>
        <v>1.4028155036567849E-3</v>
      </c>
      <c r="O173" s="3">
        <f>(FEM[[#This Row],[disp_q4]]--0.0145666666666666)/-0.0145666666666666</f>
        <v>-0.52695803331155522</v>
      </c>
      <c r="P173" s="3">
        <f>(FEM[[#This Row],[disp_q8]]--0.0145666666666666)/-0.0145666666666666</f>
        <v>4.4491207155035227E-3</v>
      </c>
      <c r="Q173" s="3">
        <f>(FEM[[#This Row],[disp_q9]]--0.0145666666666666)/-0.0145666666666666</f>
        <v>4.4491207155035227E-3</v>
      </c>
    </row>
    <row r="174" spans="1:17" x14ac:dyDescent="0.3">
      <c r="A174">
        <v>3</v>
      </c>
      <c r="B174">
        <v>6</v>
      </c>
      <c r="C174">
        <v>56</v>
      </c>
      <c r="D174">
        <v>-2.1896190978938201E-3</v>
      </c>
      <c r="E174">
        <v>182</v>
      </c>
      <c r="F174">
        <v>-1.4467148004666299E-2</v>
      </c>
      <c r="G174">
        <v>56</v>
      </c>
      <c r="H174">
        <v>-4.8798037524896802E-3</v>
      </c>
      <c r="I174">
        <v>146</v>
      </c>
      <c r="J174">
        <v>-1.45543297571423E-2</v>
      </c>
      <c r="K174">
        <v>182</v>
      </c>
      <c r="L174">
        <v>-1.45543297571423E-2</v>
      </c>
      <c r="M174" s="3">
        <f>(FEM[[#This Row],[disp_t3]]--0.0145666666666666)/-0.0145666666666666</f>
        <v>-0.8496828994580895</v>
      </c>
      <c r="N174" s="3">
        <f>(FEM[[#This Row],[disp_t6]]--0.0145666666666666)/-0.0145666666666666</f>
        <v>-6.83194475974602E-3</v>
      </c>
      <c r="O174" s="3">
        <f>(FEM[[#This Row],[disp_q4]]--0.0145666666666666)/-0.0145666666666666</f>
        <v>-0.66500203072153075</v>
      </c>
      <c r="P174" s="3">
        <f>(FEM[[#This Row],[disp_q8]]--0.0145666666666666)/-0.0145666666666666</f>
        <v>-8.4692742729745721E-4</v>
      </c>
      <c r="Q174" s="3">
        <f>(FEM[[#This Row],[disp_q9]]--0.0145666666666666)/-0.0145666666666666</f>
        <v>-8.4692742729745721E-4</v>
      </c>
    </row>
    <row r="175" spans="1:17" x14ac:dyDescent="0.3">
      <c r="A175">
        <v>2</v>
      </c>
      <c r="B175">
        <v>6</v>
      </c>
      <c r="C175">
        <v>42</v>
      </c>
      <c r="D175">
        <v>-1.1306316003344701E-3</v>
      </c>
      <c r="E175">
        <v>130</v>
      </c>
      <c r="F175">
        <v>-1.4045761558199201E-2</v>
      </c>
      <c r="G175">
        <v>42</v>
      </c>
      <c r="H175">
        <v>-2.6619108959820802E-3</v>
      </c>
      <c r="I175">
        <v>106</v>
      </c>
      <c r="J175">
        <v>-1.42432946252719E-2</v>
      </c>
      <c r="K175">
        <v>130</v>
      </c>
      <c r="L175">
        <v>-1.42432946252719E-2</v>
      </c>
      <c r="M175" s="3">
        <f>(FEM[[#This Row],[disp_t3]]--0.0145666666666666)/-0.0145666666666666</f>
        <v>-0.92238226999992168</v>
      </c>
      <c r="N175" s="3">
        <f>(FEM[[#This Row],[disp_t6]]--0.0145666666666666)/-0.0145666666666666</f>
        <v>-3.5760076096160248E-2</v>
      </c>
      <c r="O175" s="3">
        <f>(FEM[[#This Row],[disp_q4]]--0.0145666666666666)/-0.0145666666666666</f>
        <v>-0.81726012155729344</v>
      </c>
      <c r="P175" s="3">
        <f>(FEM[[#This Row],[disp_q8]]--0.0145666666666666)/-0.0145666666666666</f>
        <v>-2.2199453642656786E-2</v>
      </c>
      <c r="Q175" s="3">
        <f>(FEM[[#This Row],[disp_q9]]--0.0145666666666666)/-0.0145666666666666</f>
        <v>-2.2199453642656786E-2</v>
      </c>
    </row>
    <row r="176" spans="1:17" x14ac:dyDescent="0.3">
      <c r="A176">
        <v>1</v>
      </c>
      <c r="B176">
        <v>6</v>
      </c>
      <c r="C176">
        <v>28</v>
      </c>
      <c r="D176">
        <v>-3.9759296281015999E-4</v>
      </c>
      <c r="E176">
        <v>78</v>
      </c>
      <c r="F176">
        <v>-1.14172469909421E-2</v>
      </c>
      <c r="G176">
        <v>28</v>
      </c>
      <c r="H176">
        <v>-7.7125843940343804E-4</v>
      </c>
      <c r="I176">
        <v>66</v>
      </c>
      <c r="J176">
        <v>-1.18426463037422E-2</v>
      </c>
      <c r="K176">
        <v>78</v>
      </c>
      <c r="L176">
        <v>-1.18426463037422E-2</v>
      </c>
      <c r="M176" s="3">
        <f>(FEM[[#This Row],[disp_t3]]--0.0145666666666666)/-0.0145666666666666</f>
        <v>-0.97270528859426808</v>
      </c>
      <c r="N176" s="3">
        <f>(FEM[[#This Row],[disp_t6]]--0.0145666666666666)/-0.0145666666666666</f>
        <v>-0.21620730039298725</v>
      </c>
      <c r="O176" s="3">
        <f>(FEM[[#This Row],[disp_q4]]--0.0145666666666666)/-0.0145666666666666</f>
        <v>-0.94705319637962648</v>
      </c>
      <c r="P176" s="3">
        <f>(FEM[[#This Row],[disp_q8]]--0.0145666666666666)/-0.0145666666666666</f>
        <v>-0.18700368624195049</v>
      </c>
      <c r="Q176" s="3">
        <f>(FEM[[#This Row],[disp_q9]]--0.0145666666666666)/-0.0145666666666666</f>
        <v>-0.18700368624195049</v>
      </c>
    </row>
    <row r="177" spans="1:17" x14ac:dyDescent="0.3">
      <c r="A177">
        <v>200</v>
      </c>
      <c r="B177">
        <v>5</v>
      </c>
      <c r="C177">
        <v>2412</v>
      </c>
      <c r="D177">
        <v>-1.35967511423575E-2</v>
      </c>
      <c r="E177">
        <v>8822</v>
      </c>
      <c r="F177">
        <v>-1.47397008136888E-2</v>
      </c>
      <c r="G177">
        <v>2412</v>
      </c>
      <c r="H177">
        <v>-1.46972788841809E-2</v>
      </c>
      <c r="I177">
        <v>6822</v>
      </c>
      <c r="J177">
        <v>-1.47490641288411E-2</v>
      </c>
      <c r="K177">
        <v>8822</v>
      </c>
      <c r="L177">
        <v>-1.47490641288411E-2</v>
      </c>
      <c r="M177" s="3">
        <f>(FEM[[#This Row],[disp_t3]]--0.0145666666666666)/-0.0145666666666666</f>
        <v>-6.658458976950371E-2</v>
      </c>
      <c r="N177" s="3">
        <f>(FEM[[#This Row],[disp_t6]]--0.0145666666666666)/-0.0145666666666666</f>
        <v>1.1878774395116807E-2</v>
      </c>
      <c r="O177" s="3">
        <f>(FEM[[#This Row],[disp_q4]]--0.0145666666666666)/-0.0145666666666666</f>
        <v>8.9665137881671172E-3</v>
      </c>
      <c r="P177" s="3">
        <f>(FEM[[#This Row],[disp_q8]]--0.0145666666666666)/-0.0145666666666666</f>
        <v>1.2521564909004693E-2</v>
      </c>
      <c r="Q177" s="3">
        <f>(FEM[[#This Row],[disp_q9]]--0.0145666666666666)/-0.0145666666666666</f>
        <v>1.2521564909004693E-2</v>
      </c>
    </row>
    <row r="178" spans="1:17" x14ac:dyDescent="0.3">
      <c r="A178">
        <v>166</v>
      </c>
      <c r="B178">
        <v>5</v>
      </c>
      <c r="C178">
        <v>2004</v>
      </c>
      <c r="D178">
        <v>-1.35888337612624E-2</v>
      </c>
      <c r="E178">
        <v>7326</v>
      </c>
      <c r="F178">
        <v>-1.4739230558733E-2</v>
      </c>
      <c r="G178">
        <v>2004</v>
      </c>
      <c r="H178">
        <v>-1.4694025952407101E-2</v>
      </c>
      <c r="I178">
        <v>5666</v>
      </c>
      <c r="J178">
        <v>-1.47482240138441E-2</v>
      </c>
      <c r="K178">
        <v>7326</v>
      </c>
      <c r="L178">
        <v>-1.47482240138441E-2</v>
      </c>
      <c r="M178" s="3">
        <f>(FEM[[#This Row],[disp_t3]]--0.0145666666666666)/-0.0145666666666666</f>
        <v>-6.7128117075803462E-2</v>
      </c>
      <c r="N178" s="3">
        <f>(FEM[[#This Row],[disp_t6]]--0.0145666666666666)/-0.0145666666666666</f>
        <v>1.1846491446206038E-2</v>
      </c>
      <c r="O178" s="3">
        <f>(FEM[[#This Row],[disp_q4]]--0.0145666666666666)/-0.0145666666666666</f>
        <v>8.7432003940847922E-3</v>
      </c>
      <c r="P178" s="3">
        <f>(FEM[[#This Row],[disp_q8]]--0.0145666666666666)/-0.0145666666666666</f>
        <v>1.2463891110583642E-2</v>
      </c>
      <c r="Q178" s="3">
        <f>(FEM[[#This Row],[disp_q9]]--0.0145666666666666)/-0.0145666666666666</f>
        <v>1.2463891110583642E-2</v>
      </c>
    </row>
    <row r="179" spans="1:17" x14ac:dyDescent="0.3">
      <c r="A179">
        <v>138</v>
      </c>
      <c r="B179">
        <v>5</v>
      </c>
      <c r="C179">
        <v>1668</v>
      </c>
      <c r="D179">
        <v>-1.3577512077928599E-2</v>
      </c>
      <c r="E179">
        <v>6094</v>
      </c>
      <c r="F179">
        <v>-1.4738609967224999E-2</v>
      </c>
      <c r="G179">
        <v>1668</v>
      </c>
      <c r="H179">
        <v>-1.46893626351442E-2</v>
      </c>
      <c r="I179">
        <v>4714</v>
      </c>
      <c r="J179">
        <v>-1.47471515234982E-2</v>
      </c>
      <c r="K179">
        <v>6094</v>
      </c>
      <c r="L179">
        <v>-1.47471515234982E-2</v>
      </c>
      <c r="M179" s="3">
        <f>(FEM[[#This Row],[disp_t3]]--0.0145666666666666)/-0.0145666666666666</f>
        <v>-6.7905349341281784E-2</v>
      </c>
      <c r="N179" s="3">
        <f>(FEM[[#This Row],[disp_t6]]--0.0145666666666666)/-0.0145666666666666</f>
        <v>1.1803887910187707E-2</v>
      </c>
      <c r="O179" s="3">
        <f>(FEM[[#This Row],[disp_q4]]--0.0145666666666666)/-0.0145666666666666</f>
        <v>8.4230641975470179E-3</v>
      </c>
      <c r="P179" s="3">
        <f>(FEM[[#This Row],[disp_q8]]--0.0145666666666666)/-0.0145666666666666</f>
        <v>1.2390264771048133E-2</v>
      </c>
      <c r="Q179" s="3">
        <f>(FEM[[#This Row],[disp_q9]]--0.0145666666666666)/-0.0145666666666666</f>
        <v>1.2390264771048133E-2</v>
      </c>
    </row>
    <row r="180" spans="1:17" x14ac:dyDescent="0.3">
      <c r="A180">
        <v>115</v>
      </c>
      <c r="B180">
        <v>5</v>
      </c>
      <c r="C180">
        <v>1392</v>
      </c>
      <c r="D180">
        <v>-1.3561466132719699E-2</v>
      </c>
      <c r="E180">
        <v>5082</v>
      </c>
      <c r="F180">
        <v>-1.4737806690440501E-2</v>
      </c>
      <c r="G180">
        <v>1392</v>
      </c>
      <c r="H180">
        <v>-1.46827401691218E-2</v>
      </c>
      <c r="I180">
        <v>3932</v>
      </c>
      <c r="J180">
        <v>-1.47458429886216E-2</v>
      </c>
      <c r="K180">
        <v>5082</v>
      </c>
      <c r="L180">
        <v>-1.47458429886216E-2</v>
      </c>
      <c r="M180" s="3">
        <f>(FEM[[#This Row],[disp_t3]]--0.0145666666666666)/-0.0145666666666666</f>
        <v>-6.9006901643952276E-2</v>
      </c>
      <c r="N180" s="3">
        <f>(FEM[[#This Row],[disp_t6]]--0.0145666666666666)/-0.0145666666666666</f>
        <v>1.174874305083997E-2</v>
      </c>
      <c r="O180" s="3">
        <f>(FEM[[#This Row],[disp_q4]]--0.0145666666666666)/-0.0145666666666666</f>
        <v>7.9684326628284285E-3</v>
      </c>
      <c r="P180" s="3">
        <f>(FEM[[#This Row],[disp_q8]]--0.0145666666666666)/-0.0145666666666666</f>
        <v>1.2300434001487505E-2</v>
      </c>
      <c r="Q180" s="3">
        <f>(FEM[[#This Row],[disp_q9]]--0.0145666666666666)/-0.0145666666666666</f>
        <v>1.2300434001487505E-2</v>
      </c>
    </row>
    <row r="181" spans="1:17" x14ac:dyDescent="0.3">
      <c r="A181">
        <v>96</v>
      </c>
      <c r="B181">
        <v>5</v>
      </c>
      <c r="C181">
        <v>1164</v>
      </c>
      <c r="D181">
        <v>-1.35387524544311E-2</v>
      </c>
      <c r="E181">
        <v>4246</v>
      </c>
      <c r="F181">
        <v>-1.4736782001846501E-2</v>
      </c>
      <c r="G181">
        <v>1164</v>
      </c>
      <c r="H181">
        <v>-1.4673350556491001E-2</v>
      </c>
      <c r="I181">
        <v>3286</v>
      </c>
      <c r="J181">
        <v>-1.4744313259660601E-2</v>
      </c>
      <c r="K181">
        <v>4246</v>
      </c>
      <c r="L181">
        <v>-1.4744313259660601E-2</v>
      </c>
      <c r="M181" s="3">
        <f>(FEM[[#This Row],[disp_t3]]--0.0145666666666666)/-0.0145666666666666</f>
        <v>-7.0566193059645607E-2</v>
      </c>
      <c r="N181" s="3">
        <f>(FEM[[#This Row],[disp_t6]]--0.0145666666666666)/-0.0145666666666666</f>
        <v>1.1678398296103124E-2</v>
      </c>
      <c r="O181" s="3">
        <f>(FEM[[#This Row],[disp_q4]]--0.0145666666666666)/-0.0145666666666666</f>
        <v>7.3238368300504756E-3</v>
      </c>
      <c r="P181" s="3">
        <f>(FEM[[#This Row],[disp_q8]]--0.0145666666666666)/-0.0145666666666666</f>
        <v>1.2195418283341098E-2</v>
      </c>
      <c r="Q181" s="3">
        <f>(FEM[[#This Row],[disp_q9]]--0.0145666666666666)/-0.0145666666666666</f>
        <v>1.2195418283341098E-2</v>
      </c>
    </row>
    <row r="182" spans="1:17" x14ac:dyDescent="0.3">
      <c r="A182">
        <v>80</v>
      </c>
      <c r="B182">
        <v>5</v>
      </c>
      <c r="C182">
        <v>972</v>
      </c>
      <c r="D182">
        <v>-1.35060118494245E-2</v>
      </c>
      <c r="E182">
        <v>3542</v>
      </c>
      <c r="F182">
        <v>-1.47354729551034E-2</v>
      </c>
      <c r="G182">
        <v>972</v>
      </c>
      <c r="H182">
        <v>-1.4659796354555299E-2</v>
      </c>
      <c r="I182">
        <v>2742</v>
      </c>
      <c r="J182">
        <v>-1.47425759632687E-2</v>
      </c>
      <c r="K182">
        <v>3542</v>
      </c>
      <c r="L182">
        <v>-1.47425759632687E-2</v>
      </c>
      <c r="M182" s="3">
        <f>(FEM[[#This Row],[disp_t3]]--0.0145666666666666)/-0.0145666666666666</f>
        <v>-7.2813831847284072E-2</v>
      </c>
      <c r="N182" s="3">
        <f>(FEM[[#This Row],[disp_t6]]--0.0145666666666666)/-0.0145666666666666</f>
        <v>1.1588532386965797E-2</v>
      </c>
      <c r="O182" s="3">
        <f>(FEM[[#This Row],[disp_q4]]--0.0145666666666666)/-0.0145666666666666</f>
        <v>6.3933424179885845E-3</v>
      </c>
      <c r="P182" s="3">
        <f>(FEM[[#This Row],[disp_q8]]--0.0145666666666666)/-0.0145666666666666</f>
        <v>1.2076153084812458E-2</v>
      </c>
      <c r="Q182" s="3">
        <f>(FEM[[#This Row],[disp_q9]]--0.0145666666666666)/-0.0145666666666666</f>
        <v>1.2076153084812458E-2</v>
      </c>
    </row>
    <row r="183" spans="1:17" x14ac:dyDescent="0.3">
      <c r="A183">
        <v>66</v>
      </c>
      <c r="B183">
        <v>5</v>
      </c>
      <c r="C183">
        <v>804</v>
      </c>
      <c r="D183">
        <v>-1.34561895226895E-2</v>
      </c>
      <c r="E183">
        <v>2926</v>
      </c>
      <c r="F183">
        <v>-1.47337459410399E-2</v>
      </c>
      <c r="G183">
        <v>804</v>
      </c>
      <c r="H183">
        <v>-1.46391371290591E-2</v>
      </c>
      <c r="I183">
        <v>2266</v>
      </c>
      <c r="J183">
        <v>-1.4740604985152001E-2</v>
      </c>
      <c r="K183">
        <v>2926</v>
      </c>
      <c r="L183">
        <v>-1.4740604985152001E-2</v>
      </c>
      <c r="M183" s="3">
        <f>(FEM[[#This Row],[disp_t3]]--0.0145666666666666)/-0.0145666666666666</f>
        <v>-7.6234128877146784E-2</v>
      </c>
      <c r="N183" s="3">
        <f>(FEM[[#This Row],[disp_t6]]--0.0145666666666666)/-0.0145666666666666</f>
        <v>1.1469973069105362E-2</v>
      </c>
      <c r="O183" s="3">
        <f>(FEM[[#This Row],[disp_q4]]--0.0145666666666666)/-0.0145666666666666</f>
        <v>4.9750889514302878E-3</v>
      </c>
      <c r="P183" s="3">
        <f>(FEM[[#This Row],[disp_q8]]--0.0145666666666666)/-0.0145666666666666</f>
        <v>1.1940845662613428E-2</v>
      </c>
      <c r="Q183" s="3">
        <f>(FEM[[#This Row],[disp_q9]]--0.0145666666666666)/-0.0145666666666666</f>
        <v>1.1940845662613428E-2</v>
      </c>
    </row>
    <row r="184" spans="1:17" x14ac:dyDescent="0.3">
      <c r="A184">
        <v>55</v>
      </c>
      <c r="B184">
        <v>5</v>
      </c>
      <c r="C184">
        <v>672</v>
      </c>
      <c r="D184">
        <v>-1.3388359934481699E-2</v>
      </c>
      <c r="E184">
        <v>2442</v>
      </c>
      <c r="F184">
        <v>-1.47317370270958E-2</v>
      </c>
      <c r="G184">
        <v>672</v>
      </c>
      <c r="H184">
        <v>-1.46109472557752E-2</v>
      </c>
      <c r="I184">
        <v>1892</v>
      </c>
      <c r="J184">
        <v>-1.47386643391389E-2</v>
      </c>
      <c r="K184">
        <v>2442</v>
      </c>
      <c r="L184">
        <v>-1.47386643391389E-2</v>
      </c>
      <c r="M184" s="3">
        <f>(FEM[[#This Row],[disp_t3]]--0.0145666666666666)/-0.0145666666666666</f>
        <v>-8.0890622346789842E-2</v>
      </c>
      <c r="N184" s="3">
        <f>(FEM[[#This Row],[disp_t6]]--0.0145666666666666)/-0.0145666666666666</f>
        <v>1.1332061356695717E-2</v>
      </c>
      <c r="O184" s="3">
        <f>(FEM[[#This Row],[disp_q4]]--0.0145666666666666)/-0.0145666666666666</f>
        <v>3.0398573758765235E-3</v>
      </c>
      <c r="P184" s="3">
        <f>(FEM[[#This Row],[disp_q8]]--0.0145666666666666)/-0.0145666666666666</f>
        <v>1.1807620535855903E-2</v>
      </c>
      <c r="Q184" s="3">
        <f>(FEM[[#This Row],[disp_q9]]--0.0145666666666666)/-0.0145666666666666</f>
        <v>1.1807620535855903E-2</v>
      </c>
    </row>
    <row r="185" spans="1:17" x14ac:dyDescent="0.3">
      <c r="A185">
        <v>46</v>
      </c>
      <c r="B185">
        <v>5</v>
      </c>
      <c r="C185">
        <v>564</v>
      </c>
      <c r="D185">
        <v>-1.32944399656623E-2</v>
      </c>
      <c r="E185">
        <v>2046</v>
      </c>
      <c r="F185">
        <v>-1.47293712005231E-2</v>
      </c>
      <c r="G185">
        <v>564</v>
      </c>
      <c r="H185">
        <v>-1.45717722874531E-2</v>
      </c>
      <c r="I185">
        <v>1586</v>
      </c>
      <c r="J185">
        <v>-1.47366889221913E-2</v>
      </c>
      <c r="K185">
        <v>2046</v>
      </c>
      <c r="L185">
        <v>-1.47366889221913E-2</v>
      </c>
      <c r="M185" s="3">
        <f>(FEM[[#This Row],[disp_t3]]--0.0145666666666666)/-0.0145666666666666</f>
        <v>-8.7338217460249779E-2</v>
      </c>
      <c r="N185" s="3">
        <f>(FEM[[#This Row],[disp_t6]]--0.0145666666666666)/-0.0145666666666666</f>
        <v>1.1169647633169409E-2</v>
      </c>
      <c r="O185" s="3">
        <f>(FEM[[#This Row],[disp_q4]]--0.0145666666666666)/-0.0145666666666666</f>
        <v>3.5050028282611399E-4</v>
      </c>
      <c r="P185" s="3">
        <f>(FEM[[#This Row],[disp_q8]]--0.0145666666666666)/-0.0145666666666666</f>
        <v>1.1672008388423459E-2</v>
      </c>
      <c r="Q185" s="3">
        <f>(FEM[[#This Row],[disp_q9]]--0.0145666666666666)/-0.0145666666666666</f>
        <v>1.1672008388423459E-2</v>
      </c>
    </row>
    <row r="186" spans="1:17" x14ac:dyDescent="0.3">
      <c r="A186">
        <v>38</v>
      </c>
      <c r="B186">
        <v>5</v>
      </c>
      <c r="C186">
        <v>468</v>
      </c>
      <c r="D186">
        <v>-1.3152029160144799E-2</v>
      </c>
      <c r="E186">
        <v>1694</v>
      </c>
      <c r="F186">
        <v>-1.4726349600940601E-2</v>
      </c>
      <c r="G186">
        <v>468</v>
      </c>
      <c r="H186">
        <v>-1.45119847703919E-2</v>
      </c>
      <c r="I186">
        <v>1314</v>
      </c>
      <c r="J186">
        <v>-1.47343765923608E-2</v>
      </c>
      <c r="K186">
        <v>1694</v>
      </c>
      <c r="L186">
        <v>-1.47343765923608E-2</v>
      </c>
      <c r="M186" s="3">
        <f>(FEM[[#This Row],[disp_t3]]--0.0145666666666666)/-0.0145666666666666</f>
        <v>-9.7114702964883753E-2</v>
      </c>
      <c r="N186" s="3">
        <f>(FEM[[#This Row],[disp_t6]]--0.0145666666666666)/-0.0145666666666666</f>
        <v>1.0962215167551637E-2</v>
      </c>
      <c r="O186" s="3">
        <f>(FEM[[#This Row],[disp_q4]]--0.0145666666666666)/-0.0145666666666666</f>
        <v>-3.7539059227482616E-3</v>
      </c>
      <c r="P186" s="3">
        <f>(FEM[[#This Row],[disp_q8]]--0.0145666666666666)/-0.0145666666666666</f>
        <v>1.1513267210128224E-2</v>
      </c>
      <c r="Q186" s="3">
        <f>(FEM[[#This Row],[disp_q9]]--0.0145666666666666)/-0.0145666666666666</f>
        <v>1.1513267210128224E-2</v>
      </c>
    </row>
    <row r="187" spans="1:17" x14ac:dyDescent="0.3">
      <c r="A187">
        <v>32</v>
      </c>
      <c r="B187">
        <v>5</v>
      </c>
      <c r="C187">
        <v>396</v>
      </c>
      <c r="D187">
        <v>-1.29731263056371E-2</v>
      </c>
      <c r="E187">
        <v>1430</v>
      </c>
      <c r="F187">
        <v>-1.4723144667885E-2</v>
      </c>
      <c r="G187">
        <v>396</v>
      </c>
      <c r="H187">
        <v>-1.44360825136387E-2</v>
      </c>
      <c r="I187">
        <v>1110</v>
      </c>
      <c r="J187">
        <v>-1.4731923915217E-2</v>
      </c>
      <c r="K187">
        <v>1430</v>
      </c>
      <c r="L187">
        <v>-1.4731923915217E-2</v>
      </c>
      <c r="M187" s="3">
        <f>(FEM[[#This Row],[disp_t3]]--0.0145666666666666)/-0.0145666666666666</f>
        <v>-0.10939636345740318</v>
      </c>
      <c r="N187" s="3">
        <f>(FEM[[#This Row],[disp_t6]]--0.0145666666666666)/-0.0145666666666666</f>
        <v>1.0742196879981757E-2</v>
      </c>
      <c r="O187" s="3">
        <f>(FEM[[#This Row],[disp_q4]]--0.0145666666666666)/-0.0145666666666666</f>
        <v>-8.9645871643866965E-3</v>
      </c>
      <c r="P187" s="3">
        <f>(FEM[[#This Row],[disp_q8]]--0.0145666666666666)/-0.0145666666666666</f>
        <v>1.1344891204833073E-2</v>
      </c>
      <c r="Q187" s="3">
        <f>(FEM[[#This Row],[disp_q9]]--0.0145666666666666)/-0.0145666666666666</f>
        <v>1.1344891204833073E-2</v>
      </c>
    </row>
    <row r="188" spans="1:17" x14ac:dyDescent="0.3">
      <c r="A188">
        <v>26</v>
      </c>
      <c r="B188">
        <v>5</v>
      </c>
      <c r="C188">
        <v>324</v>
      </c>
      <c r="D188">
        <v>-1.2669109839549801E-2</v>
      </c>
      <c r="E188">
        <v>1166</v>
      </c>
      <c r="F188">
        <v>-1.4718599740562799E-2</v>
      </c>
      <c r="G188">
        <v>324</v>
      </c>
      <c r="H188">
        <v>-1.43047083589772E-2</v>
      </c>
      <c r="I188">
        <v>906</v>
      </c>
      <c r="J188">
        <v>-1.4728208692042E-2</v>
      </c>
      <c r="K188">
        <v>1166</v>
      </c>
      <c r="L188">
        <v>-1.4728208692042E-2</v>
      </c>
      <c r="M188" s="3">
        <f>(FEM[[#This Row],[disp_t3]]--0.0145666666666666)/-0.0145666666666666</f>
        <v>-0.13026705906980371</v>
      </c>
      <c r="N188" s="3">
        <f>(FEM[[#This Row],[disp_t6]]--0.0145666666666666)/-0.0145666666666666</f>
        <v>1.0430188139327268E-2</v>
      </c>
      <c r="O188" s="3">
        <f>(FEM[[#This Row],[disp_q4]]--0.0145666666666666)/-0.0145666666666666</f>
        <v>-1.7983407850530951E-2</v>
      </c>
      <c r="P188" s="3">
        <f>(FEM[[#This Row],[disp_q8]]--0.0145666666666666)/-0.0145666666666666</f>
        <v>1.108984155895202E-2</v>
      </c>
      <c r="Q188" s="3">
        <f>(FEM[[#This Row],[disp_q9]]--0.0145666666666666)/-0.0145666666666666</f>
        <v>1.108984155895202E-2</v>
      </c>
    </row>
    <row r="189" spans="1:17" x14ac:dyDescent="0.3">
      <c r="A189">
        <v>22</v>
      </c>
      <c r="B189">
        <v>5</v>
      </c>
      <c r="C189">
        <v>276</v>
      </c>
      <c r="D189">
        <v>-1.23327449533687E-2</v>
      </c>
      <c r="E189">
        <v>990</v>
      </c>
      <c r="F189">
        <v>-1.4714388310239499E-2</v>
      </c>
      <c r="G189">
        <v>276</v>
      </c>
      <c r="H189">
        <v>-1.4155367802710201E-2</v>
      </c>
      <c r="I189">
        <v>770</v>
      </c>
      <c r="J189">
        <v>-1.4724501277684101E-2</v>
      </c>
      <c r="K189">
        <v>990</v>
      </c>
      <c r="L189">
        <v>-1.4724501277684101E-2</v>
      </c>
      <c r="M189" s="3">
        <f>(FEM[[#This Row],[disp_t3]]--0.0145666666666666)/-0.0145666666666666</f>
        <v>-0.1533584700204515</v>
      </c>
      <c r="N189" s="3">
        <f>(FEM[[#This Row],[disp_t6]]--0.0145666666666666)/-0.0145666666666666</f>
        <v>1.0141073929489736E-2</v>
      </c>
      <c r="O189" s="3">
        <f>(FEM[[#This Row],[disp_q4]]--0.0145666666666666)/-0.0145666666666666</f>
        <v>-2.8235619951240312E-2</v>
      </c>
      <c r="P189" s="3">
        <f>(FEM[[#This Row],[disp_q8]]--0.0145666666666666)/-0.0145666666666666</f>
        <v>1.0835327987471534E-2</v>
      </c>
      <c r="Q189" s="3">
        <f>(FEM[[#This Row],[disp_q9]]--0.0145666666666666)/-0.0145666666666666</f>
        <v>1.0835327987471534E-2</v>
      </c>
    </row>
    <row r="190" spans="1:17" x14ac:dyDescent="0.3">
      <c r="A190">
        <v>18</v>
      </c>
      <c r="B190">
        <v>5</v>
      </c>
      <c r="C190">
        <v>228</v>
      </c>
      <c r="D190">
        <v>-1.1789980643688899E-2</v>
      </c>
      <c r="E190">
        <v>814</v>
      </c>
      <c r="F190">
        <v>-1.47086790259636E-2</v>
      </c>
      <c r="G190">
        <v>228</v>
      </c>
      <c r="H190">
        <v>-1.3904431558462599E-2</v>
      </c>
      <c r="I190">
        <v>634</v>
      </c>
      <c r="J190">
        <v>-1.47192205859262E-2</v>
      </c>
      <c r="K190">
        <v>814</v>
      </c>
      <c r="L190">
        <v>-1.47192205859262E-2</v>
      </c>
      <c r="M190" s="3">
        <f>(FEM[[#This Row],[disp_t3]]--0.0145666666666666)/-0.0145666666666666</f>
        <v>-0.19061917777879037</v>
      </c>
      <c r="N190" s="3">
        <f>(FEM[[#This Row],[disp_t6]]--0.0145666666666666)/-0.0145666666666666</f>
        <v>9.7491322171854352E-3</v>
      </c>
      <c r="O190" s="3">
        <f>(FEM[[#This Row],[disp_q4]]--0.0145666666666666)/-0.0145666666666666</f>
        <v>-4.5462364407597475E-2</v>
      </c>
      <c r="P190" s="3">
        <f>(FEM[[#This Row],[disp_q8]]--0.0145666666666666)/-0.0145666666666666</f>
        <v>1.0472809102489782E-2</v>
      </c>
      <c r="Q190" s="3">
        <f>(FEM[[#This Row],[disp_q9]]--0.0145666666666666)/-0.0145666666666666</f>
        <v>1.0472809102489782E-2</v>
      </c>
    </row>
    <row r="191" spans="1:17" x14ac:dyDescent="0.3">
      <c r="A191">
        <v>15</v>
      </c>
      <c r="B191">
        <v>5</v>
      </c>
      <c r="C191">
        <v>192</v>
      </c>
      <c r="D191">
        <v>-1.11392222342958E-2</v>
      </c>
      <c r="E191">
        <v>682</v>
      </c>
      <c r="F191">
        <v>-1.4702880644210201E-2</v>
      </c>
      <c r="G191">
        <v>192</v>
      </c>
      <c r="H191">
        <v>-1.3585390051701699E-2</v>
      </c>
      <c r="I191">
        <v>532</v>
      </c>
      <c r="J191">
        <v>-1.47137507514069E-2</v>
      </c>
      <c r="K191">
        <v>682</v>
      </c>
      <c r="L191">
        <v>-1.47137507514069E-2</v>
      </c>
      <c r="M191" s="3">
        <f>(FEM[[#This Row],[disp_t3]]--0.0145666666666666)/-0.0145666666666666</f>
        <v>-0.23529366812614289</v>
      </c>
      <c r="N191" s="3">
        <f>(FEM[[#This Row],[disp_t6]]--0.0145666666666666)/-0.0145666666666666</f>
        <v>9.3510739732449791E-3</v>
      </c>
      <c r="O191" s="3">
        <f>(FEM[[#This Row],[disp_q4]]--0.0145666666666666)/-0.0145666666666666</f>
        <v>-6.736452734312845E-2</v>
      </c>
      <c r="P191" s="3">
        <f>(FEM[[#This Row],[disp_q8]]--0.0145666666666666)/-0.0145666666666666</f>
        <v>1.0097305588579015E-2</v>
      </c>
      <c r="Q191" s="3">
        <f>(FEM[[#This Row],[disp_q9]]--0.0145666666666666)/-0.0145666666666666</f>
        <v>1.0097305588579015E-2</v>
      </c>
    </row>
    <row r="192" spans="1:17" x14ac:dyDescent="0.3">
      <c r="A192">
        <v>12</v>
      </c>
      <c r="B192">
        <v>5</v>
      </c>
      <c r="C192">
        <v>156</v>
      </c>
      <c r="D192">
        <v>-1.0114583920155899E-2</v>
      </c>
      <c r="E192">
        <v>550</v>
      </c>
      <c r="F192">
        <v>-1.4694912264399699E-2</v>
      </c>
      <c r="G192">
        <v>156</v>
      </c>
      <c r="H192">
        <v>-1.30367663124506E-2</v>
      </c>
      <c r="I192">
        <v>430</v>
      </c>
      <c r="J192">
        <v>-1.47063166987295E-2</v>
      </c>
      <c r="K192">
        <v>550</v>
      </c>
      <c r="L192">
        <v>-1.47063166987295E-2</v>
      </c>
      <c r="M192" s="3">
        <f>(FEM[[#This Row],[disp_t3]]--0.0145666666666666)/-0.0145666666666666</f>
        <v>-0.30563497115634236</v>
      </c>
      <c r="N192" s="3">
        <f>(FEM[[#This Row],[disp_t6]]--0.0145666666666666)/-0.0145666666666666</f>
        <v>8.8040456109679983E-3</v>
      </c>
      <c r="O192" s="3">
        <f>(FEM[[#This Row],[disp_q4]]--0.0145666666666666)/-0.0145666666666666</f>
        <v>-0.10502748427112171</v>
      </c>
      <c r="P192" s="3">
        <f>(FEM[[#This Row],[disp_q8]]--0.0145666666666666)/-0.0145666666666666</f>
        <v>9.5869587228536446E-3</v>
      </c>
      <c r="Q192" s="3">
        <f>(FEM[[#This Row],[disp_q9]]--0.0145666666666666)/-0.0145666666666666</f>
        <v>9.5869587228536446E-3</v>
      </c>
    </row>
    <row r="193" spans="1:17" x14ac:dyDescent="0.3">
      <c r="A193">
        <v>10</v>
      </c>
      <c r="B193">
        <v>5</v>
      </c>
      <c r="C193">
        <v>132</v>
      </c>
      <c r="D193">
        <v>-9.0955511520789609E-3</v>
      </c>
      <c r="E193">
        <v>462</v>
      </c>
      <c r="F193">
        <v>-1.4687445968303001E-2</v>
      </c>
      <c r="G193">
        <v>132</v>
      </c>
      <c r="H193">
        <v>-1.2425065566408501E-2</v>
      </c>
      <c r="I193">
        <v>362</v>
      </c>
      <c r="J193">
        <v>-1.46996148760226E-2</v>
      </c>
      <c r="K193">
        <v>462</v>
      </c>
      <c r="L193">
        <v>-1.46996148760226E-2</v>
      </c>
      <c r="M193" s="3">
        <f>(FEM[[#This Row],[disp_t3]]--0.0145666666666666)/-0.0145666666666666</f>
        <v>-0.37559145409068628</v>
      </c>
      <c r="N193" s="3">
        <f>(FEM[[#This Row],[disp_t6]]--0.0145666666666666)/-0.0145666666666666</f>
        <v>8.2914852381969235E-3</v>
      </c>
      <c r="O193" s="3">
        <f>(FEM[[#This Row],[disp_q4]]--0.0145666666666666)/-0.0145666666666666</f>
        <v>-0.14702067049826831</v>
      </c>
      <c r="P193" s="3">
        <f>(FEM[[#This Row],[disp_q8]]--0.0145666666666666)/-0.0145666666666666</f>
        <v>9.1268793608238648E-3</v>
      </c>
      <c r="Q193" s="3">
        <f>(FEM[[#This Row],[disp_q9]]--0.0145666666666666)/-0.0145666666666666</f>
        <v>9.1268793608238648E-3</v>
      </c>
    </row>
    <row r="194" spans="1:17" x14ac:dyDescent="0.3">
      <c r="A194">
        <v>8</v>
      </c>
      <c r="B194">
        <v>5</v>
      </c>
      <c r="C194">
        <v>108</v>
      </c>
      <c r="D194">
        <v>-7.6782146851146899E-3</v>
      </c>
      <c r="E194">
        <v>374</v>
      </c>
      <c r="F194">
        <v>-1.46763121608412E-2</v>
      </c>
      <c r="G194">
        <v>108</v>
      </c>
      <c r="H194">
        <v>-1.1438720622919899E-2</v>
      </c>
      <c r="I194">
        <v>294</v>
      </c>
      <c r="J194">
        <v>-1.4690300438447299E-2</v>
      </c>
      <c r="K194">
        <v>374</v>
      </c>
      <c r="L194">
        <v>-1.4690300438447299E-2</v>
      </c>
      <c r="M194" s="3">
        <f>(FEM[[#This Row],[disp_t3]]--0.0145666666666666)/-0.0145666666666666</f>
        <v>-0.47289144038114012</v>
      </c>
      <c r="N194" s="3">
        <f>(FEM[[#This Row],[disp_t6]]--0.0145666666666666)/-0.0145666666666666</f>
        <v>7.5271506298353278E-3</v>
      </c>
      <c r="O194" s="3">
        <f>(FEM[[#This Row],[disp_q4]]--0.0145666666666666)/-0.0145666666666666</f>
        <v>-0.21473313801464861</v>
      </c>
      <c r="P194" s="3">
        <f>(FEM[[#This Row],[disp_q8]]--0.0145666666666666)/-0.0145666666666666</f>
        <v>8.4874442870046043E-3</v>
      </c>
      <c r="Q194" s="3">
        <f>(FEM[[#This Row],[disp_q9]]--0.0145666666666666)/-0.0145666666666666</f>
        <v>8.4874442870046043E-3</v>
      </c>
    </row>
    <row r="195" spans="1:17" x14ac:dyDescent="0.3">
      <c r="A195">
        <v>7</v>
      </c>
      <c r="B195">
        <v>5</v>
      </c>
      <c r="C195">
        <v>96</v>
      </c>
      <c r="D195">
        <v>-6.7841020426853398E-3</v>
      </c>
      <c r="E195">
        <v>330</v>
      </c>
      <c r="F195">
        <v>-1.46678171962878E-2</v>
      </c>
      <c r="G195">
        <v>96</v>
      </c>
      <c r="H195">
        <v>-1.07160658733104E-2</v>
      </c>
      <c r="I195">
        <v>260</v>
      </c>
      <c r="J195">
        <v>-1.46837584899361E-2</v>
      </c>
      <c r="K195">
        <v>330</v>
      </c>
      <c r="L195">
        <v>-1.46837584899361E-2</v>
      </c>
      <c r="M195" s="3">
        <f>(FEM[[#This Row],[disp_t3]]--0.0145666666666666)/-0.0145666666666666</f>
        <v>-0.53427217098269764</v>
      </c>
      <c r="N195" s="3">
        <f>(FEM[[#This Row],[disp_t6]]--0.0145666666666666)/-0.0145666666666666</f>
        <v>6.9439722852083089E-3</v>
      </c>
      <c r="O195" s="3">
        <f>(FEM[[#This Row],[disp_q4]]--0.0145666666666666)/-0.0145666666666666</f>
        <v>-0.26434330389173116</v>
      </c>
      <c r="P195" s="3">
        <f>(FEM[[#This Row],[disp_q8]]--0.0145666666666666)/-0.0145666666666666</f>
        <v>8.0383402702174905E-3</v>
      </c>
      <c r="Q195" s="3">
        <f>(FEM[[#This Row],[disp_q9]]--0.0145666666666666)/-0.0145666666666666</f>
        <v>8.0383402702174905E-3</v>
      </c>
    </row>
    <row r="196" spans="1:17" x14ac:dyDescent="0.3">
      <c r="A196">
        <v>6</v>
      </c>
      <c r="B196">
        <v>5</v>
      </c>
      <c r="C196">
        <v>84</v>
      </c>
      <c r="D196">
        <v>-5.7574226732759201E-3</v>
      </c>
      <c r="E196">
        <v>286</v>
      </c>
      <c r="F196">
        <v>-1.4655019691527601E-2</v>
      </c>
      <c r="G196">
        <v>84</v>
      </c>
      <c r="H196">
        <v>-9.7660003023042497E-3</v>
      </c>
      <c r="I196">
        <v>226</v>
      </c>
      <c r="J196">
        <v>-1.4674631083357301E-2</v>
      </c>
      <c r="K196">
        <v>286</v>
      </c>
      <c r="L196">
        <v>-1.4674631083357301E-2</v>
      </c>
      <c r="M196" s="3">
        <f>(FEM[[#This Row],[disp_t3]]--0.0145666666666666)/-0.0145666666666666</f>
        <v>-0.60475359222361924</v>
      </c>
      <c r="N196" s="3">
        <f>(FEM[[#This Row],[disp_t6]]--0.0145666666666666)/-0.0145666666666666</f>
        <v>6.0654250476660345E-3</v>
      </c>
      <c r="O196" s="3">
        <f>(FEM[[#This Row],[disp_q4]]--0.0145666666666666)/-0.0145666666666666</f>
        <v>-0.32956519663814909</v>
      </c>
      <c r="P196" s="3">
        <f>(FEM[[#This Row],[disp_q8]]--0.0145666666666666)/-0.0145666666666666</f>
        <v>7.4117448529085949E-3</v>
      </c>
      <c r="Q196" s="3">
        <f>(FEM[[#This Row],[disp_q9]]--0.0145666666666666)/-0.0145666666666666</f>
        <v>7.4117448529085949E-3</v>
      </c>
    </row>
    <row r="197" spans="1:17" x14ac:dyDescent="0.3">
      <c r="A197">
        <v>5</v>
      </c>
      <c r="B197">
        <v>5</v>
      </c>
      <c r="C197">
        <v>72</v>
      </c>
      <c r="D197">
        <v>-4.6112476943630703E-3</v>
      </c>
      <c r="E197">
        <v>242</v>
      </c>
      <c r="F197">
        <v>-1.46328467461447E-2</v>
      </c>
      <c r="G197">
        <v>72</v>
      </c>
      <c r="H197">
        <v>-8.5146318798358205E-3</v>
      </c>
      <c r="I197">
        <v>192</v>
      </c>
      <c r="J197">
        <v>-1.4660022075294699E-2</v>
      </c>
      <c r="K197">
        <v>242</v>
      </c>
      <c r="L197">
        <v>-1.4660022075294699E-2</v>
      </c>
      <c r="M197" s="3">
        <f>(FEM[[#This Row],[disp_t3]]--0.0145666666666666)/-0.0145666666666666</f>
        <v>-0.68343837338468483</v>
      </c>
      <c r="N197" s="3">
        <f>(FEM[[#This Row],[disp_t6]]--0.0145666666666666)/-0.0145666666666666</f>
        <v>4.543254884080126E-3</v>
      </c>
      <c r="O197" s="3">
        <f>(FEM[[#This Row],[disp_q4]]--0.0145666666666666)/-0.0145666666666666</f>
        <v>-0.4154714956634421</v>
      </c>
      <c r="P197" s="3">
        <f>(FEM[[#This Row],[disp_q8]]--0.0145666666666666)/-0.0145666666666666</f>
        <v>6.4088381209222219E-3</v>
      </c>
      <c r="Q197" s="3">
        <f>(FEM[[#This Row],[disp_q9]]--0.0145666666666666)/-0.0145666666666666</f>
        <v>6.4088381209222219E-3</v>
      </c>
    </row>
    <row r="198" spans="1:17" x14ac:dyDescent="0.3">
      <c r="A198">
        <v>4</v>
      </c>
      <c r="B198">
        <v>5</v>
      </c>
      <c r="C198">
        <v>60</v>
      </c>
      <c r="D198">
        <v>-3.3898294038336501E-3</v>
      </c>
      <c r="E198">
        <v>198</v>
      </c>
      <c r="F198">
        <v>-1.45867529816671E-2</v>
      </c>
      <c r="G198">
        <v>60</v>
      </c>
      <c r="H198">
        <v>-6.8900809747815201E-3</v>
      </c>
      <c r="I198">
        <v>158</v>
      </c>
      <c r="J198">
        <v>-1.4631093009306E-2</v>
      </c>
      <c r="K198">
        <v>198</v>
      </c>
      <c r="L198">
        <v>-1.4631093009306E-2</v>
      </c>
      <c r="M198" s="3">
        <f>(FEM[[#This Row],[disp_t3]]--0.0145666666666666)/-0.0145666666666666</f>
        <v>-0.76728859927915327</v>
      </c>
      <c r="N198" s="3">
        <f>(FEM[[#This Row],[disp_t6]]--0.0145666666666666)/-0.0145666666666666</f>
        <v>1.3789232265789811E-3</v>
      </c>
      <c r="O198" s="3">
        <f>(FEM[[#This Row],[disp_q4]]--0.0145666666666666)/-0.0145666666666666</f>
        <v>-0.52699672942003073</v>
      </c>
      <c r="P198" s="3">
        <f>(FEM[[#This Row],[disp_q8]]--0.0145666666666666)/-0.0145666666666666</f>
        <v>4.4228610507597872E-3</v>
      </c>
      <c r="Q198" s="3">
        <f>(FEM[[#This Row],[disp_q9]]--0.0145666666666666)/-0.0145666666666666</f>
        <v>4.4228610507597872E-3</v>
      </c>
    </row>
    <row r="199" spans="1:17" x14ac:dyDescent="0.3">
      <c r="A199">
        <v>3</v>
      </c>
      <c r="B199">
        <v>5</v>
      </c>
      <c r="C199">
        <v>48</v>
      </c>
      <c r="D199">
        <v>-2.1826503901507801E-3</v>
      </c>
      <c r="E199">
        <v>154</v>
      </c>
      <c r="F199">
        <v>-1.44666625405581E-2</v>
      </c>
      <c r="G199">
        <v>48</v>
      </c>
      <c r="H199">
        <v>-4.8795198367767899E-3</v>
      </c>
      <c r="I199">
        <v>124</v>
      </c>
      <c r="J199">
        <v>-1.45537111851775E-2</v>
      </c>
      <c r="K199">
        <v>154</v>
      </c>
      <c r="L199">
        <v>-1.45537111851775E-2</v>
      </c>
      <c r="M199" s="3">
        <f>(FEM[[#This Row],[disp_t3]]--0.0145666666666666)/-0.0145666666666666</f>
        <v>-0.85016130044731408</v>
      </c>
      <c r="N199" s="3">
        <f>(FEM[[#This Row],[disp_t6]]--0.0145666666666666)/-0.0145666666666666</f>
        <v>-6.8652718152288237E-3</v>
      </c>
      <c r="O199" s="3">
        <f>(FEM[[#This Row],[disp_q4]]--0.0145666666666666)/-0.0145666666666666</f>
        <v>-0.66502152150273608</v>
      </c>
      <c r="P199" s="3">
        <f>(FEM[[#This Row],[disp_q8]]--0.0145666666666666)/-0.0145666666666666</f>
        <v>-8.8939232190610358E-4</v>
      </c>
      <c r="Q199" s="3">
        <f>(FEM[[#This Row],[disp_q9]]--0.0145666666666666)/-0.0145666666666666</f>
        <v>-8.8939232190610358E-4</v>
      </c>
    </row>
    <row r="200" spans="1:17" x14ac:dyDescent="0.3">
      <c r="A200">
        <v>2</v>
      </c>
      <c r="B200">
        <v>5</v>
      </c>
      <c r="C200">
        <v>36</v>
      </c>
      <c r="D200">
        <v>-1.1289707493979399E-3</v>
      </c>
      <c r="E200">
        <v>110</v>
      </c>
      <c r="F200">
        <v>-1.40450088218629E-2</v>
      </c>
      <c r="G200">
        <v>36</v>
      </c>
      <c r="H200">
        <v>-2.6618165849626898E-3</v>
      </c>
      <c r="I200">
        <v>90</v>
      </c>
      <c r="J200">
        <v>-1.4241977277438001E-2</v>
      </c>
      <c r="K200">
        <v>110</v>
      </c>
      <c r="L200">
        <v>-1.4241977277438001E-2</v>
      </c>
      <c r="M200" s="3">
        <f>(FEM[[#This Row],[disp_t3]]--0.0145666666666666)/-0.0145666666666666</f>
        <v>-0.92249628722668575</v>
      </c>
      <c r="N200" s="3">
        <f>(FEM[[#This Row],[disp_t6]]--0.0145666666666666)/-0.0145666666666666</f>
        <v>-3.5811751359521853E-2</v>
      </c>
      <c r="O200" s="3">
        <f>(FEM[[#This Row],[disp_q4]]--0.0145666666666666)/-0.0145666666666666</f>
        <v>-0.81726659599798379</v>
      </c>
      <c r="P200" s="3">
        <f>(FEM[[#This Row],[disp_q8]]--0.0145666666666666)/-0.0145666666666666</f>
        <v>-2.2289889420727692E-2</v>
      </c>
      <c r="Q200" s="3">
        <f>(FEM[[#This Row],[disp_q9]]--0.0145666666666666)/-0.0145666666666666</f>
        <v>-2.2289889420727692E-2</v>
      </c>
    </row>
    <row r="201" spans="1:17" x14ac:dyDescent="0.3">
      <c r="A201">
        <v>1</v>
      </c>
      <c r="B201">
        <v>5</v>
      </c>
      <c r="C201">
        <v>24</v>
      </c>
      <c r="D201">
        <v>-3.97425492042669E-4</v>
      </c>
      <c r="E201">
        <v>66</v>
      </c>
      <c r="F201">
        <v>-1.14163828236056E-2</v>
      </c>
      <c r="G201">
        <v>24</v>
      </c>
      <c r="H201">
        <v>-7.7124444822449596E-4</v>
      </c>
      <c r="I201">
        <v>56</v>
      </c>
      <c r="J201">
        <v>-1.1841157938541199E-2</v>
      </c>
      <c r="K201">
        <v>66</v>
      </c>
      <c r="L201">
        <v>-1.1841157938541199E-2</v>
      </c>
      <c r="M201" s="3">
        <f>(FEM[[#This Row],[disp_t3]]--0.0145666666666666)/-0.0145666666666666</f>
        <v>-0.97271678544329498</v>
      </c>
      <c r="N201" s="3">
        <f>(FEM[[#This Row],[disp_t6]]--0.0145666666666666)/-0.0145666666666666</f>
        <v>-0.216266625381763</v>
      </c>
      <c r="O201" s="3">
        <f>(FEM[[#This Row],[disp_q4]]--0.0145666666666666)/-0.0145666666666666</f>
        <v>-0.94705415687245997</v>
      </c>
      <c r="P201" s="3">
        <f>(FEM[[#This Row],[disp_q8]]--0.0145666666666666)/-0.0145666666666666</f>
        <v>-0.18710586234270568</v>
      </c>
      <c r="Q201" s="3">
        <f>(FEM[[#This Row],[disp_q9]]--0.0145666666666666)/-0.0145666666666666</f>
        <v>-0.18710586234270568</v>
      </c>
    </row>
    <row r="202" spans="1:17" x14ac:dyDescent="0.3">
      <c r="A202">
        <v>200</v>
      </c>
      <c r="B202">
        <v>3</v>
      </c>
      <c r="C202">
        <v>1608</v>
      </c>
      <c r="D202">
        <v>-1.20185148399729E-2</v>
      </c>
      <c r="E202">
        <v>5614</v>
      </c>
      <c r="F202">
        <v>-1.47218779066221E-2</v>
      </c>
      <c r="G202">
        <v>1608</v>
      </c>
      <c r="H202">
        <v>-1.46666867749717E-2</v>
      </c>
      <c r="I202">
        <v>4414</v>
      </c>
      <c r="J202">
        <v>-1.47317996105614E-2</v>
      </c>
      <c r="K202">
        <v>5614</v>
      </c>
      <c r="L202">
        <v>-1.47317996105614E-2</v>
      </c>
      <c r="M202" s="3">
        <f>(FEM[[#This Row],[disp_t3]]--0.0145666666666666)/-0.0145666666666666</f>
        <v>-0.17493033135197106</v>
      </c>
      <c r="N202" s="3">
        <f>(FEM[[#This Row],[disp_t6]]--0.0145666666666666)/-0.0145666666666666</f>
        <v>1.0655233864222052E-2</v>
      </c>
      <c r="O202" s="3">
        <f>(FEM[[#This Row],[disp_q4]]--0.0145666666666666)/-0.0145666666666666</f>
        <v>6.8663689911968471E-3</v>
      </c>
      <c r="P202" s="3">
        <f>(FEM[[#This Row],[disp_q8]]--0.0145666666666666)/-0.0145666666666666</f>
        <v>1.1336357704448633E-2</v>
      </c>
      <c r="Q202" s="3">
        <f>(FEM[[#This Row],[disp_q9]]--0.0145666666666666)/-0.0145666666666666</f>
        <v>1.1336357704448633E-2</v>
      </c>
    </row>
    <row r="203" spans="1:17" x14ac:dyDescent="0.3">
      <c r="A203">
        <v>166</v>
      </c>
      <c r="B203">
        <v>3</v>
      </c>
      <c r="C203">
        <v>1336</v>
      </c>
      <c r="D203">
        <v>-1.20124591274613E-2</v>
      </c>
      <c r="E203">
        <v>4662</v>
      </c>
      <c r="F203">
        <v>-1.47216655885685E-2</v>
      </c>
      <c r="G203">
        <v>1336</v>
      </c>
      <c r="H203">
        <v>-1.46636171388592E-2</v>
      </c>
      <c r="I203">
        <v>3666</v>
      </c>
      <c r="J203">
        <v>-1.47314363423277E-2</v>
      </c>
      <c r="K203">
        <v>4662</v>
      </c>
      <c r="L203">
        <v>-1.47314363423277E-2</v>
      </c>
      <c r="M203" s="3">
        <f>(FEM[[#This Row],[disp_t3]]--0.0145666666666666)/-0.0145666666666666</f>
        <v>-0.17534605532301908</v>
      </c>
      <c r="N203" s="3">
        <f>(FEM[[#This Row],[disp_t6]]--0.0145666666666666)/-0.0145666666666666</f>
        <v>1.0640658254135078E-2</v>
      </c>
      <c r="O203" s="3">
        <f>(FEM[[#This Row],[disp_q4]]--0.0145666666666666)/-0.0145666666666666</f>
        <v>6.6556388232907274E-3</v>
      </c>
      <c r="P203" s="3">
        <f>(FEM[[#This Row],[disp_q8]]--0.0145666666666666)/-0.0145666666666666</f>
        <v>1.1311419381768956E-2</v>
      </c>
      <c r="Q203" s="3">
        <f>(FEM[[#This Row],[disp_q9]]--0.0145666666666666)/-0.0145666666666666</f>
        <v>1.1311419381768956E-2</v>
      </c>
    </row>
    <row r="204" spans="1:17" x14ac:dyDescent="0.3">
      <c r="A204">
        <v>138</v>
      </c>
      <c r="B204">
        <v>3</v>
      </c>
      <c r="C204">
        <v>1112</v>
      </c>
      <c r="D204">
        <v>-1.20037903702012E-2</v>
      </c>
      <c r="E204">
        <v>3878</v>
      </c>
      <c r="F204">
        <v>-1.4721381464816E-2</v>
      </c>
      <c r="G204">
        <v>1112</v>
      </c>
      <c r="H204">
        <v>-1.46592101819765E-2</v>
      </c>
      <c r="I204">
        <v>3050</v>
      </c>
      <c r="J204">
        <v>-1.47309394440536E-2</v>
      </c>
      <c r="K204">
        <v>3878</v>
      </c>
      <c r="L204">
        <v>-1.47309394440536E-2</v>
      </c>
      <c r="M204" s="3">
        <f>(FEM[[#This Row],[disp_t3]]--0.0145666666666666)/-0.0145666666666666</f>
        <v>-0.17594116451707628</v>
      </c>
      <c r="N204" s="3">
        <f>(FEM[[#This Row],[disp_t6]]--0.0145666666666666)/-0.0145666666666666</f>
        <v>1.0621153191034441E-2</v>
      </c>
      <c r="O204" s="3">
        <f>(FEM[[#This Row],[disp_q4]]--0.0145666666666666)/-0.0145666666666666</f>
        <v>6.3531017375218464E-3</v>
      </c>
      <c r="P204" s="3">
        <f>(FEM[[#This Row],[disp_q8]]--0.0145666666666666)/-0.0145666666666666</f>
        <v>1.1277307372105335E-2</v>
      </c>
      <c r="Q204" s="3">
        <f>(FEM[[#This Row],[disp_q9]]--0.0145666666666666)/-0.0145666666666666</f>
        <v>1.1277307372105335E-2</v>
      </c>
    </row>
    <row r="205" spans="1:17" x14ac:dyDescent="0.3">
      <c r="A205">
        <v>115</v>
      </c>
      <c r="B205">
        <v>3</v>
      </c>
      <c r="C205">
        <v>928</v>
      </c>
      <c r="D205">
        <v>-1.1991489226704399E-2</v>
      </c>
      <c r="E205">
        <v>3234</v>
      </c>
      <c r="F205">
        <v>-1.47210049044695E-2</v>
      </c>
      <c r="G205">
        <v>928</v>
      </c>
      <c r="H205">
        <v>-1.46529394371723E-2</v>
      </c>
      <c r="I205">
        <v>2544</v>
      </c>
      <c r="J205">
        <v>-1.4730277918544201E-2</v>
      </c>
      <c r="K205">
        <v>3234</v>
      </c>
      <c r="L205">
        <v>-1.4730277918544201E-2</v>
      </c>
      <c r="M205" s="3">
        <f>(FEM[[#This Row],[disp_t3]]--0.0145666666666666)/-0.0145666666666666</f>
        <v>-0.17678563661067817</v>
      </c>
      <c r="N205" s="3">
        <f>(FEM[[#This Row],[disp_t6]]--0.0145666666666666)/-0.0145666666666666</f>
        <v>1.0595302366331927E-2</v>
      </c>
      <c r="O205" s="3">
        <f>(FEM[[#This Row],[disp_q4]]--0.0145666666666666)/-0.0145666666666666</f>
        <v>5.922615824190027E-3</v>
      </c>
      <c r="P205" s="3">
        <f>(FEM[[#This Row],[disp_q8]]--0.0145666666666666)/-0.0145666666666666</f>
        <v>1.1231893721574517E-2</v>
      </c>
      <c r="Q205" s="3">
        <f>(FEM[[#This Row],[disp_q9]]--0.0145666666666666)/-0.0145666666666666</f>
        <v>1.1231893721574517E-2</v>
      </c>
    </row>
    <row r="206" spans="1:17" x14ac:dyDescent="0.3">
      <c r="A206">
        <v>96</v>
      </c>
      <c r="B206">
        <v>3</v>
      </c>
      <c r="C206">
        <v>776</v>
      </c>
      <c r="D206">
        <v>-1.19740509054693E-2</v>
      </c>
      <c r="E206">
        <v>2702</v>
      </c>
      <c r="F206">
        <v>-1.4720508077805901E-2</v>
      </c>
      <c r="G206">
        <v>776</v>
      </c>
      <c r="H206">
        <v>-1.4644025331770101E-2</v>
      </c>
      <c r="I206">
        <v>2126</v>
      </c>
      <c r="J206">
        <v>-1.4729418398906E-2</v>
      </c>
      <c r="K206">
        <v>2702</v>
      </c>
      <c r="L206">
        <v>-1.4729418398906E-2</v>
      </c>
      <c r="M206" s="3">
        <f>(FEM[[#This Row],[disp_t3]]--0.0145666666666666)/-0.0145666666666666</f>
        <v>-0.17798277536823645</v>
      </c>
      <c r="N206" s="3">
        <f>(FEM[[#This Row],[disp_t6]]--0.0145666666666666)/-0.0145666666666666</f>
        <v>1.0561195272720973E-2</v>
      </c>
      <c r="O206" s="3">
        <f>(FEM[[#This Row],[disp_q4]]--0.0145666666666666)/-0.0145666666666666</f>
        <v>5.3106635082495477E-3</v>
      </c>
      <c r="P206" s="3">
        <f>(FEM[[#This Row],[disp_q8]]--0.0145666666666666)/-0.0145666666666666</f>
        <v>1.1172887796755217E-2</v>
      </c>
      <c r="Q206" s="3">
        <f>(FEM[[#This Row],[disp_q9]]--0.0145666666666666)/-0.0145666666666666</f>
        <v>1.1172887796755217E-2</v>
      </c>
    </row>
    <row r="207" spans="1:17" x14ac:dyDescent="0.3">
      <c r="A207">
        <v>80</v>
      </c>
      <c r="B207">
        <v>3</v>
      </c>
      <c r="C207">
        <v>648</v>
      </c>
      <c r="D207">
        <v>-1.1948869100609501E-2</v>
      </c>
      <c r="E207">
        <v>2254</v>
      </c>
      <c r="F207">
        <v>-1.4719845260257901E-2</v>
      </c>
      <c r="G207">
        <v>648</v>
      </c>
      <c r="H207">
        <v>-1.4631113935856701E-2</v>
      </c>
      <c r="I207">
        <v>1774</v>
      </c>
      <c r="J207">
        <v>-1.47283149899563E-2</v>
      </c>
      <c r="K207">
        <v>2254</v>
      </c>
      <c r="L207">
        <v>-1.47283149899563E-2</v>
      </c>
      <c r="M207" s="3">
        <f>(FEM[[#This Row],[disp_t3]]--0.0145666666666666)/-0.0145666666666666</f>
        <v>-0.17971150339064834</v>
      </c>
      <c r="N207" s="3">
        <f>(FEM[[#This Row],[disp_t6]]--0.0145666666666666)/-0.0145666666666666</f>
        <v>1.051569292388802E-2</v>
      </c>
      <c r="O207" s="3">
        <f>(FEM[[#This Row],[disp_q4]]--0.0145666666666666)/-0.0145666666666666</f>
        <v>4.4242976560710428E-3</v>
      </c>
      <c r="P207" s="3">
        <f>(FEM[[#This Row],[disp_q8]]--0.0145666666666666)/-0.0145666666666666</f>
        <v>1.1097138898606522E-2</v>
      </c>
      <c r="Q207" s="3">
        <f>(FEM[[#This Row],[disp_q9]]--0.0145666666666666)/-0.0145666666666666</f>
        <v>1.1097138898606522E-2</v>
      </c>
    </row>
    <row r="208" spans="1:17" x14ac:dyDescent="0.3">
      <c r="A208">
        <v>66</v>
      </c>
      <c r="B208">
        <v>3</v>
      </c>
      <c r="C208">
        <v>536</v>
      </c>
      <c r="D208">
        <v>-1.1910460426337199E-2</v>
      </c>
      <c r="E208">
        <v>1862</v>
      </c>
      <c r="F208">
        <v>-1.4718924027762001E-2</v>
      </c>
      <c r="G208">
        <v>536</v>
      </c>
      <c r="H208">
        <v>-1.4611347719016199E-2</v>
      </c>
      <c r="I208">
        <v>1466</v>
      </c>
      <c r="J208">
        <v>-1.47268820833775E-2</v>
      </c>
      <c r="K208">
        <v>1862</v>
      </c>
      <c r="L208">
        <v>-1.47268820833775E-2</v>
      </c>
      <c r="M208" s="3">
        <f>(FEM[[#This Row],[disp_t3]]--0.0145666666666666)/-0.0145666666666666</f>
        <v>-0.18234825448485667</v>
      </c>
      <c r="N208" s="3">
        <f>(FEM[[#This Row],[disp_t6]]--0.0145666666666666)/-0.0145666666666666</f>
        <v>1.0452450418448646E-2</v>
      </c>
      <c r="O208" s="3">
        <f>(FEM[[#This Row],[disp_q4]]--0.0145666666666666)/-0.0145666666666666</f>
        <v>3.0673491315514941E-3</v>
      </c>
      <c r="P208" s="3">
        <f>(FEM[[#This Row],[disp_q8]]--0.0145666666666666)/-0.0145666666666666</f>
        <v>1.0998770025919971E-2</v>
      </c>
      <c r="Q208" s="3">
        <f>(FEM[[#This Row],[disp_q9]]--0.0145666666666666)/-0.0145666666666666</f>
        <v>1.0998770025919971E-2</v>
      </c>
    </row>
    <row r="209" spans="1:17" x14ac:dyDescent="0.3">
      <c r="A209">
        <v>55</v>
      </c>
      <c r="B209">
        <v>3</v>
      </c>
      <c r="C209">
        <v>448</v>
      </c>
      <c r="D209">
        <v>-1.1858021226073399E-2</v>
      </c>
      <c r="E209">
        <v>1554</v>
      </c>
      <c r="F209">
        <v>-1.4717792898797599E-2</v>
      </c>
      <c r="G209">
        <v>448</v>
      </c>
      <c r="H209">
        <v>-1.45842350083966E-2</v>
      </c>
      <c r="I209">
        <v>1224</v>
      </c>
      <c r="J209">
        <v>-1.4725288205076899E-2</v>
      </c>
      <c r="K209">
        <v>1554</v>
      </c>
      <c r="L209">
        <v>-1.4725288205076899E-2</v>
      </c>
      <c r="M209" s="3">
        <f>(FEM[[#This Row],[disp_t3]]--0.0145666666666666)/-0.0145666666666666</f>
        <v>-0.18594819958305805</v>
      </c>
      <c r="N209" s="3">
        <f>(FEM[[#This Row],[disp_t6]]--0.0145666666666666)/-0.0145666666666666</f>
        <v>1.0374798544462282E-2</v>
      </c>
      <c r="O209" s="3">
        <f>(FEM[[#This Row],[disp_q4]]--0.0145666666666666)/-0.0145666666666666</f>
        <v>1.2060646496568242E-3</v>
      </c>
      <c r="P209" s="3">
        <f>(FEM[[#This Row],[disp_q8]]--0.0145666666666666)/-0.0145666666666666</f>
        <v>1.0889350462949716E-2</v>
      </c>
      <c r="Q209" s="3">
        <f>(FEM[[#This Row],[disp_q9]]--0.0145666666666666)/-0.0145666666666666</f>
        <v>1.0889350462949716E-2</v>
      </c>
    </row>
    <row r="210" spans="1:17" x14ac:dyDescent="0.3">
      <c r="A210">
        <v>46</v>
      </c>
      <c r="B210">
        <v>3</v>
      </c>
      <c r="C210">
        <v>376</v>
      </c>
      <c r="D210">
        <v>-1.1785169487563901E-2</v>
      </c>
      <c r="E210">
        <v>1302</v>
      </c>
      <c r="F210">
        <v>-1.47163945616675E-2</v>
      </c>
      <c r="G210">
        <v>376</v>
      </c>
      <c r="H210">
        <v>-1.45463421356126E-2</v>
      </c>
      <c r="I210">
        <v>1026</v>
      </c>
      <c r="J210">
        <v>-1.4723551074682199E-2</v>
      </c>
      <c r="K210">
        <v>1302</v>
      </c>
      <c r="L210">
        <v>-1.4723551074682199E-2</v>
      </c>
      <c r="M210" s="3">
        <f>(FEM[[#This Row],[disp_t3]]--0.0145666666666666)/-0.0145666666666666</f>
        <v>-0.19094946309629598</v>
      </c>
      <c r="N210" s="3">
        <f>(FEM[[#This Row],[disp_t6]]--0.0145666666666666)/-0.0145666666666666</f>
        <v>1.0278802860473753E-2</v>
      </c>
      <c r="O210" s="3">
        <f>(FEM[[#This Row],[disp_q4]]--0.0145666666666666)/-0.0145666666666666</f>
        <v>-1.3952767313958716E-3</v>
      </c>
      <c r="P210" s="3">
        <f>(FEM[[#This Row],[disp_q8]]--0.0145666666666666)/-0.0145666666666666</f>
        <v>1.0770096660109887E-2</v>
      </c>
      <c r="Q210" s="3">
        <f>(FEM[[#This Row],[disp_q9]]--0.0145666666666666)/-0.0145666666666666</f>
        <v>1.0770096660109887E-2</v>
      </c>
    </row>
    <row r="211" spans="1:17" x14ac:dyDescent="0.3">
      <c r="A211">
        <v>38</v>
      </c>
      <c r="B211">
        <v>3</v>
      </c>
      <c r="C211">
        <v>312</v>
      </c>
      <c r="D211">
        <v>-1.1674250020909299E-2</v>
      </c>
      <c r="E211">
        <v>1078</v>
      </c>
      <c r="F211">
        <v>-1.4714531324258E-2</v>
      </c>
      <c r="G211">
        <v>312</v>
      </c>
      <c r="H211">
        <v>-1.4488154441395101E-2</v>
      </c>
      <c r="I211">
        <v>850</v>
      </c>
      <c r="J211">
        <v>-1.47215703190661E-2</v>
      </c>
      <c r="K211">
        <v>1078</v>
      </c>
      <c r="L211">
        <v>-1.47215703190661E-2</v>
      </c>
      <c r="M211" s="3">
        <f>(FEM[[#This Row],[disp_t3]]--0.0145666666666666)/-0.0145666666666666</f>
        <v>-0.19856407179111993</v>
      </c>
      <c r="N211" s="3">
        <f>(FEM[[#This Row],[disp_t6]]--0.0145666666666666)/-0.0145666666666666</f>
        <v>1.0150891825496666E-2</v>
      </c>
      <c r="O211" s="3">
        <f>(FEM[[#This Row],[disp_q4]]--0.0145666666666666)/-0.0145666666666666</f>
        <v>-5.3898552817962745E-3</v>
      </c>
      <c r="P211" s="3">
        <f>(FEM[[#This Row],[disp_q8]]--0.0145666666666666)/-0.0145666666666666</f>
        <v>1.0634118013695728E-2</v>
      </c>
      <c r="Q211" s="3">
        <f>(FEM[[#This Row],[disp_q9]]--0.0145666666666666)/-0.0145666666666666</f>
        <v>1.0634118013695728E-2</v>
      </c>
    </row>
    <row r="212" spans="1:17" x14ac:dyDescent="0.3">
      <c r="A212">
        <v>32</v>
      </c>
      <c r="B212">
        <v>3</v>
      </c>
      <c r="C212">
        <v>264</v>
      </c>
      <c r="D212">
        <v>-1.15342486185848E-2</v>
      </c>
      <c r="E212">
        <v>910</v>
      </c>
      <c r="F212">
        <v>-1.4712483442150899E-2</v>
      </c>
      <c r="G212">
        <v>264</v>
      </c>
      <c r="H212">
        <v>-1.4413851222067399E-2</v>
      </c>
      <c r="I212">
        <v>718</v>
      </c>
      <c r="J212">
        <v>-1.47197172538376E-2</v>
      </c>
      <c r="K212">
        <v>910</v>
      </c>
      <c r="L212">
        <v>-1.47197172538376E-2</v>
      </c>
      <c r="M212" s="3">
        <f>(FEM[[#This Row],[disp_t3]]--0.0145666666666666)/-0.0145666666666666</f>
        <v>-0.20817515204222975</v>
      </c>
      <c r="N212" s="3">
        <f>(FEM[[#This Row],[disp_t6]]--0.0145666666666666)/-0.0145666666666666</f>
        <v>1.0010304953155656E-2</v>
      </c>
      <c r="O212" s="3">
        <f>(FEM[[#This Row],[disp_q4]]--0.0145666666666666)/-0.0145666666666666</f>
        <v>-1.0490762787130486E-2</v>
      </c>
      <c r="P212" s="3">
        <f>(FEM[[#This Row],[disp_q8]]--0.0145666666666666)/-0.0145666666666666</f>
        <v>1.0506905297780445E-2</v>
      </c>
      <c r="Q212" s="3">
        <f>(FEM[[#This Row],[disp_q9]]--0.0145666666666666)/-0.0145666666666666</f>
        <v>1.0506905297780445E-2</v>
      </c>
    </row>
    <row r="213" spans="1:17" x14ac:dyDescent="0.3">
      <c r="A213">
        <v>26</v>
      </c>
      <c r="B213">
        <v>3</v>
      </c>
      <c r="C213">
        <v>216</v>
      </c>
      <c r="D213">
        <v>-1.12949038154752E-2</v>
      </c>
      <c r="E213">
        <v>742</v>
      </c>
      <c r="F213">
        <v>-1.4709465668947101E-2</v>
      </c>
      <c r="G213">
        <v>216</v>
      </c>
      <c r="H213">
        <v>-1.4284529200578501E-2</v>
      </c>
      <c r="I213">
        <v>586</v>
      </c>
      <c r="J213">
        <v>-1.4717339961617301E-2</v>
      </c>
      <c r="K213">
        <v>742</v>
      </c>
      <c r="L213">
        <v>-1.4717339961617301E-2</v>
      </c>
      <c r="M213" s="3">
        <f>(FEM[[#This Row],[disp_t3]]--0.0145666666666666)/-0.0145666666666666</f>
        <v>-0.22460614539071497</v>
      </c>
      <c r="N213" s="3">
        <f>(FEM[[#This Row],[disp_t6]]--0.0145666666666666)/-0.0145666666666666</f>
        <v>9.8031351679978389E-3</v>
      </c>
      <c r="O213" s="3">
        <f>(FEM[[#This Row],[disp_q4]]--0.0145666666666666)/-0.0145666666666666</f>
        <v>-1.9368704765773456E-2</v>
      </c>
      <c r="P213" s="3">
        <f>(FEM[[#This Row],[disp_q8]]--0.0145666666666666)/-0.0145666666666666</f>
        <v>1.0343704458858273E-2</v>
      </c>
      <c r="Q213" s="3">
        <f>(FEM[[#This Row],[disp_q9]]--0.0145666666666666)/-0.0145666666666666</f>
        <v>1.0343704458858273E-2</v>
      </c>
    </row>
    <row r="214" spans="1:17" x14ac:dyDescent="0.3">
      <c r="A214">
        <v>22</v>
      </c>
      <c r="B214">
        <v>3</v>
      </c>
      <c r="C214">
        <v>184</v>
      </c>
      <c r="D214">
        <v>-1.10282309677738E-2</v>
      </c>
      <c r="E214">
        <v>630</v>
      </c>
      <c r="F214">
        <v>-1.47065380548876E-2</v>
      </c>
      <c r="G214">
        <v>184</v>
      </c>
      <c r="H214">
        <v>-1.41368684630198E-2</v>
      </c>
      <c r="I214">
        <v>498</v>
      </c>
      <c r="J214">
        <v>-1.47151713057202E-2</v>
      </c>
      <c r="K214">
        <v>630</v>
      </c>
      <c r="L214">
        <v>-1.47151713057202E-2</v>
      </c>
      <c r="M214" s="3">
        <f>(FEM[[#This Row],[disp_t3]]--0.0145666666666666)/-0.0145666666666666</f>
        <v>-0.24291320587364865</v>
      </c>
      <c r="N214" s="3">
        <f>(FEM[[#This Row],[disp_t6]]--0.0145666666666666)/-0.0145666666666666</f>
        <v>9.6021547977803798E-3</v>
      </c>
      <c r="O214" s="3">
        <f>(FEM[[#This Row],[disp_q4]]--0.0145666666666666)/-0.0145666666666666</f>
        <v>-2.9505597504357075E-2</v>
      </c>
      <c r="P214" s="3">
        <f>(FEM[[#This Row],[disp_q8]]--0.0145666666666666)/-0.0145666666666666</f>
        <v>1.0194826479652266E-2</v>
      </c>
      <c r="Q214" s="3">
        <f>(FEM[[#This Row],[disp_q9]]--0.0145666666666666)/-0.0145666666666666</f>
        <v>1.0194826479652266E-2</v>
      </c>
    </row>
    <row r="215" spans="1:17" x14ac:dyDescent="0.3">
      <c r="A215">
        <v>18</v>
      </c>
      <c r="B215">
        <v>3</v>
      </c>
      <c r="C215">
        <v>152</v>
      </c>
      <c r="D215">
        <v>-1.0594148408734501E-2</v>
      </c>
      <c r="E215">
        <v>518</v>
      </c>
      <c r="F215">
        <v>-1.4702334213959899E-2</v>
      </c>
      <c r="G215">
        <v>152</v>
      </c>
      <c r="H215">
        <v>-1.3887919422492101E-2</v>
      </c>
      <c r="I215">
        <v>410</v>
      </c>
      <c r="J215">
        <v>-1.4711974593127199E-2</v>
      </c>
      <c r="K215">
        <v>518</v>
      </c>
      <c r="L215">
        <v>-1.4711974593127199E-2</v>
      </c>
      <c r="M215" s="3">
        <f>(FEM[[#This Row],[disp_t3]]--0.0145666666666666)/-0.0145666666666666</f>
        <v>-0.27271292388550006</v>
      </c>
      <c r="N215" s="3">
        <f>(FEM[[#This Row],[disp_t6]]--0.0145666666666666)/-0.0145666666666666</f>
        <v>9.3135615990824223E-3</v>
      </c>
      <c r="O215" s="3">
        <f>(FEM[[#This Row],[disp_q4]]--0.0145666666666666)/-0.0145666666666666</f>
        <v>-4.65959206527118E-2</v>
      </c>
      <c r="P215" s="3">
        <f>(FEM[[#This Row],[disp_q8]]--0.0145666666666666)/-0.0145666666666666</f>
        <v>9.9753725258993585E-3</v>
      </c>
      <c r="Q215" s="3">
        <f>(FEM[[#This Row],[disp_q9]]--0.0145666666666666)/-0.0145666666666666</f>
        <v>9.9753725258993585E-3</v>
      </c>
    </row>
    <row r="216" spans="1:17" x14ac:dyDescent="0.3">
      <c r="A216">
        <v>15</v>
      </c>
      <c r="B216">
        <v>3</v>
      </c>
      <c r="C216">
        <v>128</v>
      </c>
      <c r="D216">
        <v>-1.00678194237748E-2</v>
      </c>
      <c r="E216">
        <v>434</v>
      </c>
      <c r="F216">
        <v>-1.4697764858648901E-2</v>
      </c>
      <c r="G216">
        <v>128</v>
      </c>
      <c r="H216">
        <v>-1.3570627679322701E-2</v>
      </c>
      <c r="I216">
        <v>344</v>
      </c>
      <c r="J216">
        <v>-1.4708258315458401E-2</v>
      </c>
      <c r="K216">
        <v>434</v>
      </c>
      <c r="L216">
        <v>-1.4708258315458401E-2</v>
      </c>
      <c r="M216" s="3">
        <f>(FEM[[#This Row],[disp_t3]]--0.0145666666666666)/-0.0145666666666666</f>
        <v>-0.30884534848227596</v>
      </c>
      <c r="N216" s="3">
        <f>(FEM[[#This Row],[disp_t6]]--0.0145666666666666)/-0.0145666666666666</f>
        <v>8.9998758797918878E-3</v>
      </c>
      <c r="O216" s="3">
        <f>(FEM[[#This Row],[disp_q4]]--0.0145666666666666)/-0.0145666666666666</f>
        <v>-6.8377962517888108E-2</v>
      </c>
      <c r="P216" s="3">
        <f>(FEM[[#This Row],[disp_q8]]--0.0145666666666666)/-0.0145666666666666</f>
        <v>9.7202504891397336E-3</v>
      </c>
      <c r="Q216" s="3">
        <f>(FEM[[#This Row],[disp_q9]]--0.0145666666666666)/-0.0145666666666666</f>
        <v>9.7202504891397336E-3</v>
      </c>
    </row>
    <row r="217" spans="1:17" x14ac:dyDescent="0.3">
      <c r="A217">
        <v>12</v>
      </c>
      <c r="B217">
        <v>3</v>
      </c>
      <c r="C217">
        <v>104</v>
      </c>
      <c r="D217">
        <v>-9.2262824005191202E-3</v>
      </c>
      <c r="E217">
        <v>350</v>
      </c>
      <c r="F217">
        <v>-1.46910104206621E-2</v>
      </c>
      <c r="G217">
        <v>104</v>
      </c>
      <c r="H217">
        <v>-1.30240845319565E-2</v>
      </c>
      <c r="I217">
        <v>278</v>
      </c>
      <c r="J217">
        <v>-1.4702468821549601E-2</v>
      </c>
      <c r="K217">
        <v>350</v>
      </c>
      <c r="L217">
        <v>-1.4702468821549601E-2</v>
      </c>
      <c r="M217" s="3">
        <f>(FEM[[#This Row],[disp_t3]]--0.0145666666666666)/-0.0145666666666666</f>
        <v>-0.36661676884307809</v>
      </c>
      <c r="N217" s="3">
        <f>(FEM[[#This Row],[disp_t6]]--0.0145666666666666)/-0.0145666666666666</f>
        <v>8.536184484817003E-3</v>
      </c>
      <c r="O217" s="3">
        <f>(FEM[[#This Row],[disp_q4]]--0.0145666666666666)/-0.0145666666666666</f>
        <v>-0.10589808705103708</v>
      </c>
      <c r="P217" s="3">
        <f>(FEM[[#This Row],[disp_q8]]--0.0145666666666666)/-0.0145666666666666</f>
        <v>9.3228023947140946E-3</v>
      </c>
      <c r="Q217" s="3">
        <f>(FEM[[#This Row],[disp_q9]]--0.0145666666666666)/-0.0145666666666666</f>
        <v>9.3228023947140946E-3</v>
      </c>
    </row>
    <row r="218" spans="1:17" x14ac:dyDescent="0.3">
      <c r="A218">
        <v>10</v>
      </c>
      <c r="B218">
        <v>3</v>
      </c>
      <c r="C218">
        <v>88</v>
      </c>
      <c r="D218">
        <v>-8.3736440318961207E-3</v>
      </c>
      <c r="E218">
        <v>294</v>
      </c>
      <c r="F218">
        <v>-1.4684265770500001E-2</v>
      </c>
      <c r="G218">
        <v>88</v>
      </c>
      <c r="H218">
        <v>-1.2414067507446299E-2</v>
      </c>
      <c r="I218">
        <v>234</v>
      </c>
      <c r="J218">
        <v>-1.46966739587094E-2</v>
      </c>
      <c r="K218">
        <v>294</v>
      </c>
      <c r="L218">
        <v>-1.46966739587094E-2</v>
      </c>
      <c r="M218" s="3">
        <f>(FEM[[#This Row],[disp_t3]]--0.0145666666666666)/-0.0145666666666666</f>
        <v>-0.42515029529316983</v>
      </c>
      <c r="N218" s="3">
        <f>(FEM[[#This Row],[disp_t6]]--0.0145666666666666)/-0.0145666666666666</f>
        <v>8.0731650228880077E-3</v>
      </c>
      <c r="O218" s="3">
        <f>(FEM[[#This Row],[disp_q4]]--0.0145666666666666)/-0.0145666666666666</f>
        <v>-0.1477756859876643</v>
      </c>
      <c r="P218" s="3">
        <f>(FEM[[#This Row],[disp_q8]]--0.0145666666666666)/-0.0145666666666666</f>
        <v>8.92498572376213E-3</v>
      </c>
      <c r="Q218" s="3">
        <f>(FEM[[#This Row],[disp_q9]]--0.0145666666666666)/-0.0145666666666666</f>
        <v>8.92498572376213E-3</v>
      </c>
    </row>
    <row r="219" spans="1:17" x14ac:dyDescent="0.3">
      <c r="A219">
        <v>8</v>
      </c>
      <c r="B219">
        <v>3</v>
      </c>
      <c r="C219">
        <v>72</v>
      </c>
      <c r="D219">
        <v>-7.1610227711662198E-3</v>
      </c>
      <c r="E219">
        <v>238</v>
      </c>
      <c r="F219">
        <v>-1.46737010186087E-2</v>
      </c>
      <c r="G219">
        <v>72</v>
      </c>
      <c r="H219">
        <v>-1.14297994676537E-2</v>
      </c>
      <c r="I219">
        <v>190</v>
      </c>
      <c r="J219">
        <v>-1.4688056910059999E-2</v>
      </c>
      <c r="K219">
        <v>238</v>
      </c>
      <c r="L219">
        <v>-1.4688056910059999E-2</v>
      </c>
      <c r="M219" s="3">
        <f>(FEM[[#This Row],[disp_t3]]--0.0145666666666666)/-0.0145666666666666</f>
        <v>-0.50839660609842663</v>
      </c>
      <c r="N219" s="3">
        <f>(FEM[[#This Row],[disp_t6]]--0.0145666666666666)/-0.0145666666666666</f>
        <v>7.3478960143319172E-3</v>
      </c>
      <c r="O219" s="3">
        <f>(FEM[[#This Row],[disp_q4]]--0.0145666666666666)/-0.0145666666666666</f>
        <v>-0.21534557430294604</v>
      </c>
      <c r="P219" s="3">
        <f>(FEM[[#This Row],[disp_q8]]--0.0145666666666666)/-0.0145666666666666</f>
        <v>8.3334263199130766E-3</v>
      </c>
      <c r="Q219" s="3">
        <f>(FEM[[#This Row],[disp_q9]]--0.0145666666666666)/-0.0145666666666666</f>
        <v>8.3334263199130766E-3</v>
      </c>
    </row>
    <row r="220" spans="1:17" x14ac:dyDescent="0.3">
      <c r="A220">
        <v>7</v>
      </c>
      <c r="B220">
        <v>3</v>
      </c>
      <c r="C220">
        <v>64</v>
      </c>
      <c r="D220">
        <v>-6.3795968621651903E-3</v>
      </c>
      <c r="E220">
        <v>210</v>
      </c>
      <c r="F220">
        <v>-1.4665398016445799E-2</v>
      </c>
      <c r="G220">
        <v>64</v>
      </c>
      <c r="H220">
        <v>-1.07083911571488E-2</v>
      </c>
      <c r="I220">
        <v>168</v>
      </c>
      <c r="J220">
        <v>-1.4681769766364899E-2</v>
      </c>
      <c r="K220">
        <v>210</v>
      </c>
      <c r="L220">
        <v>-1.4681769766364899E-2</v>
      </c>
      <c r="M220" s="3">
        <f>(FEM[[#This Row],[disp_t3]]--0.0145666666666666)/-0.0145666666666666</f>
        <v>-0.56204140534334868</v>
      </c>
      <c r="N220" s="3">
        <f>(FEM[[#This Row],[disp_t6]]--0.0145666666666666)/-0.0145666666666666</f>
        <v>6.7778958658489923E-3</v>
      </c>
      <c r="O220" s="3">
        <f>(FEM[[#This Row],[disp_q4]]--0.0145666666666666)/-0.0145666666666666</f>
        <v>-0.26487017227811099</v>
      </c>
      <c r="P220" s="3">
        <f>(FEM[[#This Row],[disp_q8]]--0.0145666666666666)/-0.0145666666666666</f>
        <v>7.9018146245972941E-3</v>
      </c>
      <c r="Q220" s="3">
        <f>(FEM[[#This Row],[disp_q9]]--0.0145666666666666)/-0.0145666666666666</f>
        <v>7.9018146245972941E-3</v>
      </c>
    </row>
    <row r="221" spans="1:17" x14ac:dyDescent="0.3">
      <c r="A221">
        <v>6</v>
      </c>
      <c r="B221">
        <v>3</v>
      </c>
      <c r="C221">
        <v>56</v>
      </c>
      <c r="D221">
        <v>-5.4661283680648197E-3</v>
      </c>
      <c r="E221">
        <v>182</v>
      </c>
      <c r="F221">
        <v>-1.4652695468086001E-2</v>
      </c>
      <c r="G221">
        <v>56</v>
      </c>
      <c r="H221">
        <v>-9.7597375277344509E-3</v>
      </c>
      <c r="I221">
        <v>146</v>
      </c>
      <c r="J221">
        <v>-1.4672806846035899E-2</v>
      </c>
      <c r="K221">
        <v>182</v>
      </c>
      <c r="L221">
        <v>-1.4672806846035899E-2</v>
      </c>
      <c r="M221" s="3">
        <f>(FEM[[#This Row],[disp_t3]]--0.0145666666666666)/-0.0145666666666666</f>
        <v>-0.62475091294749352</v>
      </c>
      <c r="N221" s="3">
        <f>(FEM[[#This Row],[disp_t6]]--0.0145666666666666)/-0.0145666666666666</f>
        <v>5.9058673743296475E-3</v>
      </c>
      <c r="O221" s="3">
        <f>(FEM[[#This Row],[disp_q4]]--0.0145666666666666)/-0.0145666666666666</f>
        <v>-0.32999513539580122</v>
      </c>
      <c r="P221" s="3">
        <f>(FEM[[#This Row],[disp_q8]]--0.0145666666666666)/-0.0145666666666666</f>
        <v>7.2865111695171979E-3</v>
      </c>
      <c r="Q221" s="3">
        <f>(FEM[[#This Row],[disp_q9]]--0.0145666666666666)/-0.0145666666666666</f>
        <v>7.2865111695171979E-3</v>
      </c>
    </row>
    <row r="222" spans="1:17" x14ac:dyDescent="0.3">
      <c r="A222">
        <v>5</v>
      </c>
      <c r="B222">
        <v>3</v>
      </c>
      <c r="C222">
        <v>48</v>
      </c>
      <c r="D222">
        <v>-4.4253153245614697E-3</v>
      </c>
      <c r="E222">
        <v>154</v>
      </c>
      <c r="F222">
        <v>-1.4630465528069E-2</v>
      </c>
      <c r="G222">
        <v>48</v>
      </c>
      <c r="H222">
        <v>-8.5099391275051499E-3</v>
      </c>
      <c r="I222">
        <v>124</v>
      </c>
      <c r="J222">
        <v>-1.46582093825081E-2</v>
      </c>
      <c r="K222">
        <v>154</v>
      </c>
      <c r="L222">
        <v>-1.46582093825081E-2</v>
      </c>
      <c r="M222" s="3">
        <f>(FEM[[#This Row],[disp_t3]]--0.0145666666666666)/-0.0145666666666666</f>
        <v>-0.69620260929783817</v>
      </c>
      <c r="N222" s="3">
        <f>(FEM[[#This Row],[disp_t6]]--0.0145666666666666)/-0.0145666666666666</f>
        <v>4.3797845356339645E-3</v>
      </c>
      <c r="O222" s="3">
        <f>(FEM[[#This Row],[disp_q4]]--0.0145666666666666)/-0.0145666666666666</f>
        <v>-0.41579365257401446</v>
      </c>
      <c r="P222" s="3">
        <f>(FEM[[#This Row],[disp_q8]]--0.0145666666666666)/-0.0145666666666666</f>
        <v>6.2843969685241023E-3</v>
      </c>
      <c r="Q222" s="3">
        <f>(FEM[[#This Row],[disp_q9]]--0.0145666666666666)/-0.0145666666666666</f>
        <v>6.2843969685241023E-3</v>
      </c>
    </row>
    <row r="223" spans="1:17" x14ac:dyDescent="0.3">
      <c r="A223">
        <v>4</v>
      </c>
      <c r="B223">
        <v>3</v>
      </c>
      <c r="C223">
        <v>40</v>
      </c>
      <c r="D223">
        <v>-3.2909781862443801E-3</v>
      </c>
      <c r="E223">
        <v>126</v>
      </c>
      <c r="F223">
        <v>-1.45840517550417E-2</v>
      </c>
      <c r="G223">
        <v>40</v>
      </c>
      <c r="H223">
        <v>-6.8870203678790898E-3</v>
      </c>
      <c r="I223">
        <v>102</v>
      </c>
      <c r="J223">
        <v>-1.4628924546669499E-2</v>
      </c>
      <c r="K223">
        <v>126</v>
      </c>
      <c r="L223">
        <v>-1.4628924546669499E-2</v>
      </c>
      <c r="M223" s="3">
        <f>(FEM[[#This Row],[disp_t3]]--0.0145666666666666)/-0.0145666666666666</f>
        <v>-0.77407472405644873</v>
      </c>
      <c r="N223" s="3">
        <f>(FEM[[#This Row],[disp_t6]]--0.0145666666666666)/-0.0145666666666666</f>
        <v>1.1934843278101162E-3</v>
      </c>
      <c r="O223" s="3">
        <f>(FEM[[#This Row],[disp_q4]]--0.0145666666666666)/-0.0145666666666666</f>
        <v>-0.52720683973369875</v>
      </c>
      <c r="P223" s="3">
        <f>(FEM[[#This Row],[disp_q8]]--0.0145666666666666)/-0.0145666666666666</f>
        <v>4.2739963388718737E-3</v>
      </c>
      <c r="Q223" s="3">
        <f>(FEM[[#This Row],[disp_q9]]--0.0145666666666666)/-0.0145666666666666</f>
        <v>4.2739963388718737E-3</v>
      </c>
    </row>
    <row r="224" spans="1:17" x14ac:dyDescent="0.3">
      <c r="A224">
        <v>3</v>
      </c>
      <c r="B224">
        <v>3</v>
      </c>
      <c r="C224">
        <v>32</v>
      </c>
      <c r="D224">
        <v>-2.1434597075240202E-3</v>
      </c>
      <c r="E224">
        <v>98</v>
      </c>
      <c r="F224">
        <v>-1.44631656510356E-2</v>
      </c>
      <c r="G224">
        <v>32</v>
      </c>
      <c r="H224">
        <v>-4.8779727630501903E-3</v>
      </c>
      <c r="I224">
        <v>80</v>
      </c>
      <c r="J224">
        <v>-1.45502737110697E-2</v>
      </c>
      <c r="K224">
        <v>98</v>
      </c>
      <c r="L224">
        <v>-1.45502737110697E-2</v>
      </c>
      <c r="M224" s="3">
        <f>(FEM[[#This Row],[disp_t3]]--0.0145666666666666)/-0.0145666666666666</f>
        <v>-0.85285173632558142</v>
      </c>
      <c r="N224" s="3">
        <f>(FEM[[#This Row],[disp_t6]]--0.0145666666666666)/-0.0145666666666666</f>
        <v>-7.1053328808466367E-3</v>
      </c>
      <c r="O224" s="3">
        <f>(FEM[[#This Row],[disp_q4]]--0.0145666666666666)/-0.0145666666666666</f>
        <v>-0.66512772793705632</v>
      </c>
      <c r="P224" s="3">
        <f>(FEM[[#This Row],[disp_q8]]--0.0145666666666666)/-0.0145666666666666</f>
        <v>-1.1253745261029097E-3</v>
      </c>
      <c r="Q224" s="3">
        <f>(FEM[[#This Row],[disp_q9]]--0.0145666666666666)/-0.0145666666666666</f>
        <v>-1.1253745261029097E-3</v>
      </c>
    </row>
    <row r="225" spans="1:17" x14ac:dyDescent="0.3">
      <c r="A225">
        <v>2</v>
      </c>
      <c r="B225">
        <v>3</v>
      </c>
      <c r="C225">
        <v>24</v>
      </c>
      <c r="D225">
        <v>-1.1197256103592599E-3</v>
      </c>
      <c r="E225">
        <v>70</v>
      </c>
      <c r="F225">
        <v>-1.40400737879993E-2</v>
      </c>
      <c r="G225">
        <v>24</v>
      </c>
      <c r="H225">
        <v>-2.66129861289219E-3</v>
      </c>
      <c r="I225">
        <v>58</v>
      </c>
      <c r="J225">
        <v>-1.4234703313376699E-2</v>
      </c>
      <c r="K225">
        <v>70</v>
      </c>
      <c r="L225">
        <v>-1.4234703313376699E-2</v>
      </c>
      <c r="M225" s="3">
        <f>(FEM[[#This Row],[disp_t3]]--0.0145666666666666)/-0.0145666666666666</f>
        <v>-0.9231309649638948</v>
      </c>
      <c r="N225" s="3">
        <f>(FEM[[#This Row],[disp_t6]]--0.0145666666666666)/-0.0145666666666666</f>
        <v>-3.6150540869608845E-2</v>
      </c>
      <c r="O225" s="3">
        <f>(FEM[[#This Row],[disp_q4]]--0.0145666666666666)/-0.0145666666666666</f>
        <v>-0.81730215472135914</v>
      </c>
      <c r="P225" s="3">
        <f>(FEM[[#This Row],[disp_q8]]--0.0145666666666666)/-0.0145666666666666</f>
        <v>-2.2789246221274716E-2</v>
      </c>
      <c r="Q225" s="3">
        <f>(FEM[[#This Row],[disp_q9]]--0.0145666666666666)/-0.0145666666666666</f>
        <v>-2.2789246221274716E-2</v>
      </c>
    </row>
    <row r="226" spans="1:17" x14ac:dyDescent="0.3">
      <c r="A226">
        <v>1</v>
      </c>
      <c r="B226">
        <v>3</v>
      </c>
      <c r="C226">
        <v>16</v>
      </c>
      <c r="D226">
        <v>-3.9661851146301902E-4</v>
      </c>
      <c r="E226">
        <v>42</v>
      </c>
      <c r="F226">
        <v>-1.1411088789860401E-2</v>
      </c>
      <c r="G226">
        <v>16</v>
      </c>
      <c r="H226">
        <v>-7.7116527134236696E-4</v>
      </c>
      <c r="I226">
        <v>36</v>
      </c>
      <c r="J226">
        <v>-1.18329280671689E-2</v>
      </c>
      <c r="K226">
        <v>42</v>
      </c>
      <c r="L226">
        <v>-1.18329280671689E-2</v>
      </c>
      <c r="M226" s="3">
        <f>(FEM[[#This Row],[disp_t3]]--0.0145666666666666)/-0.0145666666666666</f>
        <v>-0.97277218456775605</v>
      </c>
      <c r="N226" s="3">
        <f>(FEM[[#This Row],[disp_t6]]--0.0145666666666666)/-0.0145666666666666</f>
        <v>-0.21663006019264622</v>
      </c>
      <c r="O226" s="3">
        <f>(FEM[[#This Row],[disp_q4]]--0.0145666666666666)/-0.0145666666666666</f>
        <v>-0.94705959235635895</v>
      </c>
      <c r="P226" s="3">
        <f>(FEM[[#This Row],[disp_q8]]--0.0145666666666666)/-0.0145666666666666</f>
        <v>-0.18767084207078114</v>
      </c>
      <c r="Q226" s="3">
        <f>(FEM[[#This Row],[disp_q9]]--0.0145666666666666)/-0.0145666666666666</f>
        <v>-0.18767084207078114</v>
      </c>
    </row>
    <row r="227" spans="1:17" x14ac:dyDescent="0.3">
      <c r="A227">
        <v>200</v>
      </c>
      <c r="B227">
        <v>2</v>
      </c>
      <c r="C227">
        <v>1206</v>
      </c>
      <c r="D227">
        <v>-9.8169376319507794E-3</v>
      </c>
      <c r="E227">
        <v>4010</v>
      </c>
      <c r="F227">
        <v>-1.47054880160536E-2</v>
      </c>
      <c r="G227">
        <v>1206</v>
      </c>
      <c r="H227">
        <v>-1.46329897758925E-2</v>
      </c>
      <c r="I227">
        <v>3210</v>
      </c>
      <c r="J227">
        <v>-1.47156529658676E-2</v>
      </c>
      <c r="K227">
        <v>4010</v>
      </c>
      <c r="L227">
        <v>-1.47156529658676E-2</v>
      </c>
      <c r="M227" s="3">
        <f>(FEM[[#This Row],[disp_t3]]--0.0145666666666666)/-0.0145666666666666</f>
        <v>-0.32606835478598456</v>
      </c>
      <c r="N227" s="3">
        <f>(FEM[[#This Row],[disp_t6]]--0.0145666666666666)/-0.0145666666666666</f>
        <v>9.5300697519680767E-3</v>
      </c>
      <c r="O227" s="3">
        <f>(FEM[[#This Row],[disp_q4]]--0.0145666666666666)/-0.0145666666666666</f>
        <v>4.5530738599016893E-3</v>
      </c>
      <c r="P227" s="3">
        <f>(FEM[[#This Row],[disp_q8]]--0.0145666666666666)/-0.0145666666666666</f>
        <v>1.0227892393661446E-2</v>
      </c>
      <c r="Q227" s="3">
        <f>(FEM[[#This Row],[disp_q9]]--0.0145666666666666)/-0.0145666666666666</f>
        <v>1.0227892393661446E-2</v>
      </c>
    </row>
    <row r="228" spans="1:17" x14ac:dyDescent="0.3">
      <c r="A228">
        <v>166</v>
      </c>
      <c r="B228">
        <v>2</v>
      </c>
      <c r="C228">
        <v>1002</v>
      </c>
      <c r="D228">
        <v>-9.8129346240798995E-3</v>
      </c>
      <c r="E228">
        <v>3330</v>
      </c>
      <c r="F228">
        <v>-1.4705369048326601E-2</v>
      </c>
      <c r="G228">
        <v>1002</v>
      </c>
      <c r="H228">
        <v>-1.4629986312751199E-2</v>
      </c>
      <c r="I228">
        <v>2666</v>
      </c>
      <c r="J228">
        <v>-1.47154828762237E-2</v>
      </c>
      <c r="K228">
        <v>3330</v>
      </c>
      <c r="L228">
        <v>-1.47154828762237E-2</v>
      </c>
      <c r="M228" s="3">
        <f>(FEM[[#This Row],[disp_t3]]--0.0145666666666666)/-0.0145666666666666</f>
        <v>-0.32634316081831044</v>
      </c>
      <c r="N228" s="3">
        <f>(FEM[[#This Row],[disp_t6]]--0.0145666666666666)/-0.0145666666666666</f>
        <v>9.5219026311214247E-3</v>
      </c>
      <c r="O228" s="3">
        <f>(FEM[[#This Row],[disp_q4]]--0.0145666666666666)/-0.0145666666666666</f>
        <v>4.3468864588970405E-3</v>
      </c>
      <c r="P228" s="3">
        <f>(FEM[[#This Row],[disp_q8]]--0.0145666666666666)/-0.0145666666666666</f>
        <v>1.0216215759068722E-2</v>
      </c>
      <c r="Q228" s="3">
        <f>(FEM[[#This Row],[disp_q9]]--0.0145666666666666)/-0.0145666666666666</f>
        <v>1.0216215759068722E-2</v>
      </c>
    </row>
    <row r="229" spans="1:17" x14ac:dyDescent="0.3">
      <c r="A229">
        <v>138</v>
      </c>
      <c r="B229">
        <v>2</v>
      </c>
      <c r="C229">
        <v>834</v>
      </c>
      <c r="D229">
        <v>-9.8072053581048698E-3</v>
      </c>
      <c r="E229">
        <v>2770</v>
      </c>
      <c r="F229">
        <v>-1.4705210604141599E-2</v>
      </c>
      <c r="G229">
        <v>834</v>
      </c>
      <c r="H229">
        <v>-1.46256735006962E-2</v>
      </c>
      <c r="I229">
        <v>2218</v>
      </c>
      <c r="J229">
        <v>-1.4715244100190501E-2</v>
      </c>
      <c r="K229">
        <v>2770</v>
      </c>
      <c r="L229">
        <v>-1.4715244100190501E-2</v>
      </c>
      <c r="M229" s="3">
        <f>(FEM[[#This Row],[disp_t3]]--0.0145666666666666)/-0.0145666666666666</f>
        <v>-0.32673647427197378</v>
      </c>
      <c r="N229" s="3">
        <f>(FEM[[#This Row],[disp_t6]]--0.0145666666666666)/-0.0145666666666666</f>
        <v>9.5110254559497044E-3</v>
      </c>
      <c r="O229" s="3">
        <f>(FEM[[#This Row],[disp_q4]]--0.0145666666666666)/-0.0145666666666666</f>
        <v>4.0508124047781147E-3</v>
      </c>
      <c r="P229" s="3">
        <f>(FEM[[#This Row],[disp_q8]]--0.0145666666666666)/-0.0145666666666666</f>
        <v>1.0199823811709514E-2</v>
      </c>
      <c r="Q229" s="3">
        <f>(FEM[[#This Row],[disp_q9]]--0.0145666666666666)/-0.0145666666666666</f>
        <v>1.0199823811709514E-2</v>
      </c>
    </row>
    <row r="230" spans="1:17" x14ac:dyDescent="0.3">
      <c r="A230">
        <v>115</v>
      </c>
      <c r="B230">
        <v>2</v>
      </c>
      <c r="C230">
        <v>696</v>
      </c>
      <c r="D230">
        <v>-9.7990751664857306E-3</v>
      </c>
      <c r="E230">
        <v>2310</v>
      </c>
      <c r="F230">
        <v>-1.47050005159555E-2</v>
      </c>
      <c r="G230">
        <v>696</v>
      </c>
      <c r="H230">
        <v>-1.4619535007870801E-2</v>
      </c>
      <c r="I230">
        <v>1850</v>
      </c>
      <c r="J230">
        <v>-1.47149148597549E-2</v>
      </c>
      <c r="K230">
        <v>2310</v>
      </c>
      <c r="L230">
        <v>-1.47149148597549E-2</v>
      </c>
      <c r="M230" s="3">
        <f>(FEM[[#This Row],[disp_t3]]--0.0145666666666666)/-0.0145666666666666</f>
        <v>-0.32729461099639984</v>
      </c>
      <c r="N230" s="3">
        <f>(FEM[[#This Row],[disp_t6]]--0.0145666666666666)/-0.0145666666666666</f>
        <v>9.4966029260115208E-3</v>
      </c>
      <c r="O230" s="3">
        <f>(FEM[[#This Row],[disp_q4]]--0.0145666666666666)/-0.0145666666666666</f>
        <v>3.6294055746591493E-3</v>
      </c>
      <c r="P230" s="3">
        <f>(FEM[[#This Row],[disp_q8]]--0.0145666666666666)/-0.0145666666666666</f>
        <v>1.0177221493476067E-2</v>
      </c>
      <c r="Q230" s="3">
        <f>(FEM[[#This Row],[disp_q9]]--0.0145666666666666)/-0.0145666666666666</f>
        <v>1.0177221493476067E-2</v>
      </c>
    </row>
    <row r="231" spans="1:17" x14ac:dyDescent="0.3">
      <c r="A231">
        <v>96</v>
      </c>
      <c r="B231">
        <v>2</v>
      </c>
      <c r="C231">
        <v>582</v>
      </c>
      <c r="D231">
        <v>-9.7875465041127596E-3</v>
      </c>
      <c r="E231">
        <v>1930</v>
      </c>
      <c r="F231">
        <v>-1.47047214653158E-2</v>
      </c>
      <c r="G231">
        <v>582</v>
      </c>
      <c r="H231">
        <v>-1.4610805547827E-2</v>
      </c>
      <c r="I231">
        <v>1546</v>
      </c>
      <c r="J231">
        <v>-1.4714466791924201E-2</v>
      </c>
      <c r="K231">
        <v>1930</v>
      </c>
      <c r="L231">
        <v>-1.4714466791924201E-2</v>
      </c>
      <c r="M231" s="3">
        <f>(FEM[[#This Row],[disp_t3]]--0.0145666666666666)/-0.0145666666666666</f>
        <v>-0.32808605234923538</v>
      </c>
      <c r="N231" s="3">
        <f>(FEM[[#This Row],[disp_t6]]--0.0145666666666666)/-0.0145666666666666</f>
        <v>9.4774461315241323E-3</v>
      </c>
      <c r="O231" s="3">
        <f>(FEM[[#This Row],[disp_q4]]--0.0145666666666666)/-0.0145666666666666</f>
        <v>3.0301291414462873E-3</v>
      </c>
      <c r="P231" s="3">
        <f>(FEM[[#This Row],[disp_q8]]--0.0145666666666666)/-0.0145666666666666</f>
        <v>1.0146461688164887E-2</v>
      </c>
      <c r="Q231" s="3">
        <f>(FEM[[#This Row],[disp_q9]]--0.0145666666666666)/-0.0145666666666666</f>
        <v>1.0146461688164887E-2</v>
      </c>
    </row>
    <row r="232" spans="1:17" x14ac:dyDescent="0.3">
      <c r="A232">
        <v>80</v>
      </c>
      <c r="B232">
        <v>2</v>
      </c>
      <c r="C232">
        <v>486</v>
      </c>
      <c r="D232">
        <v>-9.770888921645E-3</v>
      </c>
      <c r="E232">
        <v>1610</v>
      </c>
      <c r="F232">
        <v>-1.47043439125168E-2</v>
      </c>
      <c r="G232">
        <v>486</v>
      </c>
      <c r="H232">
        <v>-1.45981548873055E-2</v>
      </c>
      <c r="I232">
        <v>1290</v>
      </c>
      <c r="J232">
        <v>-1.4713855854059999E-2</v>
      </c>
      <c r="K232">
        <v>1610</v>
      </c>
      <c r="L232">
        <v>-1.4713855854059999E-2</v>
      </c>
      <c r="M232" s="3">
        <f>(FEM[[#This Row],[disp_t3]]--0.0145666666666666)/-0.0145666666666666</f>
        <v>-0.32922959347974518</v>
      </c>
      <c r="N232" s="3">
        <f>(FEM[[#This Row],[disp_t6]]--0.0145666666666666)/-0.0145666666666666</f>
        <v>9.4515271750710197E-3</v>
      </c>
      <c r="O232" s="3">
        <f>(FEM[[#This Row],[disp_q4]]--0.0145666666666666)/-0.0145666666666666</f>
        <v>2.1616627440893166E-3</v>
      </c>
      <c r="P232" s="3">
        <f>(FEM[[#This Row],[disp_q8]]--0.0145666666666666)/-0.0145666666666666</f>
        <v>1.0104520873688841E-2</v>
      </c>
      <c r="Q232" s="3">
        <f>(FEM[[#This Row],[disp_q9]]--0.0145666666666666)/-0.0145666666666666</f>
        <v>1.0104520873688841E-2</v>
      </c>
    </row>
    <row r="233" spans="1:17" x14ac:dyDescent="0.3">
      <c r="A233">
        <v>66</v>
      </c>
      <c r="B233">
        <v>2</v>
      </c>
      <c r="C233">
        <v>402</v>
      </c>
      <c r="D233">
        <v>-9.7454560836836499E-3</v>
      </c>
      <c r="E233">
        <v>1330</v>
      </c>
      <c r="F233">
        <v>-1.47038068136244E-2</v>
      </c>
      <c r="G233">
        <v>402</v>
      </c>
      <c r="H233">
        <v>-1.4578773332723401E-2</v>
      </c>
      <c r="I233">
        <v>1066</v>
      </c>
      <c r="J233">
        <v>-1.47129976118918E-2</v>
      </c>
      <c r="K233">
        <v>1330</v>
      </c>
      <c r="L233">
        <v>-1.47129976118918E-2</v>
      </c>
      <c r="M233" s="3">
        <f>(FEM[[#This Row],[disp_t3]]--0.0145666666666666)/-0.0145666666666666</f>
        <v>-0.33097555489585617</v>
      </c>
      <c r="N233" s="3">
        <f>(FEM[[#This Row],[disp_t6]]--0.0145666666666666)/-0.0145666666666666</f>
        <v>9.4146553975607509E-3</v>
      </c>
      <c r="O233" s="3">
        <f>(FEM[[#This Row],[disp_q4]]--0.0145666666666666)/-0.0145666666666666</f>
        <v>8.3112123959734727E-4</v>
      </c>
      <c r="P233" s="3">
        <f>(FEM[[#This Row],[disp_q8]]--0.0145666666666666)/-0.0145666666666666</f>
        <v>1.0045602647038967E-2</v>
      </c>
      <c r="Q233" s="3">
        <f>(FEM[[#This Row],[disp_q9]]--0.0145666666666666)/-0.0145666666666666</f>
        <v>1.0045602647038967E-2</v>
      </c>
    </row>
    <row r="234" spans="1:17" x14ac:dyDescent="0.3">
      <c r="A234">
        <v>55</v>
      </c>
      <c r="B234">
        <v>2</v>
      </c>
      <c r="C234">
        <v>336</v>
      </c>
      <c r="D234">
        <v>-9.7106786416165103E-3</v>
      </c>
      <c r="E234">
        <v>1110</v>
      </c>
      <c r="F234">
        <v>-1.47031259131252E-2</v>
      </c>
      <c r="G234">
        <v>336</v>
      </c>
      <c r="H234">
        <v>-1.4552161959308E-2</v>
      </c>
      <c r="I234">
        <v>890</v>
      </c>
      <c r="J234">
        <v>-1.47119485475665E-2</v>
      </c>
      <c r="K234">
        <v>1110</v>
      </c>
      <c r="L234">
        <v>-1.47119485475665E-2</v>
      </c>
      <c r="M234" s="3">
        <f>(FEM[[#This Row],[disp_t3]]--0.0145666666666666)/-0.0145666666666666</f>
        <v>-0.33336302231465298</v>
      </c>
      <c r="N234" s="3">
        <f>(FEM[[#This Row],[disp_t6]]--0.0145666666666666)/-0.0145666666666666</f>
        <v>9.3679116561968603E-3</v>
      </c>
      <c r="O234" s="3">
        <f>(FEM[[#This Row],[disp_q4]]--0.0145666666666666)/-0.0145666666666666</f>
        <v>-9.9574650059032705E-4</v>
      </c>
      <c r="P234" s="3">
        <f>(FEM[[#This Row],[disp_q8]]--0.0145666666666666)/-0.0145666666666666</f>
        <v>9.9735845011373787E-3</v>
      </c>
      <c r="Q234" s="3">
        <f>(FEM[[#This Row],[disp_q9]]--0.0145666666666666)/-0.0145666666666666</f>
        <v>9.9735845011373787E-3</v>
      </c>
    </row>
    <row r="235" spans="1:17" x14ac:dyDescent="0.3">
      <c r="A235">
        <v>46</v>
      </c>
      <c r="B235">
        <v>2</v>
      </c>
      <c r="C235">
        <v>282</v>
      </c>
      <c r="D235">
        <v>-9.6622569347486892E-3</v>
      </c>
      <c r="E235">
        <v>930</v>
      </c>
      <c r="F235">
        <v>-1.47022514762787E-2</v>
      </c>
      <c r="G235">
        <v>282</v>
      </c>
      <c r="H235">
        <v>-1.4514924171395801E-2</v>
      </c>
      <c r="I235">
        <v>746</v>
      </c>
      <c r="J235">
        <v>-1.47106814816795E-2</v>
      </c>
      <c r="K235">
        <v>930</v>
      </c>
      <c r="L235">
        <v>-1.47106814816795E-2</v>
      </c>
      <c r="M235" s="3">
        <f>(FEM[[#This Row],[disp_t3]]--0.0145666666666666)/-0.0145666666666666</f>
        <v>-0.33668716695088785</v>
      </c>
      <c r="N235" s="3">
        <f>(FEM[[#This Row],[disp_t6]]--0.0145666666666666)/-0.0145666666666666</f>
        <v>9.3078816667346437E-3</v>
      </c>
      <c r="O235" s="3">
        <f>(FEM[[#This Row],[disp_q4]]--0.0145666666666666)/-0.0145666666666666</f>
        <v>-3.5521163801463863E-3</v>
      </c>
      <c r="P235" s="3">
        <f>(FEM[[#This Row],[disp_q8]]--0.0145666666666666)/-0.0145666666666666</f>
        <v>9.8866005729680451E-3</v>
      </c>
      <c r="Q235" s="3">
        <f>(FEM[[#This Row],[disp_q9]]--0.0145666666666666)/-0.0145666666666666</f>
        <v>9.8866005729680451E-3</v>
      </c>
    </row>
    <row r="236" spans="1:17" x14ac:dyDescent="0.3">
      <c r="A236">
        <v>38</v>
      </c>
      <c r="B236">
        <v>2</v>
      </c>
      <c r="C236">
        <v>234</v>
      </c>
      <c r="D236">
        <v>-9.5882930581552596E-3</v>
      </c>
      <c r="E236">
        <v>770</v>
      </c>
      <c r="F236">
        <v>-1.470103462847E-2</v>
      </c>
      <c r="G236">
        <v>234</v>
      </c>
      <c r="H236">
        <v>-1.44576535716601E-2</v>
      </c>
      <c r="I236">
        <v>618</v>
      </c>
      <c r="J236">
        <v>-1.47090736239363E-2</v>
      </c>
      <c r="K236">
        <v>770</v>
      </c>
      <c r="L236">
        <v>-1.47090736239363E-2</v>
      </c>
      <c r="M236" s="3">
        <f>(FEM[[#This Row],[disp_t3]]--0.0145666666666666)/-0.0145666666666666</f>
        <v>-0.34176477861634069</v>
      </c>
      <c r="N236" s="3">
        <f>(FEM[[#This Row],[disp_t6]]--0.0145666666666666)/-0.0145666666666666</f>
        <v>9.224345203894823E-3</v>
      </c>
      <c r="O236" s="3">
        <f>(FEM[[#This Row],[disp_q4]]--0.0145666666666666)/-0.0145666666666666</f>
        <v>-7.4837364993020263E-3</v>
      </c>
      <c r="P236" s="3">
        <f>(FEM[[#This Row],[disp_q8]]--0.0145666666666666)/-0.0145666666666666</f>
        <v>9.7762213228627763E-3</v>
      </c>
      <c r="Q236" s="3">
        <f>(FEM[[#This Row],[disp_q9]]--0.0145666666666666)/-0.0145666666666666</f>
        <v>9.7762213228627763E-3</v>
      </c>
    </row>
    <row r="237" spans="1:17" x14ac:dyDescent="0.3">
      <c r="A237">
        <v>32</v>
      </c>
      <c r="B237">
        <v>2</v>
      </c>
      <c r="C237">
        <v>198</v>
      </c>
      <c r="D237">
        <v>-9.4945250484742092E-3</v>
      </c>
      <c r="E237">
        <v>650</v>
      </c>
      <c r="F237">
        <v>-1.4699639820948299E-2</v>
      </c>
      <c r="G237">
        <v>198</v>
      </c>
      <c r="H237">
        <v>-1.43843928523436E-2</v>
      </c>
      <c r="I237">
        <v>522</v>
      </c>
      <c r="J237">
        <v>-1.4707434959762599E-2</v>
      </c>
      <c r="K237">
        <v>650</v>
      </c>
      <c r="L237">
        <v>-1.4707434959762599E-2</v>
      </c>
      <c r="M237" s="3">
        <f>(FEM[[#This Row],[disp_t3]]--0.0145666666666666)/-0.0145666666666666</f>
        <v>-0.34820194175233959</v>
      </c>
      <c r="N237" s="3">
        <f>(FEM[[#This Row],[disp_t6]]--0.0145666666666666)/-0.0145666666666666</f>
        <v>9.1285918271190383E-3</v>
      </c>
      <c r="O237" s="3">
        <f>(FEM[[#This Row],[disp_q4]]--0.0145666666666666)/-0.0145666666666666</f>
        <v>-1.2513076498146498E-2</v>
      </c>
      <c r="P237" s="3">
        <f>(FEM[[#This Row],[disp_q8]]--0.0145666666666666)/-0.0145666666666666</f>
        <v>9.6637272148284228E-3</v>
      </c>
      <c r="Q237" s="3">
        <f>(FEM[[#This Row],[disp_q9]]--0.0145666666666666)/-0.0145666666666666</f>
        <v>9.6637272148284228E-3</v>
      </c>
    </row>
    <row r="238" spans="1:17" x14ac:dyDescent="0.3">
      <c r="A238">
        <v>26</v>
      </c>
      <c r="B238">
        <v>2</v>
      </c>
      <c r="C238">
        <v>162</v>
      </c>
      <c r="D238">
        <v>-9.3331682105269494E-3</v>
      </c>
      <c r="E238">
        <v>530</v>
      </c>
      <c r="F238">
        <v>-1.46975018203189E-2</v>
      </c>
      <c r="G238">
        <v>162</v>
      </c>
      <c r="H238">
        <v>-1.4256623031295299E-2</v>
      </c>
      <c r="I238">
        <v>426</v>
      </c>
      <c r="J238">
        <v>-1.4705267139304199E-2</v>
      </c>
      <c r="K238">
        <v>530</v>
      </c>
      <c r="L238">
        <v>-1.4705267139304199E-2</v>
      </c>
      <c r="M238" s="3">
        <f>(FEM[[#This Row],[disp_t3]]--0.0145666666666666)/-0.0145666666666666</f>
        <v>-0.35927907021553829</v>
      </c>
      <c r="N238" s="3">
        <f>(FEM[[#This Row],[disp_t6]]--0.0145666666666666)/-0.0145666666666666</f>
        <v>8.9818183285332379E-3</v>
      </c>
      <c r="O238" s="3">
        <f>(FEM[[#This Row],[disp_q4]]--0.0145666666666666)/-0.0145666666666666</f>
        <v>-2.1284460094139698E-2</v>
      </c>
      <c r="P238" s="3">
        <f>(FEM[[#This Row],[disp_q8]]--0.0145666666666666)/-0.0145666666666666</f>
        <v>9.5149065883936412E-3</v>
      </c>
      <c r="Q238" s="3">
        <f>(FEM[[#This Row],[disp_q9]]--0.0145666666666666)/-0.0145666666666666</f>
        <v>9.5149065883936412E-3</v>
      </c>
    </row>
    <row r="239" spans="1:17" x14ac:dyDescent="0.3">
      <c r="A239">
        <v>22</v>
      </c>
      <c r="B239">
        <v>2</v>
      </c>
      <c r="C239">
        <v>138</v>
      </c>
      <c r="D239">
        <v>-9.15184006949624E-3</v>
      </c>
      <c r="E239">
        <v>450</v>
      </c>
      <c r="F239">
        <v>-1.4695358414900101E-2</v>
      </c>
      <c r="G239">
        <v>138</v>
      </c>
      <c r="H239">
        <v>-1.4110440030072899E-2</v>
      </c>
      <c r="I239">
        <v>362</v>
      </c>
      <c r="J239">
        <v>-1.4703393708701501E-2</v>
      </c>
      <c r="K239">
        <v>450</v>
      </c>
      <c r="L239">
        <v>-1.4703393708701501E-2</v>
      </c>
      <c r="M239" s="3">
        <f>(FEM[[#This Row],[disp_t3]]--0.0145666666666666)/-0.0145666666666666</f>
        <v>-0.37172722635036964</v>
      </c>
      <c r="N239" s="3">
        <f>(FEM[[#This Row],[disp_t6]]--0.0145666666666666)/-0.0145666666666666</f>
        <v>8.8346737917735941E-3</v>
      </c>
      <c r="O239" s="3">
        <f>(FEM[[#This Row],[disp_q4]]--0.0145666666666666)/-0.0145666666666666</f>
        <v>-3.1319906402313656E-2</v>
      </c>
      <c r="P239" s="3">
        <f>(FEM[[#This Row],[disp_q8]]--0.0145666666666666)/-0.0145666666666666</f>
        <v>9.3862957918696959E-3</v>
      </c>
      <c r="Q239" s="3">
        <f>(FEM[[#This Row],[disp_q9]]--0.0145666666666666)/-0.0145666666666666</f>
        <v>9.3862957918696959E-3</v>
      </c>
    </row>
    <row r="240" spans="1:17" x14ac:dyDescent="0.3">
      <c r="A240">
        <v>18</v>
      </c>
      <c r="B240">
        <v>2</v>
      </c>
      <c r="C240">
        <v>114</v>
      </c>
      <c r="D240">
        <v>-8.8532091876372607E-3</v>
      </c>
      <c r="E240">
        <v>370</v>
      </c>
      <c r="F240">
        <v>-1.4692181982899901E-2</v>
      </c>
      <c r="G240">
        <v>114</v>
      </c>
      <c r="H240">
        <v>-1.38635131135893E-2</v>
      </c>
      <c r="I240">
        <v>298</v>
      </c>
      <c r="J240">
        <v>-1.4700932876744901E-2</v>
      </c>
      <c r="K240">
        <v>370</v>
      </c>
      <c r="L240">
        <v>-1.4700932876744901E-2</v>
      </c>
      <c r="M240" s="3">
        <f>(FEM[[#This Row],[disp_t3]]--0.0145666666666666)/-0.0145666666666666</f>
        <v>-0.39222820222169552</v>
      </c>
      <c r="N240" s="3">
        <f>(FEM[[#This Row],[disp_t6]]--0.0145666666666666)/-0.0145666666666666</f>
        <v>8.6166120983960145E-3</v>
      </c>
      <c r="O240" s="3">
        <f>(FEM[[#This Row],[disp_q4]]--0.0145666666666666)/-0.0145666666666666</f>
        <v>-4.8271410966405186E-2</v>
      </c>
      <c r="P240" s="3">
        <f>(FEM[[#This Row],[disp_q8]]--0.0145666666666666)/-0.0145666666666666</f>
        <v>9.2173599596088191E-3</v>
      </c>
      <c r="Q240" s="3">
        <f>(FEM[[#This Row],[disp_q9]]--0.0145666666666666)/-0.0145666666666666</f>
        <v>9.2173599596088191E-3</v>
      </c>
    </row>
    <row r="241" spans="1:17" x14ac:dyDescent="0.3">
      <c r="A241">
        <v>15</v>
      </c>
      <c r="B241">
        <v>2</v>
      </c>
      <c r="C241">
        <v>96</v>
      </c>
      <c r="D241">
        <v>-8.4853288589416907E-3</v>
      </c>
      <c r="E241">
        <v>310</v>
      </c>
      <c r="F241">
        <v>-1.46885922690105E-2</v>
      </c>
      <c r="G241">
        <v>96</v>
      </c>
      <c r="H241">
        <v>-1.35482647115853E-2</v>
      </c>
      <c r="I241">
        <v>250</v>
      </c>
      <c r="J241">
        <v>-1.46983368730111E-2</v>
      </c>
      <c r="K241">
        <v>310</v>
      </c>
      <c r="L241">
        <v>-1.46983368730111E-2</v>
      </c>
      <c r="M241" s="3">
        <f>(FEM[[#This Row],[disp_t3]]--0.0145666666666666)/-0.0145666666666666</f>
        <v>-0.41748314469507575</v>
      </c>
      <c r="N241" s="3">
        <f>(FEM[[#This Row],[disp_t6]]--0.0145666666666666)/-0.0145666666666666</f>
        <v>8.370178650611064E-3</v>
      </c>
      <c r="O241" s="3">
        <f>(FEM[[#This Row],[disp_q4]]--0.0145666666666666)/-0.0145666666666666</f>
        <v>-6.9913177694368681E-2</v>
      </c>
      <c r="P241" s="3">
        <f>(FEM[[#This Row],[disp_q8]]--0.0145666666666666)/-0.0145666666666666</f>
        <v>9.0391446003090289E-3</v>
      </c>
      <c r="Q241" s="3">
        <f>(FEM[[#This Row],[disp_q9]]--0.0145666666666666)/-0.0145666666666666</f>
        <v>9.0391446003090289E-3</v>
      </c>
    </row>
    <row r="242" spans="1:17" x14ac:dyDescent="0.3">
      <c r="A242">
        <v>12</v>
      </c>
      <c r="B242">
        <v>2</v>
      </c>
      <c r="C242">
        <v>78</v>
      </c>
      <c r="D242">
        <v>-7.8837258989114308E-3</v>
      </c>
      <c r="E242">
        <v>250</v>
      </c>
      <c r="F242">
        <v>-1.4682992180567201E-2</v>
      </c>
      <c r="G242">
        <v>78</v>
      </c>
      <c r="H242">
        <v>-1.3004457319767499E-2</v>
      </c>
      <c r="I242">
        <v>202</v>
      </c>
      <c r="J242">
        <v>-1.4694321095433499E-2</v>
      </c>
      <c r="K242">
        <v>250</v>
      </c>
      <c r="L242">
        <v>-1.4694321095433499E-2</v>
      </c>
      <c r="M242" s="3">
        <f>(FEM[[#This Row],[disp_t3]]--0.0145666666666666)/-0.0145666666666666</f>
        <v>-0.45878311906786268</v>
      </c>
      <c r="N242" s="3">
        <f>(FEM[[#This Row],[disp_t6]]--0.0145666666666666)/-0.0145666666666666</f>
        <v>7.9857332197209533E-3</v>
      </c>
      <c r="O242" s="3">
        <f>(FEM[[#This Row],[disp_q4]]--0.0145666666666666)/-0.0145666666666666</f>
        <v>-0.1072454929221355</v>
      </c>
      <c r="P242" s="3">
        <f>(FEM[[#This Row],[disp_q8]]--0.0145666666666666)/-0.0145666666666666</f>
        <v>8.7634619290778478E-3</v>
      </c>
      <c r="Q242" s="3">
        <f>(FEM[[#This Row],[disp_q9]]--0.0145666666666666)/-0.0145666666666666</f>
        <v>8.7634619290778478E-3</v>
      </c>
    </row>
    <row r="243" spans="1:17" x14ac:dyDescent="0.3">
      <c r="A243">
        <v>10</v>
      </c>
      <c r="B243">
        <v>2</v>
      </c>
      <c r="C243">
        <v>66</v>
      </c>
      <c r="D243">
        <v>-7.2568581439431097E-3</v>
      </c>
      <c r="E243">
        <v>210</v>
      </c>
      <c r="F243">
        <v>-1.46770510393354E-2</v>
      </c>
      <c r="G243">
        <v>66</v>
      </c>
      <c r="H243">
        <v>-1.2396850417242899E-2</v>
      </c>
      <c r="I243">
        <v>170</v>
      </c>
      <c r="J243">
        <v>-1.4689985734447301E-2</v>
      </c>
      <c r="K243">
        <v>210</v>
      </c>
      <c r="L243">
        <v>-1.4689985734447301E-2</v>
      </c>
      <c r="M243" s="3">
        <f>(FEM[[#This Row],[disp_t3]]--0.0145666666666666)/-0.0145666666666666</f>
        <v>-0.50181751872243863</v>
      </c>
      <c r="N243" s="3">
        <f>(FEM[[#This Row],[disp_t6]]--0.0145666666666666)/-0.0145666666666666</f>
        <v>7.5778745539222432E-3</v>
      </c>
      <c r="O243" s="3">
        <f>(FEM[[#This Row],[disp_q4]]--0.0145666666666666)/-0.0145666666666666</f>
        <v>-0.14895763726020894</v>
      </c>
      <c r="P243" s="3">
        <f>(FEM[[#This Row],[disp_q8]]--0.0145666666666666)/-0.0145666666666666</f>
        <v>8.4658398934120346E-3</v>
      </c>
      <c r="Q243" s="3">
        <f>(FEM[[#This Row],[disp_q9]]--0.0145666666666666)/-0.0145666666666666</f>
        <v>8.4658398934120346E-3</v>
      </c>
    </row>
    <row r="244" spans="1:17" x14ac:dyDescent="0.3">
      <c r="A244">
        <v>8</v>
      </c>
      <c r="B244">
        <v>2</v>
      </c>
      <c r="C244">
        <v>54</v>
      </c>
      <c r="D244">
        <v>-6.3339072705227602E-3</v>
      </c>
      <c r="E244">
        <v>170</v>
      </c>
      <c r="F244">
        <v>-1.4667188630917399E-2</v>
      </c>
      <c r="G244">
        <v>54</v>
      </c>
      <c r="H244">
        <v>-1.14157098232134E-2</v>
      </c>
      <c r="I244">
        <v>138</v>
      </c>
      <c r="J244">
        <v>-1.46827869289512E-2</v>
      </c>
      <c r="K244">
        <v>170</v>
      </c>
      <c r="L244">
        <v>-1.46827869289512E-2</v>
      </c>
      <c r="M244" s="3">
        <f>(FEM[[#This Row],[disp_t3]]--0.0145666666666666)/-0.0145666666666666</f>
        <v>-0.5651779905819595</v>
      </c>
      <c r="N244" s="3">
        <f>(FEM[[#This Row],[disp_t6]]--0.0145666666666666)/-0.0145666666666666</f>
        <v>6.9008213444485432E-3</v>
      </c>
      <c r="O244" s="3">
        <f>(FEM[[#This Row],[disp_q4]]--0.0145666666666666)/-0.0145666666666666</f>
        <v>-0.21631282678168517</v>
      </c>
      <c r="P244" s="3">
        <f>(FEM[[#This Row],[disp_q8]]--0.0145666666666666)/-0.0145666666666666</f>
        <v>7.9716427197667021E-3</v>
      </c>
      <c r="Q244" s="3">
        <f>(FEM[[#This Row],[disp_q9]]--0.0145666666666666)/-0.0145666666666666</f>
        <v>7.9716427197667021E-3</v>
      </c>
    </row>
    <row r="245" spans="1:17" x14ac:dyDescent="0.3">
      <c r="A245">
        <v>7</v>
      </c>
      <c r="B245">
        <v>2</v>
      </c>
      <c r="C245">
        <v>48</v>
      </c>
      <c r="D245">
        <v>-5.7186634645173496E-3</v>
      </c>
      <c r="E245">
        <v>150</v>
      </c>
      <c r="F245">
        <v>-1.46591292028519E-2</v>
      </c>
      <c r="G245">
        <v>48</v>
      </c>
      <c r="H245">
        <v>-1.0696226310155699E-2</v>
      </c>
      <c r="I245">
        <v>122</v>
      </c>
      <c r="J245">
        <v>-1.46770729078992E-2</v>
      </c>
      <c r="K245">
        <v>150</v>
      </c>
      <c r="L245">
        <v>-1.46770729078992E-2</v>
      </c>
      <c r="M245" s="3">
        <f>(FEM[[#This Row],[disp_t3]]--0.0145666666666666)/-0.0145666666666666</f>
        <v>-0.60741440747020292</v>
      </c>
      <c r="N245" s="3">
        <f>(FEM[[#This Row],[disp_t6]]--0.0145666666666666)/-0.0145666666666666</f>
        <v>6.3475425298833779E-3</v>
      </c>
      <c r="O245" s="3">
        <f>(FEM[[#This Row],[disp_q4]]--0.0145666666666666)/-0.0145666666666666</f>
        <v>-0.26570528763232848</v>
      </c>
      <c r="P245" s="3">
        <f>(FEM[[#This Row],[disp_q8]]--0.0145666666666666)/-0.0145666666666666</f>
        <v>7.5793758283249956E-3</v>
      </c>
      <c r="Q245" s="3">
        <f>(FEM[[#This Row],[disp_q9]]--0.0145666666666666)/-0.0145666666666666</f>
        <v>7.5793758283249956E-3</v>
      </c>
    </row>
    <row r="246" spans="1:17" x14ac:dyDescent="0.3">
      <c r="A246">
        <v>6</v>
      </c>
      <c r="B246">
        <v>2</v>
      </c>
      <c r="C246">
        <v>42</v>
      </c>
      <c r="D246">
        <v>-4.9780765928557798E-3</v>
      </c>
      <c r="E246">
        <v>130</v>
      </c>
      <c r="F246">
        <v>-1.46465313636656E-2</v>
      </c>
      <c r="G246">
        <v>42</v>
      </c>
      <c r="H246">
        <v>-9.7497764151808896E-3</v>
      </c>
      <c r="I246">
        <v>106</v>
      </c>
      <c r="J246">
        <v>-1.4668509884517801E-2</v>
      </c>
      <c r="K246">
        <v>130</v>
      </c>
      <c r="L246">
        <v>-1.4668509884517801E-2</v>
      </c>
      <c r="M246" s="3">
        <f>(FEM[[#This Row],[disp_t3]]--0.0145666666666666)/-0.0145666666666666</f>
        <v>-0.65825561147443001</v>
      </c>
      <c r="N246" s="3">
        <f>(FEM[[#This Row],[disp_t6]]--0.0145666666666666)/-0.0145666666666666</f>
        <v>5.4827023111442483E-3</v>
      </c>
      <c r="O246" s="3">
        <f>(FEM[[#This Row],[disp_q4]]--0.0145666666666666)/-0.0145666666666666</f>
        <v>-0.33067896463288776</v>
      </c>
      <c r="P246" s="3">
        <f>(FEM[[#This Row],[disp_q8]]--0.0145666666666666)/-0.0145666666666666</f>
        <v>6.9915252529429194E-3</v>
      </c>
      <c r="Q246" s="3">
        <f>(FEM[[#This Row],[disp_q9]]--0.0145666666666666)/-0.0145666666666666</f>
        <v>6.9915252529429194E-3</v>
      </c>
    </row>
    <row r="247" spans="1:17" x14ac:dyDescent="0.3">
      <c r="A247">
        <v>5</v>
      </c>
      <c r="B247">
        <v>2</v>
      </c>
      <c r="C247">
        <v>36</v>
      </c>
      <c r="D247">
        <v>-4.1047891473522703E-3</v>
      </c>
      <c r="E247">
        <v>110</v>
      </c>
      <c r="F247">
        <v>-1.4624173053266199E-2</v>
      </c>
      <c r="G247">
        <v>36</v>
      </c>
      <c r="H247">
        <v>-8.5024474647538793E-3</v>
      </c>
      <c r="I247">
        <v>90</v>
      </c>
      <c r="J247">
        <v>-1.46540330718085E-2</v>
      </c>
      <c r="K247">
        <v>110</v>
      </c>
      <c r="L247">
        <v>-1.46540330718085E-2</v>
      </c>
      <c r="M247" s="3">
        <f>(FEM[[#This Row],[disp_t3]]--0.0145666666666666)/-0.0145666666666666</f>
        <v>-0.71820669468977416</v>
      </c>
      <c r="N247" s="3">
        <f>(FEM[[#This Row],[disp_t6]]--0.0145666666666666)/-0.0145666666666666</f>
        <v>3.9478068603844667E-3</v>
      </c>
      <c r="O247" s="3">
        <f>(FEM[[#This Row],[disp_q4]]--0.0145666666666666)/-0.0145666666666666</f>
        <v>-0.41630795436471957</v>
      </c>
      <c r="P247" s="3">
        <f>(FEM[[#This Row],[disp_q8]]--0.0145666666666666)/-0.0145666666666666</f>
        <v>5.9976937168353438E-3</v>
      </c>
      <c r="Q247" s="3">
        <f>(FEM[[#This Row],[disp_q9]]--0.0145666666666666)/-0.0145666666666666</f>
        <v>5.9976937168353438E-3</v>
      </c>
    </row>
    <row r="248" spans="1:17" x14ac:dyDescent="0.3">
      <c r="A248">
        <v>4</v>
      </c>
      <c r="B248">
        <v>2</v>
      </c>
      <c r="C248">
        <v>30</v>
      </c>
      <c r="D248">
        <v>-3.1152971957527399E-3</v>
      </c>
      <c r="E248">
        <v>90</v>
      </c>
      <c r="F248">
        <v>-1.45772205820036E-2</v>
      </c>
      <c r="G248">
        <v>30</v>
      </c>
      <c r="H248">
        <v>-6.8821095556484196E-3</v>
      </c>
      <c r="I248">
        <v>74</v>
      </c>
      <c r="J248">
        <v>-1.46242832896141E-2</v>
      </c>
      <c r="K248">
        <v>90</v>
      </c>
      <c r="L248">
        <v>-1.46242832896141E-2</v>
      </c>
      <c r="M248" s="3">
        <f>(FEM[[#This Row],[disp_t3]]--0.0145666666666666)/-0.0145666666666666</f>
        <v>-0.78613520395290015</v>
      </c>
      <c r="N248" s="3">
        <f>(FEM[[#This Row],[disp_t6]]--0.0145666666666666)/-0.0145666666666666</f>
        <v>7.2452508034329339E-4</v>
      </c>
      <c r="O248" s="3">
        <f>(FEM[[#This Row],[disp_q4]]--0.0145666666666666)/-0.0145666666666666</f>
        <v>-0.5275439664314564</v>
      </c>
      <c r="P248" s="3">
        <f>(FEM[[#This Row],[disp_q8]]--0.0145666666666666)/-0.0145666666666666</f>
        <v>3.9553745730549926E-3</v>
      </c>
      <c r="Q248" s="3">
        <f>(FEM[[#This Row],[disp_q9]]--0.0145666666666666)/-0.0145666666666666</f>
        <v>3.9553745730549926E-3</v>
      </c>
    </row>
    <row r="249" spans="1:17" x14ac:dyDescent="0.3">
      <c r="A249">
        <v>3</v>
      </c>
      <c r="B249">
        <v>2</v>
      </c>
      <c r="C249">
        <v>24</v>
      </c>
      <c r="D249">
        <v>-2.0718145979645702E-3</v>
      </c>
      <c r="E249">
        <v>70</v>
      </c>
      <c r="F249">
        <v>-1.44550629133707E-2</v>
      </c>
      <c r="G249">
        <v>24</v>
      </c>
      <c r="H249">
        <v>-4.87546417246264E-3</v>
      </c>
      <c r="I249">
        <v>58</v>
      </c>
      <c r="J249">
        <v>-1.4543676596686801E-2</v>
      </c>
      <c r="K249">
        <v>70</v>
      </c>
      <c r="L249">
        <v>-1.4543676596686801E-2</v>
      </c>
      <c r="M249" s="3">
        <f>(FEM[[#This Row],[disp_t3]]--0.0145666666666666)/-0.0145666666666666</f>
        <v>-0.85777016489945679</v>
      </c>
      <c r="N249" s="3">
        <f>(FEM[[#This Row],[disp_t6]]--0.0145666666666666)/-0.0145666666666666</f>
        <v>-7.6615848944553899E-3</v>
      </c>
      <c r="O249" s="3">
        <f>(FEM[[#This Row],[disp_q4]]--0.0145666666666666)/-0.0145666666666666</f>
        <v>-0.66529994239386747</v>
      </c>
      <c r="P249" s="3">
        <f>(FEM[[#This Row],[disp_q8]]--0.0145666666666666)/-0.0145666666666666</f>
        <v>-1.5782656736703855E-3</v>
      </c>
      <c r="Q249" s="3">
        <f>(FEM[[#This Row],[disp_q9]]--0.0145666666666666)/-0.0145666666666666</f>
        <v>-1.5782656736703855E-3</v>
      </c>
    </row>
    <row r="250" spans="1:17" x14ac:dyDescent="0.3">
      <c r="A250">
        <v>2</v>
      </c>
      <c r="B250">
        <v>2</v>
      </c>
      <c r="C250">
        <v>18</v>
      </c>
      <c r="D250">
        <v>-1.10263724092306E-3</v>
      </c>
      <c r="E250">
        <v>50</v>
      </c>
      <c r="F250">
        <v>-1.4029789343840301E-2</v>
      </c>
      <c r="G250">
        <v>18</v>
      </c>
      <c r="H250">
        <v>-2.6604377018439101E-3</v>
      </c>
      <c r="I250">
        <v>42</v>
      </c>
      <c r="J250">
        <v>-1.42220170757933E-2</v>
      </c>
      <c r="K250">
        <v>50</v>
      </c>
      <c r="L250">
        <v>-1.42220170757933E-2</v>
      </c>
      <c r="M250" s="3">
        <f>(FEM[[#This Row],[disp_t3]]--0.0145666666666666)/-0.0145666666666666</f>
        <v>-0.92430407957049898</v>
      </c>
      <c r="N250" s="3">
        <f>(FEM[[#This Row],[disp_t6]]--0.0145666666666666)/-0.0145666666666666</f>
        <v>-3.6856566784414256E-2</v>
      </c>
      <c r="O250" s="3">
        <f>(FEM[[#This Row],[disp_q4]]--0.0145666666666666)/-0.0145666666666666</f>
        <v>-0.81736125616632105</v>
      </c>
      <c r="P250" s="3">
        <f>(FEM[[#This Row],[disp_q8]]--0.0145666666666666)/-0.0145666666666666</f>
        <v>-2.3660154979860445E-2</v>
      </c>
      <c r="Q250" s="3">
        <f>(FEM[[#This Row],[disp_q9]]--0.0145666666666666)/-0.0145666666666666</f>
        <v>-2.3660154979860445E-2</v>
      </c>
    </row>
    <row r="251" spans="1:17" x14ac:dyDescent="0.3">
      <c r="A251">
        <v>1</v>
      </c>
      <c r="B251">
        <v>2</v>
      </c>
      <c r="C251">
        <v>12</v>
      </c>
      <c r="D251">
        <v>-3.95306808021736E-4</v>
      </c>
      <c r="E251">
        <v>30</v>
      </c>
      <c r="F251">
        <v>-1.14009371697327E-2</v>
      </c>
      <c r="G251">
        <v>12</v>
      </c>
      <c r="H251">
        <v>-7.7102159355572398E-4</v>
      </c>
      <c r="I251">
        <v>26</v>
      </c>
      <c r="J251">
        <v>-1.18189232209288E-2</v>
      </c>
      <c r="K251">
        <v>30</v>
      </c>
      <c r="L251">
        <v>-1.18189232209288E-2</v>
      </c>
      <c r="M251" s="3">
        <f>(FEM[[#This Row],[disp_t3]]--0.0145666666666666)/-0.0145666666666666</f>
        <v>-0.9728622328589196</v>
      </c>
      <c r="N251" s="3">
        <f>(FEM[[#This Row],[disp_t6]]--0.0145666666666666)/-0.0145666666666666</f>
        <v>-0.21732696775290028</v>
      </c>
      <c r="O251" s="3">
        <f>(FEM[[#This Row],[disp_q4]]--0.0145666666666666)/-0.0145666666666666</f>
        <v>-0.94706945581997293</v>
      </c>
      <c r="P251" s="3">
        <f>(FEM[[#This Row],[disp_q8]]--0.0145666666666666)/-0.0145666666666666</f>
        <v>-0.18863227316277886</v>
      </c>
      <c r="Q251" s="3">
        <f>(FEM[[#This Row],[disp_q9]]--0.0145666666666666)/-0.0145666666666666</f>
        <v>-0.18863227316277886</v>
      </c>
    </row>
    <row r="252" spans="1:17" x14ac:dyDescent="0.3">
      <c r="A252">
        <v>200</v>
      </c>
      <c r="B252">
        <v>1</v>
      </c>
      <c r="C252">
        <v>804</v>
      </c>
      <c r="D252">
        <v>-5.0093594166439499E-3</v>
      </c>
      <c r="E252">
        <v>2406</v>
      </c>
      <c r="F252">
        <v>-1.46411207562446E-2</v>
      </c>
      <c r="G252">
        <v>804</v>
      </c>
      <c r="H252">
        <v>-1.4613827023109901E-2</v>
      </c>
      <c r="I252">
        <v>2006</v>
      </c>
      <c r="J252">
        <v>-1.46518538509671E-2</v>
      </c>
      <c r="K252">
        <v>2406</v>
      </c>
      <c r="L252">
        <v>-1.46518538509671E-2</v>
      </c>
      <c r="M252" s="3">
        <f>(FEM[[#This Row],[disp_t3]]--0.0145666666666666)/-0.0145666666666666</f>
        <v>-0.65610804920064258</v>
      </c>
      <c r="N252" s="3">
        <f>(FEM[[#This Row],[disp_t6]]--0.0145666666666666)/-0.0145666666666666</f>
        <v>5.1112647307552479E-3</v>
      </c>
      <c r="O252" s="3">
        <f>(FEM[[#This Row],[disp_q4]]--0.0145666666666666)/-0.0145666666666666</f>
        <v>3.2375530739108507E-3</v>
      </c>
      <c r="P252" s="3">
        <f>(FEM[[#This Row],[disp_q8]]--0.0145666666666666)/-0.0145666666666666</f>
        <v>5.8480904554119723E-3</v>
      </c>
      <c r="Q252" s="3">
        <f>(FEM[[#This Row],[disp_q9]]--0.0145666666666666)/-0.0145666666666666</f>
        <v>5.8480904554119723E-3</v>
      </c>
    </row>
    <row r="253" spans="1:17" x14ac:dyDescent="0.3">
      <c r="A253">
        <v>166</v>
      </c>
      <c r="B253">
        <v>1</v>
      </c>
      <c r="C253">
        <v>668</v>
      </c>
      <c r="D253">
        <v>-5.0083263602962499E-3</v>
      </c>
      <c r="E253">
        <v>1998</v>
      </c>
      <c r="F253">
        <v>-1.4641060262935801E-2</v>
      </c>
      <c r="G253">
        <v>668</v>
      </c>
      <c r="H253">
        <v>-1.4610855081242701E-2</v>
      </c>
      <c r="I253">
        <v>1666</v>
      </c>
      <c r="J253">
        <v>-1.4651817733620899E-2</v>
      </c>
      <c r="K253">
        <v>1998</v>
      </c>
      <c r="L253">
        <v>-1.4651817733620899E-2</v>
      </c>
      <c r="M253" s="3">
        <f>(FEM[[#This Row],[disp_t3]]--0.0145666666666666)/-0.0145666666666666</f>
        <v>-0.65617896840071355</v>
      </c>
      <c r="N253" s="3">
        <f>(FEM[[#This Row],[disp_t6]]--0.0145666666666666)/-0.0145666666666666</f>
        <v>5.1071118720275796E-3</v>
      </c>
      <c r="O253" s="3">
        <f>(FEM[[#This Row],[disp_q4]]--0.0145666666666666)/-0.0145666666666666</f>
        <v>3.0335296047667034E-3</v>
      </c>
      <c r="P253" s="3">
        <f>(FEM[[#This Row],[disp_q8]]--0.0145666666666666)/-0.0145666666666666</f>
        <v>5.8456110037277201E-3</v>
      </c>
      <c r="Q253" s="3">
        <f>(FEM[[#This Row],[disp_q9]]--0.0145666666666666)/-0.0145666666666666</f>
        <v>5.8456110037277201E-3</v>
      </c>
    </row>
    <row r="254" spans="1:17" x14ac:dyDescent="0.3">
      <c r="A254">
        <v>138</v>
      </c>
      <c r="B254">
        <v>1</v>
      </c>
      <c r="C254">
        <v>556</v>
      </c>
      <c r="D254">
        <v>-5.0068553138401103E-3</v>
      </c>
      <c r="E254">
        <v>1662</v>
      </c>
      <c r="F254">
        <v>-1.46409811488499E-2</v>
      </c>
      <c r="G254">
        <v>556</v>
      </c>
      <c r="H254">
        <v>-1.46065873458517E-2</v>
      </c>
      <c r="I254">
        <v>1386</v>
      </c>
      <c r="J254">
        <v>-1.4651766207852799E-2</v>
      </c>
      <c r="K254">
        <v>1662</v>
      </c>
      <c r="L254">
        <v>-1.4651766207852799E-2</v>
      </c>
      <c r="M254" s="3">
        <f>(FEM[[#This Row],[disp_t3]]--0.0145666666666666)/-0.0145666666666666</f>
        <v>-0.65627995557161545</v>
      </c>
      <c r="N254" s="3">
        <f>(FEM[[#This Row],[disp_t6]]--0.0145666666666666)/-0.0145666666666666</f>
        <v>5.1016806990824655E-3</v>
      </c>
      <c r="O254" s="3">
        <f>(FEM[[#This Row],[disp_q4]]--0.0145666666666666)/-0.0145666666666666</f>
        <v>2.7405500584737727E-3</v>
      </c>
      <c r="P254" s="3">
        <f>(FEM[[#This Row],[disp_q8]]--0.0145666666666666)/-0.0145666666666666</f>
        <v>5.8420737656430452E-3</v>
      </c>
      <c r="Q254" s="3">
        <f>(FEM[[#This Row],[disp_q9]]--0.0145666666666666)/-0.0145666666666666</f>
        <v>5.8420737656430452E-3</v>
      </c>
    </row>
    <row r="255" spans="1:17" x14ac:dyDescent="0.3">
      <c r="A255">
        <v>115</v>
      </c>
      <c r="B255">
        <v>1</v>
      </c>
      <c r="C255">
        <v>464</v>
      </c>
      <c r="D255">
        <v>-5.0047759690414299E-3</v>
      </c>
      <c r="E255">
        <v>1386</v>
      </c>
      <c r="F255">
        <v>-1.4640877702709601E-2</v>
      </c>
      <c r="G255">
        <v>464</v>
      </c>
      <c r="H255">
        <v>-1.46005126291032E-2</v>
      </c>
      <c r="I255">
        <v>1156</v>
      </c>
      <c r="J255">
        <v>-1.4651693540238001E-2</v>
      </c>
      <c r="K255">
        <v>1386</v>
      </c>
      <c r="L255">
        <v>-1.4651693540238001E-2</v>
      </c>
      <c r="M255" s="3">
        <f>(FEM[[#This Row],[disp_t3]]--0.0145666666666666)/-0.0145666666666666</f>
        <v>-0.65642270235413369</v>
      </c>
      <c r="N255" s="3">
        <f>(FEM[[#This Row],[disp_t6]]--0.0145666666666666)/-0.0145666666666666</f>
        <v>5.0945791333868399E-3</v>
      </c>
      <c r="O255" s="3">
        <f>(FEM[[#This Row],[disp_q4]]--0.0145666666666666)/-0.0145666666666666</f>
        <v>2.3235214487368708E-3</v>
      </c>
      <c r="P255" s="3">
        <f>(FEM[[#This Row],[disp_q8]]--0.0145666666666666)/-0.0145666666666666</f>
        <v>5.8370851422014812E-3</v>
      </c>
      <c r="Q255" s="3">
        <f>(FEM[[#This Row],[disp_q9]]--0.0145666666666666)/-0.0145666666666666</f>
        <v>5.8370851422014812E-3</v>
      </c>
    </row>
    <row r="256" spans="1:17" x14ac:dyDescent="0.3">
      <c r="A256">
        <v>96</v>
      </c>
      <c r="B256">
        <v>1</v>
      </c>
      <c r="C256">
        <v>388</v>
      </c>
      <c r="D256">
        <v>-5.0018357444769302E-3</v>
      </c>
      <c r="E256">
        <v>1158</v>
      </c>
      <c r="F256">
        <v>-1.46407414612997E-2</v>
      </c>
      <c r="G256">
        <v>388</v>
      </c>
      <c r="H256">
        <v>-1.4591873103440201E-2</v>
      </c>
      <c r="I256">
        <v>966</v>
      </c>
      <c r="J256">
        <v>-1.4651591519626901E-2</v>
      </c>
      <c r="K256">
        <v>1158</v>
      </c>
      <c r="L256">
        <v>-1.4651591519626901E-2</v>
      </c>
      <c r="M256" s="3">
        <f>(FEM[[#This Row],[disp_t3]]--0.0145666666666666)/-0.0145666666666666</f>
        <v>-0.65662454843407636</v>
      </c>
      <c r="N256" s="3">
        <f>(FEM[[#This Row],[disp_t6]]--0.0145666666666666)/-0.0145666666666666</f>
        <v>5.0852261761854473E-3</v>
      </c>
      <c r="O256" s="3">
        <f>(FEM[[#This Row],[disp_q4]]--0.0145666666666666)/-0.0145666666666666</f>
        <v>1.7304190004760835E-3</v>
      </c>
      <c r="P256" s="3">
        <f>(FEM[[#This Row],[disp_q8]]--0.0145666666666666)/-0.0145666666666666</f>
        <v>5.8300814389223238E-3</v>
      </c>
      <c r="Q256" s="3">
        <f>(FEM[[#This Row],[disp_q9]]--0.0145666666666666)/-0.0145666666666666</f>
        <v>5.8300814389223238E-3</v>
      </c>
    </row>
    <row r="257" spans="1:17" x14ac:dyDescent="0.3">
      <c r="A257">
        <v>80</v>
      </c>
      <c r="B257">
        <v>1</v>
      </c>
      <c r="C257">
        <v>324</v>
      </c>
      <c r="D257">
        <v>-4.9975948647754901E-3</v>
      </c>
      <c r="E257">
        <v>966</v>
      </c>
      <c r="F257">
        <v>-1.4640557419575999E-2</v>
      </c>
      <c r="G257">
        <v>324</v>
      </c>
      <c r="H257">
        <v>-1.4579351218945401E-2</v>
      </c>
      <c r="I257">
        <v>806</v>
      </c>
      <c r="J257">
        <v>-1.4651446357281399E-2</v>
      </c>
      <c r="K257">
        <v>966</v>
      </c>
      <c r="L257">
        <v>-1.4651446357281399E-2</v>
      </c>
      <c r="M257" s="3">
        <f>(FEM[[#This Row],[disp_t3]]--0.0145666666666666)/-0.0145666666666666</f>
        <v>-0.65691568434035374</v>
      </c>
      <c r="N257" s="3">
        <f>(FEM[[#This Row],[disp_t6]]--0.0145666666666666)/-0.0145666666666666</f>
        <v>5.0725917329107664E-3</v>
      </c>
      <c r="O257" s="3">
        <f>(FEM[[#This Row],[disp_q4]]--0.0145666666666666)/-0.0145666666666666</f>
        <v>8.7079306261795392E-4</v>
      </c>
      <c r="P257" s="3">
        <f>(FEM[[#This Row],[disp_q8]]--0.0145666666666666)/-0.0145666666666666</f>
        <v>5.8201160605126012E-3</v>
      </c>
      <c r="Q257" s="3">
        <f>(FEM[[#This Row],[disp_q9]]--0.0145666666666666)/-0.0145666666666666</f>
        <v>5.8201160605126012E-3</v>
      </c>
    </row>
    <row r="258" spans="1:17" x14ac:dyDescent="0.3">
      <c r="A258">
        <v>66</v>
      </c>
      <c r="B258">
        <v>1</v>
      </c>
      <c r="C258">
        <v>268</v>
      </c>
      <c r="D258">
        <v>-4.9911235108690199E-3</v>
      </c>
      <c r="E258">
        <v>798</v>
      </c>
      <c r="F258">
        <v>-1.4640293614352699E-2</v>
      </c>
      <c r="G258">
        <v>268</v>
      </c>
      <c r="H258">
        <v>-1.45601634753365E-2</v>
      </c>
      <c r="I258">
        <v>666</v>
      </c>
      <c r="J258">
        <v>-1.4651229875446901E-2</v>
      </c>
      <c r="K258">
        <v>798</v>
      </c>
      <c r="L258">
        <v>-1.4651229875446901E-2</v>
      </c>
      <c r="M258" s="3">
        <f>(FEM[[#This Row],[disp_t3]]--0.0145666666666666)/-0.0145666666666666</f>
        <v>-0.65735994204560344</v>
      </c>
      <c r="N258" s="3">
        <f>(FEM[[#This Row],[disp_t6]]--0.0145666666666666)/-0.0145666666666666</f>
        <v>5.0544815345148963E-3</v>
      </c>
      <c r="O258" s="3">
        <f>(FEM[[#This Row],[disp_q4]]--0.0145666666666666)/-0.0145666666666666</f>
        <v>-4.4644334073906731E-4</v>
      </c>
      <c r="P258" s="3">
        <f>(FEM[[#This Row],[disp_q8]]--0.0145666666666666)/-0.0145666666666666</f>
        <v>5.8052546073433711E-3</v>
      </c>
      <c r="Q258" s="3">
        <f>(FEM[[#This Row],[disp_q9]]--0.0145666666666666)/-0.0145666666666666</f>
        <v>5.8052546073433711E-3</v>
      </c>
    </row>
    <row r="259" spans="1:17" x14ac:dyDescent="0.3">
      <c r="A259">
        <v>55</v>
      </c>
      <c r="B259">
        <v>1</v>
      </c>
      <c r="C259">
        <v>224</v>
      </c>
      <c r="D259">
        <v>-4.9822665473105796E-3</v>
      </c>
      <c r="E259">
        <v>666</v>
      </c>
      <c r="F259">
        <v>-1.46399528072296E-2</v>
      </c>
      <c r="G259">
        <v>224</v>
      </c>
      <c r="H259">
        <v>-1.4533811599561099E-2</v>
      </c>
      <c r="I259">
        <v>556</v>
      </c>
      <c r="J259">
        <v>-1.4650943663564999E-2</v>
      </c>
      <c r="K259">
        <v>666</v>
      </c>
      <c r="L259">
        <v>-1.4650943663564999E-2</v>
      </c>
      <c r="M259" s="3">
        <f>(FEM[[#This Row],[disp_t3]]--0.0145666666666666)/-0.0145666666666666</f>
        <v>-0.65796797158050779</v>
      </c>
      <c r="N259" s="3">
        <f>(FEM[[#This Row],[disp_t6]]--0.0145666666666666)/-0.0145666666666666</f>
        <v>5.0310851645081018E-3</v>
      </c>
      <c r="O259" s="3">
        <f>(FEM[[#This Row],[disp_q4]]--0.0145666666666666)/-0.0145666666666666</f>
        <v>-2.2554965976315901E-3</v>
      </c>
      <c r="P259" s="3">
        <f>(FEM[[#This Row],[disp_q8]]--0.0145666666666666)/-0.0145666666666666</f>
        <v>5.785606194398202E-3</v>
      </c>
      <c r="Q259" s="3">
        <f>(FEM[[#This Row],[disp_q9]]--0.0145666666666666)/-0.0145666666666666</f>
        <v>5.785606194398202E-3</v>
      </c>
    </row>
    <row r="260" spans="1:17" x14ac:dyDescent="0.3">
      <c r="A260">
        <v>46</v>
      </c>
      <c r="B260">
        <v>1</v>
      </c>
      <c r="C260">
        <v>188</v>
      </c>
      <c r="D260">
        <v>-4.9699029177278E-3</v>
      </c>
      <c r="E260">
        <v>558</v>
      </c>
      <c r="F260">
        <v>-1.4639501330361701E-2</v>
      </c>
      <c r="G260">
        <v>188</v>
      </c>
      <c r="H260">
        <v>-1.4496924735942201E-2</v>
      </c>
      <c r="I260">
        <v>466</v>
      </c>
      <c r="J260">
        <v>-1.46505629671238E-2</v>
      </c>
      <c r="K260">
        <v>558</v>
      </c>
      <c r="L260">
        <v>-1.46505629671238E-2</v>
      </c>
      <c r="M260" s="3">
        <f>(FEM[[#This Row],[disp_t3]]--0.0145666666666666)/-0.0145666666666666</f>
        <v>-0.65881673333676272</v>
      </c>
      <c r="N260" s="3">
        <f>(FEM[[#This Row],[disp_t6]]--0.0145666666666666)/-0.0145666666666666</f>
        <v>5.0000913291831858E-3</v>
      </c>
      <c r="O260" s="3">
        <f>(FEM[[#This Row],[disp_q4]]--0.0145666666666666)/-0.0145666666666666</f>
        <v>-4.7877755646040373E-3</v>
      </c>
      <c r="P260" s="3">
        <f>(FEM[[#This Row],[disp_q8]]--0.0145666666666666)/-0.0145666666666666</f>
        <v>5.7594714272678135E-3</v>
      </c>
      <c r="Q260" s="3">
        <f>(FEM[[#This Row],[disp_q9]]--0.0145666666666666)/-0.0145666666666666</f>
        <v>5.7594714272678135E-3</v>
      </c>
    </row>
    <row r="261" spans="1:17" x14ac:dyDescent="0.3">
      <c r="A261">
        <v>38</v>
      </c>
      <c r="B261">
        <v>1</v>
      </c>
      <c r="C261">
        <v>156</v>
      </c>
      <c r="D261">
        <v>-4.9509239040282198E-3</v>
      </c>
      <c r="E261">
        <v>462</v>
      </c>
      <c r="F261">
        <v>-1.46388430432891E-2</v>
      </c>
      <c r="G261">
        <v>156</v>
      </c>
      <c r="H261">
        <v>-1.44401680288231E-2</v>
      </c>
      <c r="I261">
        <v>386</v>
      </c>
      <c r="J261">
        <v>-1.46500178559716E-2</v>
      </c>
      <c r="K261">
        <v>462</v>
      </c>
      <c r="L261">
        <v>-1.46500178559716E-2</v>
      </c>
      <c r="M261" s="3">
        <f>(FEM[[#This Row],[disp_t3]]--0.0145666666666666)/-0.0145666666666666</f>
        <v>-0.66011964045572702</v>
      </c>
      <c r="N261" s="3">
        <f>(FEM[[#This Row],[disp_t6]]--0.0145666666666666)/-0.0145666666666666</f>
        <v>4.9548999969680364E-3</v>
      </c>
      <c r="O261" s="3">
        <f>(FEM[[#This Row],[disp_q4]]--0.0145666666666666)/-0.0145666666666666</f>
        <v>-8.6841170144279188E-3</v>
      </c>
      <c r="P261" s="3">
        <f>(FEM[[#This Row],[disp_q8]]--0.0145666666666666)/-0.0145666666666666</f>
        <v>5.7220496090390031E-3</v>
      </c>
      <c r="Q261" s="3">
        <f>(FEM[[#This Row],[disp_q9]]--0.0145666666666666)/-0.0145666666666666</f>
        <v>5.7220496090390031E-3</v>
      </c>
    </row>
    <row r="262" spans="1:17" x14ac:dyDescent="0.3">
      <c r="A262">
        <v>32</v>
      </c>
      <c r="B262">
        <v>1</v>
      </c>
      <c r="C262">
        <v>132</v>
      </c>
      <c r="D262">
        <v>-4.9266773616702501E-3</v>
      </c>
      <c r="E262">
        <v>390</v>
      </c>
      <c r="F262">
        <v>-1.4638042013882401E-2</v>
      </c>
      <c r="G262">
        <v>132</v>
      </c>
      <c r="H262">
        <v>-1.43675232512616E-2</v>
      </c>
      <c r="I262">
        <v>326</v>
      </c>
      <c r="J262">
        <v>-1.4649382163359899E-2</v>
      </c>
      <c r="K262">
        <v>390</v>
      </c>
      <c r="L262">
        <v>-1.4649382163359899E-2</v>
      </c>
      <c r="M262" s="3">
        <f>(FEM[[#This Row],[disp_t3]]--0.0145666666666666)/-0.0145666666666666</f>
        <v>-0.66178416281439778</v>
      </c>
      <c r="N262" s="3">
        <f>(FEM[[#This Row],[disp_t6]]--0.0145666666666666)/-0.0145666666666666</f>
        <v>4.8999094198490965E-3</v>
      </c>
      <c r="O262" s="3">
        <f>(FEM[[#This Row],[disp_q4]]--0.0145666666666666)/-0.0145666666666666</f>
        <v>-1.3671172682265453E-2</v>
      </c>
      <c r="P262" s="3">
        <f>(FEM[[#This Row],[disp_q8]]--0.0145666666666666)/-0.0145666666666666</f>
        <v>5.6784093839794244E-3</v>
      </c>
      <c r="Q262" s="3">
        <f>(FEM[[#This Row],[disp_q9]]--0.0145666666666666)/-0.0145666666666666</f>
        <v>5.6784093839794244E-3</v>
      </c>
    </row>
    <row r="263" spans="1:17" x14ac:dyDescent="0.3">
      <c r="A263">
        <v>26</v>
      </c>
      <c r="B263">
        <v>1</v>
      </c>
      <c r="C263">
        <v>108</v>
      </c>
      <c r="D263">
        <v>-4.8844250639986401E-3</v>
      </c>
      <c r="E263">
        <v>318</v>
      </c>
      <c r="F263">
        <v>-1.4636715603675601E-2</v>
      </c>
      <c r="G263">
        <v>108</v>
      </c>
      <c r="H263">
        <v>-1.424073079503E-2</v>
      </c>
      <c r="I263">
        <v>266</v>
      </c>
      <c r="J263">
        <v>-1.4648407037259E-2</v>
      </c>
      <c r="K263">
        <v>318</v>
      </c>
      <c r="L263">
        <v>-1.4648407037259E-2</v>
      </c>
      <c r="M263" s="3">
        <f>(FEM[[#This Row],[disp_t3]]--0.0145666666666666)/-0.0145666666666666</f>
        <v>-0.66468477821519467</v>
      </c>
      <c r="N263" s="3">
        <f>(FEM[[#This Row],[disp_t6]]--0.0145666666666666)/-0.0145666666666666</f>
        <v>4.8088515109154413E-3</v>
      </c>
      <c r="O263" s="3">
        <f>(FEM[[#This Row],[disp_q4]]--0.0145666666666666)/-0.0145666666666666</f>
        <v>-2.2375460295418807E-2</v>
      </c>
      <c r="P263" s="3">
        <f>(FEM[[#This Row],[disp_q8]]--0.0145666666666666)/-0.0145666666666666</f>
        <v>5.611467088723193E-3</v>
      </c>
      <c r="Q263" s="3">
        <f>(FEM[[#This Row],[disp_q9]]--0.0145666666666666)/-0.0145666666666666</f>
        <v>5.611467088723193E-3</v>
      </c>
    </row>
    <row r="264" spans="1:17" x14ac:dyDescent="0.3">
      <c r="A264">
        <v>22</v>
      </c>
      <c r="B264">
        <v>1</v>
      </c>
      <c r="C264">
        <v>92</v>
      </c>
      <c r="D264">
        <v>-4.8360991971905798E-3</v>
      </c>
      <c r="E264">
        <v>270</v>
      </c>
      <c r="F264">
        <v>-1.46352705666435E-2</v>
      </c>
      <c r="G264">
        <v>92</v>
      </c>
      <c r="H264">
        <v>-1.40955389663255E-2</v>
      </c>
      <c r="I264">
        <v>226</v>
      </c>
      <c r="J264">
        <v>-1.4647449437066799E-2</v>
      </c>
      <c r="K264">
        <v>270</v>
      </c>
      <c r="L264">
        <v>-1.4647449437066799E-2</v>
      </c>
      <c r="M264" s="3">
        <f>(FEM[[#This Row],[disp_t3]]--0.0145666666666666)/-0.0145666666666666</f>
        <v>-0.66800234344229281</v>
      </c>
      <c r="N264" s="3">
        <f>(FEM[[#This Row],[disp_t6]]--0.0145666666666666)/-0.0145666666666666</f>
        <v>4.7096498839977819E-3</v>
      </c>
      <c r="O264" s="3">
        <f>(FEM[[#This Row],[disp_q4]]--0.0145666666666666)/-0.0145666666666666</f>
        <v>-3.2342862723645414E-2</v>
      </c>
      <c r="P264" s="3">
        <f>(FEM[[#This Row],[disp_q8]]--0.0145666666666666)/-0.0145666666666666</f>
        <v>5.5457279450938446E-3</v>
      </c>
      <c r="Q264" s="3">
        <f>(FEM[[#This Row],[disp_q9]]--0.0145666666666666)/-0.0145666666666666</f>
        <v>5.5457279450938446E-3</v>
      </c>
    </row>
    <row r="265" spans="1:17" x14ac:dyDescent="0.3">
      <c r="A265">
        <v>18</v>
      </c>
      <c r="B265">
        <v>1</v>
      </c>
      <c r="C265">
        <v>76</v>
      </c>
      <c r="D265">
        <v>-4.7544595174244903E-3</v>
      </c>
      <c r="E265">
        <v>222</v>
      </c>
      <c r="F265">
        <v>-1.46329401040598E-2</v>
      </c>
      <c r="G265">
        <v>76</v>
      </c>
      <c r="H265">
        <v>-1.38500426710037E-2</v>
      </c>
      <c r="I265">
        <v>186</v>
      </c>
      <c r="J265">
        <v>-1.46460892210768E-2</v>
      </c>
      <c r="K265">
        <v>222</v>
      </c>
      <c r="L265">
        <v>-1.46460892210768E-2</v>
      </c>
      <c r="M265" s="3">
        <f>(FEM[[#This Row],[disp_t3]]--0.0145666666666666)/-0.0145666666666666</f>
        <v>-0.67360689811731034</v>
      </c>
      <c r="N265" s="3">
        <f>(FEM[[#This Row],[disp_t6]]--0.0145666666666666)/-0.0145666666666666</f>
        <v>4.5496638942700545E-3</v>
      </c>
      <c r="O265" s="3">
        <f>(FEM[[#This Row],[disp_q4]]--0.0145666666666666)/-0.0145666666666666</f>
        <v>-4.9196155308666056E-2</v>
      </c>
      <c r="P265" s="3">
        <f>(FEM[[#This Row],[disp_q8]]--0.0145666666666666)/-0.0145666666666666</f>
        <v>5.4523492730115287E-3</v>
      </c>
      <c r="Q265" s="3">
        <f>(FEM[[#This Row],[disp_q9]]--0.0145666666666666)/-0.0145666666666666</f>
        <v>5.4523492730115287E-3</v>
      </c>
    </row>
    <row r="266" spans="1:17" x14ac:dyDescent="0.3">
      <c r="A266">
        <v>15</v>
      </c>
      <c r="B266">
        <v>1</v>
      </c>
      <c r="C266">
        <v>64</v>
      </c>
      <c r="D266">
        <v>-4.6501816940008002E-3</v>
      </c>
      <c r="E266">
        <v>186</v>
      </c>
      <c r="F266">
        <v>-1.4630081928957799E-2</v>
      </c>
      <c r="G266">
        <v>64</v>
      </c>
      <c r="H266">
        <v>-1.35362852448779E-2</v>
      </c>
      <c r="I266">
        <v>156</v>
      </c>
      <c r="J266">
        <v>-1.4644624300988699E-2</v>
      </c>
      <c r="K266">
        <v>186</v>
      </c>
      <c r="L266">
        <v>-1.4644624300988699E-2</v>
      </c>
      <c r="M266" s="3">
        <f>(FEM[[#This Row],[disp_t3]]--0.0145666666666666)/-0.0145666666666666</f>
        <v>-0.6807655587642456</v>
      </c>
      <c r="N266" s="3">
        <f>(FEM[[#This Row],[disp_t6]]--0.0145666666666666)/-0.0145666666666666</f>
        <v>4.3534505005400573E-3</v>
      </c>
      <c r="O266" s="3">
        <f>(FEM[[#This Row],[disp_q4]]--0.0145666666666666)/-0.0145666666666666</f>
        <v>-7.0735566713183373E-2</v>
      </c>
      <c r="P266" s="3">
        <f>(FEM[[#This Row],[disp_q8]]--0.0145666666666666)/-0.0145666666666666</f>
        <v>5.3517826765744009E-3</v>
      </c>
      <c r="Q266" s="3">
        <f>(FEM[[#This Row],[disp_q9]]--0.0145666666666666)/-0.0145666666666666</f>
        <v>5.3517826765744009E-3</v>
      </c>
    </row>
    <row r="267" spans="1:17" x14ac:dyDescent="0.3">
      <c r="A267">
        <v>12</v>
      </c>
      <c r="B267">
        <v>1</v>
      </c>
      <c r="C267">
        <v>52</v>
      </c>
      <c r="D267">
        <v>-4.4701508920733102E-3</v>
      </c>
      <c r="E267">
        <v>150</v>
      </c>
      <c r="F267">
        <v>-1.46252636573926E-2</v>
      </c>
      <c r="G267">
        <v>52</v>
      </c>
      <c r="H267">
        <v>-1.29944444444472E-2</v>
      </c>
      <c r="I267">
        <v>126</v>
      </c>
      <c r="J267">
        <v>-1.4642355314759801E-2</v>
      </c>
      <c r="K267">
        <v>150</v>
      </c>
      <c r="L267">
        <v>-1.4642355314759801E-2</v>
      </c>
      <c r="M267" s="3">
        <f>(FEM[[#This Row],[disp_t3]]--0.0145666666666666)/-0.0145666666666666</f>
        <v>-0.69312465271807799</v>
      </c>
      <c r="N267" s="3">
        <f>(FEM[[#This Row],[disp_t6]]--0.0145666666666666)/-0.0145666666666666</f>
        <v>4.0226767088787745E-3</v>
      </c>
      <c r="O267" s="3">
        <f>(FEM[[#This Row],[disp_q4]]--0.0145666666666666)/-0.0145666666666666</f>
        <v>-0.10793287566723613</v>
      </c>
      <c r="P267" s="3">
        <f>(FEM[[#This Row],[disp_q8]]--0.0145666666666666)/-0.0145666666666666</f>
        <v>5.1960170315699192E-3</v>
      </c>
      <c r="Q267" s="3">
        <f>(FEM[[#This Row],[disp_q9]]--0.0145666666666666)/-0.0145666666666666</f>
        <v>5.1960170315699192E-3</v>
      </c>
    </row>
    <row r="268" spans="1:17" x14ac:dyDescent="0.3">
      <c r="A268">
        <v>10</v>
      </c>
      <c r="B268">
        <v>1</v>
      </c>
      <c r="C268">
        <v>44</v>
      </c>
      <c r="D268">
        <v>-4.2687898115552902E-3</v>
      </c>
      <c r="E268">
        <v>126</v>
      </c>
      <c r="F268">
        <v>-1.46198013497755E-2</v>
      </c>
      <c r="G268">
        <v>44</v>
      </c>
      <c r="H268">
        <v>-1.23884456760873E-2</v>
      </c>
      <c r="I268">
        <v>106</v>
      </c>
      <c r="J268">
        <v>-1.4639761089986001E-2</v>
      </c>
      <c r="K268">
        <v>126</v>
      </c>
      <c r="L268">
        <v>-1.4639761089986001E-2</v>
      </c>
      <c r="M268" s="3">
        <f>(FEM[[#This Row],[disp_t3]]--0.0145666666666666)/-0.0145666666666666</f>
        <v>-0.7069480678566149</v>
      </c>
      <c r="N268" s="3">
        <f>(FEM[[#This Row],[disp_t6]]--0.0145666666666666)/-0.0145666666666666</f>
        <v>3.647689915942868E-3</v>
      </c>
      <c r="O268" s="3">
        <f>(FEM[[#This Row],[disp_q4]]--0.0145666666666666)/-0.0145666666666666</f>
        <v>-0.14953462177889992</v>
      </c>
      <c r="P268" s="3">
        <f>(FEM[[#This Row],[disp_q8]]--0.0145666666666666)/-0.0145666666666666</f>
        <v>5.0179237976705959E-3</v>
      </c>
      <c r="Q268" s="3">
        <f>(FEM[[#This Row],[disp_q9]]--0.0145666666666666)/-0.0145666666666666</f>
        <v>5.0179237976705959E-3</v>
      </c>
    </row>
    <row r="269" spans="1:17" x14ac:dyDescent="0.3">
      <c r="A269">
        <v>8</v>
      </c>
      <c r="B269">
        <v>1</v>
      </c>
      <c r="C269">
        <v>36</v>
      </c>
      <c r="D269">
        <v>-3.9432363081483403E-3</v>
      </c>
      <c r="E269">
        <v>102</v>
      </c>
      <c r="F269">
        <v>-1.46102162903681E-2</v>
      </c>
      <c r="G269">
        <v>36</v>
      </c>
      <c r="H269">
        <v>-1.14091247520599E-2</v>
      </c>
      <c r="I269">
        <v>86</v>
      </c>
      <c r="J269">
        <v>-1.46348647320243E-2</v>
      </c>
      <c r="K269">
        <v>102</v>
      </c>
      <c r="L269">
        <v>-1.46348647320243E-2</v>
      </c>
      <c r="M269" s="3">
        <f>(FEM[[#This Row],[disp_t3]]--0.0145666666666666)/-0.0145666666666666</f>
        <v>-0.72929727861681759</v>
      </c>
      <c r="N269" s="3">
        <f>(FEM[[#This Row],[disp_t6]]--0.0145666666666666)/-0.0145666666666666</f>
        <v>2.9896766843135517E-3</v>
      </c>
      <c r="O269" s="3">
        <f>(FEM[[#This Row],[disp_q4]]--0.0145666666666666)/-0.0145666666666666</f>
        <v>-0.21676489116293229</v>
      </c>
      <c r="P269" s="3">
        <f>(FEM[[#This Row],[disp_q8]]--0.0145666666666666)/-0.0145666666666666</f>
        <v>4.6817893838238455E-3</v>
      </c>
      <c r="Q269" s="3">
        <f>(FEM[[#This Row],[disp_q9]]--0.0145666666666666)/-0.0145666666666666</f>
        <v>4.6817893838238455E-3</v>
      </c>
    </row>
    <row r="270" spans="1:17" x14ac:dyDescent="0.3">
      <c r="A270">
        <v>7</v>
      </c>
      <c r="B270">
        <v>1</v>
      </c>
      <c r="C270">
        <v>32</v>
      </c>
      <c r="D270">
        <v>-3.7042228812473798E-3</v>
      </c>
      <c r="E270">
        <v>90</v>
      </c>
      <c r="F270">
        <v>-1.4602120291595799E-2</v>
      </c>
      <c r="G270">
        <v>32</v>
      </c>
      <c r="H270">
        <v>-1.0690601658633701E-2</v>
      </c>
      <c r="I270">
        <v>76</v>
      </c>
      <c r="J270">
        <v>-1.46304980138557E-2</v>
      </c>
      <c r="K270">
        <v>90</v>
      </c>
      <c r="L270">
        <v>-1.46304980138557E-2</v>
      </c>
      <c r="M270" s="3">
        <f>(FEM[[#This Row],[disp_t3]]--0.0145666666666666)/-0.0145666666666666</f>
        <v>-0.7457055230264944</v>
      </c>
      <c r="N270" s="3">
        <f>(FEM[[#This Row],[disp_t6]]--0.0145666666666666)/-0.0145666666666666</f>
        <v>2.4338872949107616E-3</v>
      </c>
      <c r="O270" s="3">
        <f>(FEM[[#This Row],[disp_q4]]--0.0145666666666666)/-0.0145666666666666</f>
        <v>-0.26609141931576086</v>
      </c>
      <c r="P270" s="3">
        <f>(FEM[[#This Row],[disp_q8]]--0.0145666666666666)/-0.0145666666666666</f>
        <v>4.382014681173981E-3</v>
      </c>
      <c r="Q270" s="3">
        <f>(FEM[[#This Row],[disp_q9]]--0.0145666666666666)/-0.0145666666666666</f>
        <v>4.382014681173981E-3</v>
      </c>
    </row>
    <row r="271" spans="1:17" x14ac:dyDescent="0.3">
      <c r="A271">
        <v>6</v>
      </c>
      <c r="B271">
        <v>1</v>
      </c>
      <c r="C271">
        <v>28</v>
      </c>
      <c r="D271">
        <v>-3.38948104605492E-3</v>
      </c>
      <c r="E271">
        <v>78</v>
      </c>
      <c r="F271">
        <v>-1.45892985471507E-2</v>
      </c>
      <c r="G271">
        <v>28</v>
      </c>
      <c r="H271">
        <v>-9.7451184463381597E-3</v>
      </c>
      <c r="I271">
        <v>66</v>
      </c>
      <c r="J271">
        <v>-1.46234128504606E-2</v>
      </c>
      <c r="K271">
        <v>78</v>
      </c>
      <c r="L271">
        <v>-1.46234128504606E-2</v>
      </c>
      <c r="M271" s="3">
        <f>(FEM[[#This Row],[disp_t3]]--0.0145666666666666)/-0.0145666666666666</f>
        <v>-0.76731251400080536</v>
      </c>
      <c r="N271" s="3">
        <f>(FEM[[#This Row],[disp_t6]]--0.0145666666666666)/-0.0145666666666666</f>
        <v>1.5536760057735276E-3</v>
      </c>
      <c r="O271" s="3">
        <f>(FEM[[#This Row],[disp_q4]]--0.0145666666666666)/-0.0145666666666666</f>
        <v>-0.33099873366099281</v>
      </c>
      <c r="P271" s="3">
        <f>(FEM[[#This Row],[disp_q8]]--0.0145666666666666)/-0.0145666666666666</f>
        <v>3.8956190247597935E-3</v>
      </c>
      <c r="Q271" s="3">
        <f>(FEM[[#This Row],[disp_q9]]--0.0145666666666666)/-0.0145666666666666</f>
        <v>3.8956190247597935E-3</v>
      </c>
    </row>
    <row r="272" spans="1:17" x14ac:dyDescent="0.3">
      <c r="A272">
        <v>5</v>
      </c>
      <c r="B272">
        <v>1</v>
      </c>
      <c r="C272">
        <v>24</v>
      </c>
      <c r="D272">
        <v>-2.9741458665057501E-3</v>
      </c>
      <c r="E272">
        <v>66</v>
      </c>
      <c r="F272">
        <v>-1.45665178763875E-2</v>
      </c>
      <c r="G272">
        <v>24</v>
      </c>
      <c r="H272">
        <v>-8.4987349245527494E-3</v>
      </c>
      <c r="I272">
        <v>56</v>
      </c>
      <c r="J272">
        <v>-1.46105804358633E-2</v>
      </c>
      <c r="K272">
        <v>66</v>
      </c>
      <c r="L272">
        <v>-1.46105804358633E-2</v>
      </c>
      <c r="M272" s="3">
        <f>(FEM[[#This Row],[disp_t3]]--0.0145666666666666)/-0.0145666666666666</f>
        <v>-0.79582522655566834</v>
      </c>
      <c r="N272" s="3">
        <f>(FEM[[#This Row],[disp_t6]]--0.0145666666666666)/-0.0145666666666666</f>
        <v>-1.0214435636105357E-5</v>
      </c>
      <c r="O272" s="3">
        <f>(FEM[[#This Row],[disp_q4]]--0.0145666666666666)/-0.0145666666666666</f>
        <v>-0.41656281982475135</v>
      </c>
      <c r="P272" s="3">
        <f>(FEM[[#This Row],[disp_q8]]--0.0145666666666666)/-0.0145666666666666</f>
        <v>3.0146752308947999E-3</v>
      </c>
      <c r="Q272" s="3">
        <f>(FEM[[#This Row],[disp_q9]]--0.0145666666666666)/-0.0145666666666666</f>
        <v>3.0146752308947999E-3</v>
      </c>
    </row>
    <row r="273" spans="1:17" x14ac:dyDescent="0.3">
      <c r="A273">
        <v>4</v>
      </c>
      <c r="B273">
        <v>1</v>
      </c>
      <c r="C273">
        <v>20</v>
      </c>
      <c r="D273">
        <v>-2.4337533575241599E-3</v>
      </c>
      <c r="E273">
        <v>54</v>
      </c>
      <c r="F273">
        <v>-1.45191076680182E-2</v>
      </c>
      <c r="G273">
        <v>20</v>
      </c>
      <c r="H273">
        <v>-6.8792920197896703E-3</v>
      </c>
      <c r="I273">
        <v>46</v>
      </c>
      <c r="J273">
        <v>-1.458280576202E-2</v>
      </c>
      <c r="K273">
        <v>54</v>
      </c>
      <c r="L273">
        <v>-1.458280576202E-2</v>
      </c>
      <c r="M273" s="3">
        <f>(FEM[[#This Row],[disp_t3]]--0.0145666666666666)/-0.0145666666666666</f>
        <v>-0.83292311046744816</v>
      </c>
      <c r="N273" s="3">
        <f>(FEM[[#This Row],[disp_t6]]--0.0145666666666666)/-0.0145666666666666</f>
        <v>-3.2649198156796291E-3</v>
      </c>
      <c r="O273" s="3">
        <f>(FEM[[#This Row],[disp_q4]]--0.0145666666666666)/-0.0145666666666666</f>
        <v>-0.52773738994578701</v>
      </c>
      <c r="P273" s="3">
        <f>(FEM[[#This Row],[disp_q8]]--0.0145666666666666)/-0.0145666666666666</f>
        <v>1.1079470494325411E-3</v>
      </c>
      <c r="Q273" s="3">
        <f>(FEM[[#This Row],[disp_q9]]--0.0145666666666666)/-0.0145666666666666</f>
        <v>1.1079470494325411E-3</v>
      </c>
    </row>
    <row r="274" spans="1:17" x14ac:dyDescent="0.3">
      <c r="A274">
        <v>3</v>
      </c>
      <c r="B274">
        <v>1</v>
      </c>
      <c r="C274">
        <v>16</v>
      </c>
      <c r="D274">
        <v>-1.7633035674429799E-3</v>
      </c>
      <c r="E274">
        <v>42</v>
      </c>
      <c r="F274">
        <v>-1.43971155240958E-2</v>
      </c>
      <c r="G274">
        <v>16</v>
      </c>
      <c r="H274">
        <v>-4.8734681781140996E-3</v>
      </c>
      <c r="I274">
        <v>36</v>
      </c>
      <c r="J274">
        <v>-1.4504568978211001E-2</v>
      </c>
      <c r="K274">
        <v>42</v>
      </c>
      <c r="L274">
        <v>-1.4504568978211001E-2</v>
      </c>
      <c r="M274" s="3">
        <f>(FEM[[#This Row],[disp_t3]]--0.0145666666666666)/-0.0145666666666666</f>
        <v>-0.87894941184601905</v>
      </c>
      <c r="N274" s="3">
        <f>(FEM[[#This Row],[disp_t6]]--0.0145666666666666)/-0.0145666666666666</f>
        <v>-1.1639666538041198E-2</v>
      </c>
      <c r="O274" s="3">
        <f>(FEM[[#This Row],[disp_q4]]--0.0145666666666666)/-0.0145666666666666</f>
        <v>-0.66543696717752032</v>
      </c>
      <c r="P274" s="3">
        <f>(FEM[[#This Row],[disp_q8]]--0.0145666666666666)/-0.0145666666666666</f>
        <v>-4.2629992074781865E-3</v>
      </c>
      <c r="Q274" s="3">
        <f>(FEM[[#This Row],[disp_q9]]--0.0145666666666666)/-0.0145666666666666</f>
        <v>-4.2629992074781865E-3</v>
      </c>
    </row>
    <row r="275" spans="1:17" x14ac:dyDescent="0.3">
      <c r="A275">
        <v>2</v>
      </c>
      <c r="B275">
        <v>1</v>
      </c>
      <c r="C275">
        <v>12</v>
      </c>
      <c r="D275">
        <v>-1.0219694195780699E-3</v>
      </c>
      <c r="E275">
        <v>30</v>
      </c>
      <c r="F275">
        <v>-1.39747605788271E-2</v>
      </c>
      <c r="G275">
        <v>12</v>
      </c>
      <c r="H275">
        <v>-2.65918872815898E-3</v>
      </c>
      <c r="I275">
        <v>26</v>
      </c>
      <c r="J275">
        <v>-1.41866382500281E-2</v>
      </c>
      <c r="K275">
        <v>30</v>
      </c>
      <c r="L275">
        <v>-1.41866382500281E-2</v>
      </c>
      <c r="M275" s="3">
        <f>(FEM[[#This Row],[disp_t3]]--0.0145666666666666)/-0.0145666666666666</f>
        <v>-0.9298419162761048</v>
      </c>
      <c r="N275" s="3">
        <f>(FEM[[#This Row],[disp_t6]]--0.0145666666666666)/-0.0145666666666666</f>
        <v>-4.0634285206373133E-2</v>
      </c>
      <c r="O275" s="3">
        <f>(FEM[[#This Row],[disp_q4]]--0.0145666666666666)/-0.0145666666666666</f>
        <v>-0.81744699806688836</v>
      </c>
      <c r="P275" s="3">
        <f>(FEM[[#This Row],[disp_q8]]--0.0145666666666666)/-0.0145666666666666</f>
        <v>-2.6088907320720875E-2</v>
      </c>
      <c r="Q275" s="3">
        <f>(FEM[[#This Row],[disp_q9]]--0.0145666666666666)/-0.0145666666666666</f>
        <v>-2.6088907320720875E-2</v>
      </c>
    </row>
    <row r="276" spans="1:17" x14ac:dyDescent="0.3">
      <c r="A276">
        <v>1</v>
      </c>
      <c r="B276">
        <v>1</v>
      </c>
      <c r="C276">
        <v>8</v>
      </c>
      <c r="D276">
        <v>-3.8947753014248899E-4</v>
      </c>
      <c r="E276">
        <v>18</v>
      </c>
      <c r="F276">
        <v>-1.1362121517262101E-2</v>
      </c>
      <c r="G276">
        <v>8</v>
      </c>
      <c r="H276">
        <v>-7.7049717719907798E-4</v>
      </c>
      <c r="I276">
        <v>16</v>
      </c>
      <c r="J276">
        <v>-1.17888293210941E-2</v>
      </c>
      <c r="K276">
        <v>18</v>
      </c>
      <c r="L276">
        <v>-1.17888293210941E-2</v>
      </c>
      <c r="M276" s="3">
        <f>(FEM[[#This Row],[disp_t3]]--0.0145666666666666)/-0.0145666666666666</f>
        <v>-0.97326241211836451</v>
      </c>
      <c r="N276" s="3">
        <f>(FEM[[#This Row],[disp_t6]]--0.0145666666666666)/-0.0145666666666666</f>
        <v>-0.21999165785385677</v>
      </c>
      <c r="O276" s="3">
        <f>(FEM[[#This Row],[disp_q4]]--0.0145666666666666)/-0.0145666666666666</f>
        <v>-0.94710545694285475</v>
      </c>
      <c r="P276" s="3">
        <f>(FEM[[#This Row],[disp_q8]]--0.0145666666666666)/-0.0145666666666666</f>
        <v>-0.19069821594319306</v>
      </c>
      <c r="Q276" s="3">
        <f>(FEM[[#This Row],[disp_q9]]--0.0145666666666666)/-0.0145666666666666</f>
        <v>-0.19069821594319306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CE5B-6D43-4A09-926B-7163FD72C915}">
  <dimension ref="A1:Q276"/>
  <sheetViews>
    <sheetView topLeftCell="F1" zoomScale="130" zoomScaleNormal="130" workbookViewId="0">
      <selection activeCell="R9" sqref="R9"/>
    </sheetView>
  </sheetViews>
  <sheetFormatPr defaultRowHeight="14.4" x14ac:dyDescent="0.3"/>
  <cols>
    <col min="3" max="6" width="9" customWidth="1"/>
    <col min="7" max="12" width="9.5546875" customWidth="1"/>
    <col min="13" max="16" width="13.33203125" bestFit="1" customWidth="1"/>
    <col min="17" max="17" width="13.109375" bestFit="1" customWidth="1"/>
  </cols>
  <sheetData>
    <row r="1" spans="1:17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25</v>
      </c>
      <c r="L1" t="s">
        <v>26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27</v>
      </c>
    </row>
    <row r="2" spans="1:17" x14ac:dyDescent="0.3">
      <c r="A2">
        <v>200</v>
      </c>
      <c r="B2">
        <v>25</v>
      </c>
      <c r="C2">
        <v>10452</v>
      </c>
      <c r="D2">
        <v>-3.6032426108674001E-3</v>
      </c>
      <c r="E2">
        <v>40902</v>
      </c>
      <c r="F2">
        <v>-3.6465981335076299E-3</v>
      </c>
      <c r="G2">
        <v>10452</v>
      </c>
      <c r="H2">
        <v>-3.6320142089234899E-3</v>
      </c>
      <c r="I2">
        <v>30902</v>
      </c>
      <c r="J2">
        <v>-3.64677272952851E-3</v>
      </c>
      <c r="K2">
        <v>40902</v>
      </c>
      <c r="L2">
        <v>-3.64677272952851E-3</v>
      </c>
      <c r="M2">
        <f>(Table7[[#This Row],[disp_t3]]--0.00354)/-0.00354</f>
        <v>1.7865144312824825E-2</v>
      </c>
      <c r="N2">
        <f>(Table7[[#This Row],[disp_t6]]--0.00354)/-0.00354</f>
        <v>3.0112467092550766E-2</v>
      </c>
      <c r="O2">
        <f>(Table7[[#This Row],[disp_q4]]--0.00354)/-0.00354</f>
        <v>2.5992714385166579E-2</v>
      </c>
      <c r="P2">
        <f>(Table7[[#This Row],[disp_q8]]--0.00354)/-0.00354</f>
        <v>3.0161788002403912E-2</v>
      </c>
      <c r="Q2">
        <f>(Table7[[#This Row],[disp_q9]]--0.00354)/-0.00354</f>
        <v>3.0161788002403912E-2</v>
      </c>
    </row>
    <row r="3" spans="1:17" x14ac:dyDescent="0.3">
      <c r="A3">
        <v>166</v>
      </c>
      <c r="B3">
        <v>25</v>
      </c>
      <c r="C3">
        <v>8684</v>
      </c>
      <c r="D3">
        <v>-3.5819474312799898E-3</v>
      </c>
      <c r="E3">
        <v>33966</v>
      </c>
      <c r="F3">
        <v>-3.6282170591024798E-3</v>
      </c>
      <c r="G3">
        <v>8684</v>
      </c>
      <c r="H3">
        <v>-3.61314573389732E-3</v>
      </c>
      <c r="I3">
        <v>25666</v>
      </c>
      <c r="J3">
        <v>-3.6291153433543398E-3</v>
      </c>
      <c r="K3">
        <v>33966</v>
      </c>
      <c r="L3">
        <v>-3.6291153433543398E-3</v>
      </c>
      <c r="M3">
        <f>(Table7[[#This Row],[disp_t3]]--0.00354)/-0.00354</f>
        <v>1.1849556858754141E-2</v>
      </c>
      <c r="N3">
        <f>(Table7[[#This Row],[disp_t6]]--0.00354)/-0.00354</f>
        <v>2.4920073192790864E-2</v>
      </c>
      <c r="O3">
        <f>(Table7[[#This Row],[disp_q4]]--0.00354)/-0.00354</f>
        <v>2.0662636694158135E-2</v>
      </c>
      <c r="P3">
        <f>(Table7[[#This Row],[disp_q8]]--0.00354)/-0.00354</f>
        <v>2.5173825806310623E-2</v>
      </c>
      <c r="Q3">
        <f>(Table7[[#This Row],[disp_q9]]--0.00354)/-0.00354</f>
        <v>2.5173825806310623E-2</v>
      </c>
    </row>
    <row r="4" spans="1:17" x14ac:dyDescent="0.3">
      <c r="A4">
        <v>138</v>
      </c>
      <c r="B4">
        <v>25</v>
      </c>
      <c r="C4">
        <v>7228</v>
      </c>
      <c r="D4">
        <v>-3.5554189037748799E-3</v>
      </c>
      <c r="E4">
        <v>28254</v>
      </c>
      <c r="F4">
        <v>-3.6115928497607898E-3</v>
      </c>
      <c r="G4">
        <v>7228</v>
      </c>
      <c r="H4">
        <v>-3.5904162669437101E-3</v>
      </c>
      <c r="I4">
        <v>21354</v>
      </c>
      <c r="J4">
        <v>-3.6086597814996698E-3</v>
      </c>
      <c r="K4">
        <v>28254</v>
      </c>
      <c r="L4">
        <v>-3.6086597814996698E-3</v>
      </c>
      <c r="M4">
        <f>(Table7[[#This Row],[disp_t3]]--0.00354)/-0.00354</f>
        <v>4.3556225352767517E-3</v>
      </c>
      <c r="N4">
        <f>(Table7[[#This Row],[disp_t6]]--0.00354)/-0.00354</f>
        <v>2.0223968858980115E-2</v>
      </c>
      <c r="O4">
        <f>(Table7[[#This Row],[disp_q4]]--0.00354)/-0.00354</f>
        <v>1.4241883317432183E-2</v>
      </c>
      <c r="P4">
        <f>(Table7[[#This Row],[disp_q8]]--0.00354)/-0.00354</f>
        <v>1.9395418502731541E-2</v>
      </c>
      <c r="Q4">
        <f>(Table7[[#This Row],[disp_q9]]--0.00354)/-0.00354</f>
        <v>1.9395418502731541E-2</v>
      </c>
    </row>
    <row r="5" spans="1:17" x14ac:dyDescent="0.3">
      <c r="A5">
        <v>115</v>
      </c>
      <c r="B5">
        <v>25</v>
      </c>
      <c r="C5">
        <v>6032</v>
      </c>
      <c r="D5">
        <v>-3.5916222288020598E-3</v>
      </c>
      <c r="E5">
        <v>23562</v>
      </c>
      <c r="F5">
        <v>-3.5658088247558701E-3</v>
      </c>
      <c r="G5">
        <v>6032</v>
      </c>
      <c r="H5">
        <v>-3.6310254817280099E-3</v>
      </c>
      <c r="I5">
        <v>17812</v>
      </c>
      <c r="J5">
        <v>-3.5702774756070101E-3</v>
      </c>
      <c r="K5">
        <v>23562</v>
      </c>
      <c r="L5">
        <v>-3.5702774756070101E-3</v>
      </c>
      <c r="M5">
        <f>(Table7[[#This Row],[disp_t3]]--0.00354)/-0.00354</f>
        <v>1.4582550509056392E-2</v>
      </c>
      <c r="N5">
        <f>(Table7[[#This Row],[disp_t6]]--0.00354)/-0.00354</f>
        <v>7.2906284621101491E-3</v>
      </c>
      <c r="O5">
        <f>(Table7[[#This Row],[disp_q4]]--0.00354)/-0.00354</f>
        <v>2.5713412917516863E-2</v>
      </c>
      <c r="P5">
        <f>(Table7[[#This Row],[disp_q8]]--0.00354)/-0.00354</f>
        <v>8.5529592110197544E-3</v>
      </c>
      <c r="Q5">
        <f>(Table7[[#This Row],[disp_q9]]--0.00354)/-0.00354</f>
        <v>8.5529592110197544E-3</v>
      </c>
    </row>
    <row r="6" spans="1:17" x14ac:dyDescent="0.3">
      <c r="A6">
        <v>96</v>
      </c>
      <c r="B6">
        <v>25</v>
      </c>
      <c r="C6">
        <v>5044</v>
      </c>
      <c r="D6">
        <v>-3.47970443666854E-3</v>
      </c>
      <c r="E6">
        <v>19686</v>
      </c>
      <c r="F6">
        <v>-3.5550583232796099E-3</v>
      </c>
      <c r="G6">
        <v>5044</v>
      </c>
      <c r="H6">
        <v>-3.5280908440763199E-3</v>
      </c>
      <c r="I6">
        <v>14886</v>
      </c>
      <c r="J6">
        <v>-3.5551321127451699E-3</v>
      </c>
      <c r="K6">
        <v>19686</v>
      </c>
      <c r="L6">
        <v>-3.5551321127451699E-3</v>
      </c>
      <c r="M6">
        <f>(Table7[[#This Row],[disp_t3]]--0.00354)/-0.00354</f>
        <v>-1.7032645008887057E-2</v>
      </c>
      <c r="N6">
        <f>(Table7[[#This Row],[disp_t6]]--0.00354)/-0.00354</f>
        <v>4.253763638307843E-3</v>
      </c>
      <c r="O6">
        <f>(Table7[[#This Row],[disp_q4]]--0.00354)/-0.00354</f>
        <v>-3.3641683400226748E-3</v>
      </c>
      <c r="P6">
        <f>(Table7[[#This Row],[disp_q8]]--0.00354)/-0.00354</f>
        <v>4.274608120104436E-3</v>
      </c>
      <c r="Q6">
        <f>(Table7[[#This Row],[disp_q9]]--0.00354)/-0.00354</f>
        <v>4.274608120104436E-3</v>
      </c>
    </row>
    <row r="7" spans="1:17" x14ac:dyDescent="0.3">
      <c r="A7">
        <v>80</v>
      </c>
      <c r="B7">
        <v>25</v>
      </c>
      <c r="C7">
        <v>4212</v>
      </c>
      <c r="D7">
        <v>-3.4243050047090598E-3</v>
      </c>
      <c r="E7">
        <v>16422</v>
      </c>
      <c r="F7">
        <v>-3.5170381461162399E-3</v>
      </c>
      <c r="G7">
        <v>4212</v>
      </c>
      <c r="H7">
        <v>-3.4835842153082401E-3</v>
      </c>
      <c r="I7">
        <v>12422</v>
      </c>
      <c r="J7">
        <v>-3.52111489997792E-3</v>
      </c>
      <c r="K7">
        <v>16422</v>
      </c>
      <c r="L7">
        <v>-3.52111489997792E-3</v>
      </c>
      <c r="M7">
        <f>(Table7[[#This Row],[disp_t3]]--0.00354)/-0.00354</f>
        <v>-3.2682202059587662E-2</v>
      </c>
      <c r="N7">
        <f>(Table7[[#This Row],[disp_t6]]--0.00354)/-0.00354</f>
        <v>-6.4863994021921757E-3</v>
      </c>
      <c r="O7">
        <f>(Table7[[#This Row],[disp_q4]]--0.00354)/-0.00354</f>
        <v>-1.5936662342305116E-2</v>
      </c>
      <c r="P7">
        <f>(Table7[[#This Row],[disp_q8]]--0.00354)/-0.00354</f>
        <v>-5.3347740175367789E-3</v>
      </c>
      <c r="Q7">
        <f>(Table7[[#This Row],[disp_q9]]--0.00354)/-0.00354</f>
        <v>-5.3347740175367789E-3</v>
      </c>
    </row>
    <row r="8" spans="1:17" x14ac:dyDescent="0.3">
      <c r="A8">
        <v>66</v>
      </c>
      <c r="B8">
        <v>25</v>
      </c>
      <c r="C8">
        <v>3484</v>
      </c>
      <c r="D8">
        <v>-3.3478879158931698E-3</v>
      </c>
      <c r="E8">
        <v>13566</v>
      </c>
      <c r="F8">
        <v>-3.4645278620342702E-3</v>
      </c>
      <c r="G8">
        <v>3484</v>
      </c>
      <c r="H8">
        <v>-3.4226735785853001E-3</v>
      </c>
      <c r="I8">
        <v>10266</v>
      </c>
      <c r="J8">
        <v>-3.4679560576703901E-3</v>
      </c>
      <c r="K8">
        <v>13566</v>
      </c>
      <c r="L8">
        <v>-3.4679560576703901E-3</v>
      </c>
      <c r="M8">
        <f>(Table7[[#This Row],[disp_t3]]--0.00354)/-0.00354</f>
        <v>-5.426895031266394E-2</v>
      </c>
      <c r="N8">
        <f>(Table7[[#This Row],[disp_t6]]--0.00354)/-0.00354</f>
        <v>-2.1319812984669499E-2</v>
      </c>
      <c r="O8">
        <f>(Table7[[#This Row],[disp_q4]]--0.00354)/-0.00354</f>
        <v>-3.3143056896807931E-2</v>
      </c>
      <c r="P8">
        <f>(Table7[[#This Row],[disp_q8]]--0.00354)/-0.00354</f>
        <v>-2.0351396138307939E-2</v>
      </c>
      <c r="Q8">
        <f>(Table7[[#This Row],[disp_q9]]--0.00354)/-0.00354</f>
        <v>-2.0351396138307939E-2</v>
      </c>
    </row>
    <row r="9" spans="1:17" x14ac:dyDescent="0.3">
      <c r="A9">
        <v>55</v>
      </c>
      <c r="B9">
        <v>25</v>
      </c>
      <c r="C9">
        <v>2912</v>
      </c>
      <c r="D9">
        <v>-3.4320672829747101E-3</v>
      </c>
      <c r="E9">
        <v>11322</v>
      </c>
      <c r="F9">
        <v>-3.3565537783787698E-3</v>
      </c>
      <c r="G9">
        <v>2912</v>
      </c>
      <c r="H9">
        <v>-3.5179341704087101E-3</v>
      </c>
      <c r="I9">
        <v>8572</v>
      </c>
      <c r="J9">
        <v>-3.3674857887680799E-3</v>
      </c>
      <c r="K9">
        <v>11322</v>
      </c>
      <c r="L9">
        <v>-3.3674857887680799E-3</v>
      </c>
      <c r="M9">
        <f>(Table7[[#This Row],[disp_t3]]--0.00354)/-0.00354</f>
        <v>-3.0489468086240135E-2</v>
      </c>
      <c r="N9">
        <f>(Table7[[#This Row],[disp_t6]]--0.00354)/-0.00354</f>
        <v>-5.1820966559669591E-2</v>
      </c>
      <c r="O9">
        <f>(Table7[[#This Row],[disp_q4]]--0.00354)/-0.00354</f>
        <v>-6.2332851952796968E-3</v>
      </c>
      <c r="P9">
        <f>(Table7[[#This Row],[disp_q8]]--0.00354)/-0.00354</f>
        <v>-4.873282803161591E-2</v>
      </c>
      <c r="Q9">
        <f>(Table7[[#This Row],[disp_q9]]--0.00354)/-0.00354</f>
        <v>-4.873282803161591E-2</v>
      </c>
    </row>
    <row r="10" spans="1:17" x14ac:dyDescent="0.3">
      <c r="A10">
        <v>46</v>
      </c>
      <c r="B10">
        <v>25</v>
      </c>
      <c r="C10">
        <v>2444</v>
      </c>
      <c r="D10">
        <v>-3.1370212488111798E-3</v>
      </c>
      <c r="E10">
        <v>9486</v>
      </c>
      <c r="F10">
        <v>-3.3222356897636401E-3</v>
      </c>
      <c r="G10">
        <v>2444</v>
      </c>
      <c r="H10">
        <v>-3.2540843416720001E-3</v>
      </c>
      <c r="I10">
        <v>7186</v>
      </c>
      <c r="J10">
        <v>-3.32923785585939E-3</v>
      </c>
      <c r="K10">
        <v>9486</v>
      </c>
      <c r="L10">
        <v>-3.32923785585939E-3</v>
      </c>
      <c r="M10">
        <f>(Table7[[#This Row],[disp_t3]]--0.00354)/-0.00354</f>
        <v>-0.11383580542057072</v>
      </c>
      <c r="N10">
        <f>(Table7[[#This Row],[disp_t6]]--0.00354)/-0.00354</f>
        <v>-6.1515341874677991E-2</v>
      </c>
      <c r="O10">
        <f>(Table7[[#This Row],[disp_q4]]--0.00354)/-0.00354</f>
        <v>-8.0767135120903971E-2</v>
      </c>
      <c r="P10">
        <f>(Table7[[#This Row],[disp_q8]]--0.00354)/-0.00354</f>
        <v>-5.9537328853279725E-2</v>
      </c>
      <c r="Q10">
        <f>(Table7[[#This Row],[disp_q9]]--0.00354)/-0.00354</f>
        <v>-5.9537328853279725E-2</v>
      </c>
    </row>
    <row r="11" spans="1:17" x14ac:dyDescent="0.3">
      <c r="A11">
        <v>38</v>
      </c>
      <c r="B11">
        <v>25</v>
      </c>
      <c r="C11">
        <v>2028</v>
      </c>
      <c r="D11">
        <v>-2.9812751581971002E-3</v>
      </c>
      <c r="E11">
        <v>7854</v>
      </c>
      <c r="F11">
        <v>-3.2140885052245201E-3</v>
      </c>
      <c r="G11">
        <v>2028</v>
      </c>
      <c r="H11">
        <v>-3.1276062166420301E-3</v>
      </c>
      <c r="I11">
        <v>5954</v>
      </c>
      <c r="J11">
        <v>-3.2259729554386099E-3</v>
      </c>
      <c r="K11">
        <v>7854</v>
      </c>
      <c r="L11">
        <v>-3.2259729554386099E-3</v>
      </c>
      <c r="M11">
        <f>(Table7[[#This Row],[disp_t3]]--0.00354)/-0.00354</f>
        <v>-0.15783187621550845</v>
      </c>
      <c r="N11">
        <f>(Table7[[#This Row],[disp_t6]]--0.00354)/-0.00354</f>
        <v>-9.2065394004372886E-2</v>
      </c>
      <c r="O11">
        <f>(Table7[[#This Row],[disp_q4]]--0.00354)/-0.00354</f>
        <v>-0.11649541902767517</v>
      </c>
      <c r="P11">
        <f>(Table7[[#This Row],[disp_q8]]--0.00354)/-0.00354</f>
        <v>-8.870820467835884E-2</v>
      </c>
      <c r="Q11">
        <f>(Table7[[#This Row],[disp_q9]]--0.00354)/-0.00354</f>
        <v>-8.870820467835884E-2</v>
      </c>
    </row>
    <row r="12" spans="1:17" x14ac:dyDescent="0.3">
      <c r="A12">
        <v>32</v>
      </c>
      <c r="B12">
        <v>25</v>
      </c>
      <c r="C12">
        <v>1716</v>
      </c>
      <c r="D12">
        <v>-2.8124633033692302E-3</v>
      </c>
      <c r="E12">
        <v>6630</v>
      </c>
      <c r="F12">
        <v>-3.0965580522758001E-3</v>
      </c>
      <c r="G12">
        <v>1716</v>
      </c>
      <c r="H12">
        <v>-2.98811627649308E-3</v>
      </c>
      <c r="I12">
        <v>5030</v>
      </c>
      <c r="J12">
        <v>-3.1099375997077801E-3</v>
      </c>
      <c r="K12">
        <v>6630</v>
      </c>
      <c r="L12">
        <v>-3.1099375997077801E-3</v>
      </c>
      <c r="M12">
        <f>(Table7[[#This Row],[disp_t3]]--0.00354)/-0.00354</f>
        <v>-0.20551884085614969</v>
      </c>
      <c r="N12">
        <f>(Table7[[#This Row],[disp_t6]]--0.00354)/-0.00354</f>
        <v>-0.12526608692774013</v>
      </c>
      <c r="O12">
        <f>(Table7[[#This Row],[disp_q4]]--0.00354)/-0.00354</f>
        <v>-0.15589935692285878</v>
      </c>
      <c r="P12">
        <f>(Table7[[#This Row],[disp_q8]]--0.00354)/-0.00354</f>
        <v>-0.12148655375486443</v>
      </c>
      <c r="Q12">
        <f>(Table7[[#This Row],[disp_q9]]--0.00354)/-0.00354</f>
        <v>-0.12148655375486443</v>
      </c>
    </row>
    <row r="13" spans="1:17" x14ac:dyDescent="0.3">
      <c r="A13">
        <v>26</v>
      </c>
      <c r="B13">
        <v>25</v>
      </c>
      <c r="C13">
        <v>1404</v>
      </c>
      <c r="D13">
        <v>-2.5736424339275E-3</v>
      </c>
      <c r="E13">
        <v>5406</v>
      </c>
      <c r="F13">
        <v>-2.9246463628756401E-3</v>
      </c>
      <c r="G13">
        <v>1404</v>
      </c>
      <c r="H13">
        <v>-2.7864830601893298E-3</v>
      </c>
      <c r="I13">
        <v>4106</v>
      </c>
      <c r="J13">
        <v>-2.9429011072861998E-3</v>
      </c>
      <c r="K13">
        <v>5406</v>
      </c>
      <c r="L13">
        <v>-2.9429011072861998E-3</v>
      </c>
      <c r="M13">
        <f>(Table7[[#This Row],[disp_t3]]--0.00354)/-0.00354</f>
        <v>-0.27298236329731645</v>
      </c>
      <c r="N13">
        <f>(Table7[[#This Row],[disp_t6]]--0.00354)/-0.00354</f>
        <v>-0.17382871105207912</v>
      </c>
      <c r="O13">
        <f>(Table7[[#This Row],[disp_q4]]--0.00354)/-0.00354</f>
        <v>-0.21285789260188426</v>
      </c>
      <c r="P13">
        <f>(Table7[[#This Row],[disp_q8]]--0.00354)/-0.00354</f>
        <v>-0.16867200359146903</v>
      </c>
      <c r="Q13">
        <f>(Table7[[#This Row],[disp_q9]]--0.00354)/-0.00354</f>
        <v>-0.16867200359146903</v>
      </c>
    </row>
    <row r="14" spans="1:17" x14ac:dyDescent="0.3">
      <c r="A14">
        <v>22</v>
      </c>
      <c r="B14">
        <v>25</v>
      </c>
      <c r="C14">
        <v>1196</v>
      </c>
      <c r="D14">
        <v>-2.3574882341602901E-3</v>
      </c>
      <c r="E14">
        <v>4590</v>
      </c>
      <c r="F14">
        <v>-2.7585256021295601E-3</v>
      </c>
      <c r="G14">
        <v>1196</v>
      </c>
      <c r="H14">
        <v>-2.6000423903585401E-3</v>
      </c>
      <c r="I14">
        <v>3490</v>
      </c>
      <c r="J14">
        <v>-2.7805315533433001E-3</v>
      </c>
      <c r="K14">
        <v>4590</v>
      </c>
      <c r="L14">
        <v>-2.7805315533433001E-3</v>
      </c>
      <c r="M14">
        <f>(Table7[[#This Row],[disp_t3]]--0.00354)/-0.00354</f>
        <v>-0.33404287170613278</v>
      </c>
      <c r="N14">
        <f>(Table7[[#This Row],[disp_t6]]--0.00354)/-0.00354</f>
        <v>-0.22075547962441808</v>
      </c>
      <c r="O14">
        <f>(Table7[[#This Row],[disp_q4]]--0.00354)/-0.00354</f>
        <v>-0.26552474848628815</v>
      </c>
      <c r="P14">
        <f>(Table7[[#This Row],[disp_q8]]--0.00354)/-0.00354</f>
        <v>-0.21453910922505651</v>
      </c>
      <c r="Q14">
        <f>(Table7[[#This Row],[disp_q9]]--0.00354)/-0.00354</f>
        <v>-0.21453910922505651</v>
      </c>
    </row>
    <row r="15" spans="1:17" x14ac:dyDescent="0.3">
      <c r="A15">
        <v>18</v>
      </c>
      <c r="B15">
        <v>25</v>
      </c>
      <c r="C15">
        <v>988</v>
      </c>
      <c r="D15">
        <v>-2.0761061122446202E-3</v>
      </c>
      <c r="E15">
        <v>3774</v>
      </c>
      <c r="F15">
        <v>-2.5435906547116101E-3</v>
      </c>
      <c r="G15">
        <v>988</v>
      </c>
      <c r="H15">
        <v>-2.3526223344237699E-3</v>
      </c>
      <c r="I15">
        <v>2874</v>
      </c>
      <c r="J15">
        <v>-2.5674148938774999E-3</v>
      </c>
      <c r="K15">
        <v>3774</v>
      </c>
      <c r="L15">
        <v>-2.5674148938774999E-3</v>
      </c>
      <c r="M15">
        <f>(Table7[[#This Row],[disp_t3]]--0.00354)/-0.00354</f>
        <v>-0.41352934682355363</v>
      </c>
      <c r="N15">
        <f>(Table7[[#This Row],[disp_t6]]--0.00354)/-0.00354</f>
        <v>-0.28147156646564692</v>
      </c>
      <c r="O15">
        <f>(Table7[[#This Row],[disp_q4]]--0.00354)/-0.00354</f>
        <v>-0.33541741965430233</v>
      </c>
      <c r="P15">
        <f>(Table7[[#This Row],[disp_q8]]--0.00354)/-0.00354</f>
        <v>-0.27474155540183626</v>
      </c>
      <c r="Q15">
        <f>(Table7[[#This Row],[disp_q9]]--0.00354)/-0.00354</f>
        <v>-0.27474155540183626</v>
      </c>
    </row>
    <row r="16" spans="1:17" x14ac:dyDescent="0.3">
      <c r="A16">
        <v>15</v>
      </c>
      <c r="B16">
        <v>25</v>
      </c>
      <c r="C16">
        <v>832</v>
      </c>
      <c r="D16">
        <v>-2.2779102600358199E-3</v>
      </c>
      <c r="E16">
        <v>3162</v>
      </c>
      <c r="F16">
        <v>-2.2236498198016401E-3</v>
      </c>
      <c r="G16">
        <v>832</v>
      </c>
      <c r="H16">
        <v>-2.6910072327227699E-3</v>
      </c>
      <c r="I16">
        <v>2412</v>
      </c>
      <c r="J16">
        <v>-2.2517490821421199E-3</v>
      </c>
      <c r="K16">
        <v>3162</v>
      </c>
      <c r="L16">
        <v>-2.2517490821421199E-3</v>
      </c>
      <c r="M16">
        <f>(Table7[[#This Row],[disp_t3]]--0.00354)/-0.00354</f>
        <v>-0.35652252541361024</v>
      </c>
      <c r="N16">
        <f>(Table7[[#This Row],[disp_t6]]--0.00354)/-0.00354</f>
        <v>-0.37185033338936724</v>
      </c>
      <c r="O16">
        <f>(Table7[[#This Row],[disp_q4]]--0.00354)/-0.00354</f>
        <v>-0.23982846533255092</v>
      </c>
      <c r="P16">
        <f>(Table7[[#This Row],[disp_q8]]--0.00354)/-0.00354</f>
        <v>-0.36391268866041815</v>
      </c>
      <c r="Q16">
        <f>(Table7[[#This Row],[disp_q9]]--0.00354)/-0.00354</f>
        <v>-0.36391268866041815</v>
      </c>
    </row>
    <row r="17" spans="1:17" x14ac:dyDescent="0.3">
      <c r="A17">
        <v>12</v>
      </c>
      <c r="B17">
        <v>25</v>
      </c>
      <c r="C17">
        <v>676</v>
      </c>
      <c r="D17">
        <v>-1.46690401226149E-3</v>
      </c>
      <c r="E17">
        <v>2550</v>
      </c>
      <c r="F17">
        <v>-2.0645748862471698E-3</v>
      </c>
      <c r="G17">
        <v>676</v>
      </c>
      <c r="H17">
        <v>-1.7984443072889E-3</v>
      </c>
      <c r="I17">
        <v>1950</v>
      </c>
      <c r="J17">
        <v>-2.0918198222227798E-3</v>
      </c>
      <c r="K17">
        <v>2550</v>
      </c>
      <c r="L17">
        <v>-2.0918198222227798E-3</v>
      </c>
      <c r="M17">
        <f>(Table7[[#This Row],[disp_t3]]--0.00354)/-0.00354</f>
        <v>-0.58562033551935322</v>
      </c>
      <c r="N17">
        <f>(Table7[[#This Row],[disp_t6]]--0.00354)/-0.00354</f>
        <v>-0.41678675529740966</v>
      </c>
      <c r="O17">
        <f>(Table7[[#This Row],[disp_q4]]--0.00354)/-0.00354</f>
        <v>-0.49196488494663843</v>
      </c>
      <c r="P17">
        <f>(Table7[[#This Row],[disp_q8]]--0.00354)/-0.00354</f>
        <v>-0.40909044569977976</v>
      </c>
      <c r="Q17">
        <f>(Table7[[#This Row],[disp_q9]]--0.00354)/-0.00354</f>
        <v>-0.40909044569977976</v>
      </c>
    </row>
    <row r="18" spans="1:17" x14ac:dyDescent="0.3">
      <c r="A18">
        <v>10</v>
      </c>
      <c r="B18">
        <v>25</v>
      </c>
      <c r="C18">
        <v>572</v>
      </c>
      <c r="D18">
        <v>-1.1910492756730499E-3</v>
      </c>
      <c r="E18">
        <v>2142</v>
      </c>
      <c r="F18">
        <v>-1.83879259124352E-3</v>
      </c>
      <c r="G18">
        <v>572</v>
      </c>
      <c r="H18">
        <v>-1.5324511126134899E-3</v>
      </c>
      <c r="I18">
        <v>1642</v>
      </c>
      <c r="J18">
        <v>-1.86464187755074E-3</v>
      </c>
      <c r="K18">
        <v>2142</v>
      </c>
      <c r="L18">
        <v>-1.86464187755074E-3</v>
      </c>
      <c r="M18">
        <f>(Table7[[#This Row],[disp_t3]]--0.00354)/-0.00354</f>
        <v>-0.66354540235224579</v>
      </c>
      <c r="N18">
        <f>(Table7[[#This Row],[disp_t6]]--0.00354)/-0.00354</f>
        <v>-0.4805670646204746</v>
      </c>
      <c r="O18">
        <f>(Table7[[#This Row],[disp_q4]]--0.00354)/-0.00354</f>
        <v>-0.56710420547641527</v>
      </c>
      <c r="P18">
        <f>(Table7[[#This Row],[disp_q8]]--0.00354)/-0.00354</f>
        <v>-0.4732650063415989</v>
      </c>
      <c r="Q18">
        <f>(Table7[[#This Row],[disp_q9]]--0.00354)/-0.00354</f>
        <v>-0.4732650063415989</v>
      </c>
    </row>
    <row r="19" spans="1:17" x14ac:dyDescent="0.3">
      <c r="A19">
        <v>8</v>
      </c>
      <c r="B19">
        <v>25</v>
      </c>
      <c r="C19">
        <v>468</v>
      </c>
      <c r="D19">
        <v>-8.7099830643147503E-4</v>
      </c>
      <c r="E19">
        <v>1734</v>
      </c>
      <c r="F19">
        <v>-1.53869334496157E-3</v>
      </c>
      <c r="G19">
        <v>468</v>
      </c>
      <c r="H19">
        <v>-1.19890762323627E-3</v>
      </c>
      <c r="I19">
        <v>1334</v>
      </c>
      <c r="J19">
        <v>-1.57196685324234E-3</v>
      </c>
      <c r="K19">
        <v>1734</v>
      </c>
      <c r="L19">
        <v>-1.57196685324234E-3</v>
      </c>
      <c r="M19">
        <f>(Table7[[#This Row],[disp_t3]]--0.00354)/-0.00354</f>
        <v>-0.75395528066907491</v>
      </c>
      <c r="N19">
        <f>(Table7[[#This Row],[disp_t6]]--0.00354)/-0.00354</f>
        <v>-0.56534086300520625</v>
      </c>
      <c r="O19">
        <f>(Table7[[#This Row],[disp_q4]]--0.00354)/-0.00354</f>
        <v>-0.66132553015924567</v>
      </c>
      <c r="P19">
        <f>(Table7[[#This Row],[disp_q8]]--0.00354)/-0.00354</f>
        <v>-0.55594156688069485</v>
      </c>
      <c r="Q19">
        <f>(Table7[[#This Row],[disp_q9]]--0.00354)/-0.00354</f>
        <v>-0.55594156688069485</v>
      </c>
    </row>
    <row r="20" spans="1:17" x14ac:dyDescent="0.3">
      <c r="A20">
        <v>7</v>
      </c>
      <c r="B20">
        <v>25</v>
      </c>
      <c r="C20">
        <v>416</v>
      </c>
      <c r="D20">
        <v>-1.0866280410312501E-3</v>
      </c>
      <c r="E20">
        <v>1530</v>
      </c>
      <c r="F20">
        <v>-1.26735183049119E-3</v>
      </c>
      <c r="G20">
        <v>416</v>
      </c>
      <c r="H20">
        <v>-1.5826349319548801E-3</v>
      </c>
      <c r="I20">
        <v>1180</v>
      </c>
      <c r="J20">
        <v>-1.29786940776637E-3</v>
      </c>
      <c r="K20">
        <v>1530</v>
      </c>
      <c r="L20">
        <v>-1.29786940776637E-3</v>
      </c>
      <c r="M20">
        <f>(Table7[[#This Row],[disp_t3]]--0.00354)/-0.00354</f>
        <v>-0.69304292626235875</v>
      </c>
      <c r="N20">
        <f>(Table7[[#This Row],[disp_t6]]--0.00354)/-0.00354</f>
        <v>-0.64199100833582201</v>
      </c>
      <c r="O20">
        <f>(Table7[[#This Row],[disp_q4]]--0.00354)/-0.00354</f>
        <v>-0.5529279853234802</v>
      </c>
      <c r="P20">
        <f>(Table7[[#This Row],[disp_q8]]--0.00354)/-0.00354</f>
        <v>-0.63337022379481078</v>
      </c>
      <c r="Q20">
        <f>(Table7[[#This Row],[disp_q9]]--0.00354)/-0.00354</f>
        <v>-0.63337022379481078</v>
      </c>
    </row>
    <row r="21" spans="1:17" x14ac:dyDescent="0.3">
      <c r="A21">
        <v>6</v>
      </c>
      <c r="B21">
        <v>25</v>
      </c>
      <c r="C21">
        <v>364</v>
      </c>
      <c r="D21">
        <v>-5.1932760228538301E-4</v>
      </c>
      <c r="E21">
        <v>1326</v>
      </c>
      <c r="F21">
        <v>-1.12301567729203E-3</v>
      </c>
      <c r="G21">
        <v>364</v>
      </c>
      <c r="H21">
        <v>-7.7695937248843303E-4</v>
      </c>
      <c r="I21">
        <v>1026</v>
      </c>
      <c r="J21">
        <v>-1.16403224899847E-3</v>
      </c>
      <c r="K21">
        <v>1326</v>
      </c>
      <c r="L21">
        <v>-1.16403224899847E-3</v>
      </c>
      <c r="M21">
        <f>(Table7[[#This Row],[disp_t3]]--0.00354)/-0.00354</f>
        <v>-0.85329728749000477</v>
      </c>
      <c r="N21">
        <f>(Table7[[#This Row],[disp_t6]]--0.00354)/-0.00354</f>
        <v>-0.68276393296835314</v>
      </c>
      <c r="O21">
        <f>(Table7[[#This Row],[disp_q4]]--0.00354)/-0.00354</f>
        <v>-0.78051995127445395</v>
      </c>
      <c r="P21">
        <f>(Table7[[#This Row],[disp_q8]]--0.00354)/-0.00354</f>
        <v>-0.67117733079139263</v>
      </c>
      <c r="Q21">
        <f>(Table7[[#This Row],[disp_q9]]--0.00354)/-0.00354</f>
        <v>-0.67117733079139263</v>
      </c>
    </row>
    <row r="22" spans="1:17" x14ac:dyDescent="0.3">
      <c r="A22">
        <v>5</v>
      </c>
      <c r="B22">
        <v>25</v>
      </c>
      <c r="C22">
        <v>312</v>
      </c>
      <c r="D22">
        <v>-6.6322794626183805E-4</v>
      </c>
      <c r="E22">
        <v>1122</v>
      </c>
      <c r="F22">
        <v>-7.9894618659944101E-4</v>
      </c>
      <c r="G22">
        <v>312</v>
      </c>
      <c r="H22">
        <v>-1.06111505377153E-3</v>
      </c>
      <c r="I22">
        <v>872</v>
      </c>
      <c r="J22">
        <v>-8.2660678547120199E-4</v>
      </c>
      <c r="K22">
        <v>1122</v>
      </c>
      <c r="L22">
        <v>-8.2660678547120199E-4</v>
      </c>
      <c r="M22">
        <f>(Table7[[#This Row],[disp_t3]]--0.00354)/-0.00354</f>
        <v>-0.81264747280739036</v>
      </c>
      <c r="N22">
        <f>(Table7[[#This Row],[disp_t6]]--0.00354)/-0.00354</f>
        <v>-0.7743089868363161</v>
      </c>
      <c r="O22">
        <f>(Table7[[#This Row],[disp_q4]]--0.00354)/-0.00354</f>
        <v>-0.70024998481030232</v>
      </c>
      <c r="P22">
        <f>(Table7[[#This Row],[disp_q8]]--0.00354)/-0.00354</f>
        <v>-0.76649525834146837</v>
      </c>
      <c r="Q22">
        <f>(Table7[[#This Row],[disp_q9]]--0.00354)/-0.00354</f>
        <v>-0.76649525834146837</v>
      </c>
    </row>
    <row r="23" spans="1:17" x14ac:dyDescent="0.3">
      <c r="A23">
        <v>4</v>
      </c>
      <c r="B23">
        <v>25</v>
      </c>
      <c r="C23">
        <v>260</v>
      </c>
      <c r="D23">
        <v>-1.9087363900441499E-4</v>
      </c>
      <c r="E23">
        <v>918</v>
      </c>
      <c r="F23">
        <v>-5.1977572373976104E-4</v>
      </c>
      <c r="G23">
        <v>260</v>
      </c>
      <c r="H23">
        <v>-2.9433428419664299E-4</v>
      </c>
      <c r="I23">
        <v>718</v>
      </c>
      <c r="J23">
        <v>-5.7251170328403197E-4</v>
      </c>
      <c r="K23">
        <v>918</v>
      </c>
      <c r="L23">
        <v>-5.7251170328403197E-4</v>
      </c>
      <c r="M23">
        <f>(Table7[[#This Row],[disp_t3]]--0.00354)/-0.00354</f>
        <v>-0.94608089293660591</v>
      </c>
      <c r="N23">
        <f>(Table7[[#This Row],[disp_t6]]--0.00354)/-0.00354</f>
        <v>-0.85317069950854207</v>
      </c>
      <c r="O23">
        <f>(Table7[[#This Row],[disp_q4]]--0.00354)/-0.00354</f>
        <v>-0.91685472197834939</v>
      </c>
      <c r="P23">
        <f>(Table7[[#This Row],[disp_q8]]--0.00354)/-0.00354</f>
        <v>-0.83827353014575368</v>
      </c>
      <c r="Q23">
        <f>(Table7[[#This Row],[disp_q9]]--0.00354)/-0.00354</f>
        <v>-0.83827353014575368</v>
      </c>
    </row>
    <row r="24" spans="1:17" x14ac:dyDescent="0.3">
      <c r="A24">
        <v>3</v>
      </c>
      <c r="B24">
        <v>25</v>
      </c>
      <c r="C24">
        <v>208</v>
      </c>
      <c r="D24">
        <v>-2.5877547895511801E-4</v>
      </c>
      <c r="E24">
        <v>714</v>
      </c>
      <c r="F24">
        <v>-1.7986797106915101E-4</v>
      </c>
      <c r="G24">
        <v>208</v>
      </c>
      <c r="H24">
        <v>-4.2233621696660499E-4</v>
      </c>
      <c r="I24">
        <v>564</v>
      </c>
      <c r="J24">
        <v>-1.90249689368996E-4</v>
      </c>
      <c r="K24">
        <v>714</v>
      </c>
      <c r="L24">
        <v>-1.90249689368996E-4</v>
      </c>
      <c r="M24">
        <f>(Table7[[#This Row],[disp_t3]]--0.00354)/-0.00354</f>
        <v>-0.92689958221606839</v>
      </c>
      <c r="N24">
        <f>(Table7[[#This Row],[disp_t6]]--0.00354)/-0.00354</f>
        <v>-0.9491898386810308</v>
      </c>
      <c r="O24">
        <f>(Table7[[#This Row],[disp_q4]]--0.00354)/-0.00354</f>
        <v>-0.88069598390773873</v>
      </c>
      <c r="P24">
        <f>(Table7[[#This Row],[disp_q8]]--0.00354)/-0.00354</f>
        <v>-0.94625714989576393</v>
      </c>
      <c r="Q24">
        <f>(Table7[[#This Row],[disp_q9]]--0.00354)/-0.00354</f>
        <v>-0.94625714989576393</v>
      </c>
    </row>
    <row r="25" spans="1:17" x14ac:dyDescent="0.3">
      <c r="A25">
        <v>2</v>
      </c>
      <c r="B25">
        <v>25</v>
      </c>
      <c r="C25">
        <v>156</v>
      </c>
      <c r="D25" s="7">
        <v>-5.2622258866432701E-6</v>
      </c>
      <c r="E25">
        <v>510</v>
      </c>
      <c r="F25" s="7">
        <v>-1.5438278444467499E-5</v>
      </c>
      <c r="G25">
        <v>156</v>
      </c>
      <c r="H25" s="7">
        <v>-8.82402942918958E-6</v>
      </c>
      <c r="I25">
        <v>410</v>
      </c>
      <c r="J25" s="7">
        <v>-1.98014532186086E-5</v>
      </c>
      <c r="K25">
        <v>510</v>
      </c>
      <c r="L25" s="7">
        <v>-1.98014532186086E-5</v>
      </c>
      <c r="M25">
        <f>(Table7[[#This Row],[disp_t3]]--0.00354)/-0.00354</f>
        <v>-0.99851349551224766</v>
      </c>
      <c r="N25">
        <f>(Table7[[#This Row],[disp_t6]]--0.00354)/-0.00354</f>
        <v>-0.9956389043942182</v>
      </c>
      <c r="O25">
        <f>(Table7[[#This Row],[disp_q4]]--0.00354)/-0.00354</f>
        <v>-0.99750733631943789</v>
      </c>
      <c r="P25">
        <f>(Table7[[#This Row],[disp_q8]]--0.00354)/-0.00354</f>
        <v>-0.99440636914728564</v>
      </c>
      <c r="Q25">
        <f>(Table7[[#This Row],[disp_q9]]--0.00354)/-0.00354</f>
        <v>-0.99440636914728564</v>
      </c>
    </row>
    <row r="26" spans="1:17" x14ac:dyDescent="0.3">
      <c r="A26">
        <v>1</v>
      </c>
      <c r="B26">
        <v>25</v>
      </c>
      <c r="C26">
        <v>104</v>
      </c>
      <c r="D26" s="7">
        <v>-2.64878930662811E-6</v>
      </c>
      <c r="E26">
        <v>306</v>
      </c>
      <c r="F26" s="7">
        <v>-7.9359003063139305E-6</v>
      </c>
      <c r="G26">
        <v>104</v>
      </c>
      <c r="H26" s="7">
        <v>-3.9801066895988102E-6</v>
      </c>
      <c r="I26">
        <v>256</v>
      </c>
      <c r="J26" s="7">
        <v>-1.0924668828920399E-5</v>
      </c>
      <c r="K26">
        <v>306</v>
      </c>
      <c r="L26" s="7">
        <v>-1.0924668828920399E-5</v>
      </c>
      <c r="M26">
        <f>(Table7[[#This Row],[disp_t3]]--0.00354)/-0.00354</f>
        <v>-0.99925175443315595</v>
      </c>
      <c r="N26">
        <f>(Table7[[#This Row],[disp_t6]]--0.00354)/-0.00354</f>
        <v>-0.99775822025245364</v>
      </c>
      <c r="O26">
        <f>(Table7[[#This Row],[disp_q4]]--0.00354)/-0.00354</f>
        <v>-0.9988756760763845</v>
      </c>
      <c r="P26">
        <f>(Table7[[#This Row],[disp_q8]]--0.00354)/-0.00354</f>
        <v>-0.99691393535906203</v>
      </c>
      <c r="Q26">
        <f>(Table7[[#This Row],[disp_q9]]--0.00354)/-0.00354</f>
        <v>-0.99691393535906203</v>
      </c>
    </row>
    <row r="27" spans="1:17" x14ac:dyDescent="0.3">
      <c r="A27">
        <v>200</v>
      </c>
      <c r="B27">
        <v>19</v>
      </c>
      <c r="C27">
        <v>8040</v>
      </c>
      <c r="D27">
        <v>-3.5885862161672598E-3</v>
      </c>
      <c r="E27">
        <v>31278</v>
      </c>
      <c r="F27">
        <v>-3.6439989825533502E-3</v>
      </c>
      <c r="G27">
        <v>8040</v>
      </c>
      <c r="H27">
        <v>-3.6270954083109201E-3</v>
      </c>
      <c r="I27">
        <v>23678</v>
      </c>
      <c r="J27">
        <v>-3.64723658627989E-3</v>
      </c>
      <c r="K27">
        <v>31278</v>
      </c>
      <c r="L27">
        <v>-3.64723658627989E-3</v>
      </c>
      <c r="M27">
        <f>(Table7[[#This Row],[disp_t3]]--0.00354)/-0.00354</f>
        <v>1.3724919821259784E-2</v>
      </c>
      <c r="N27">
        <f>(Table7[[#This Row],[disp_t6]]--0.00354)/-0.00354</f>
        <v>2.9378243659138416E-2</v>
      </c>
      <c r="O27">
        <f>(Table7[[#This Row],[disp_q4]]--0.00354)/-0.00354</f>
        <v>2.4603222686700545E-2</v>
      </c>
      <c r="P27">
        <f>(Table7[[#This Row],[disp_q8]]--0.00354)/-0.00354</f>
        <v>3.0292820983019712E-2</v>
      </c>
      <c r="Q27">
        <f>(Table7[[#This Row],[disp_q9]]--0.00354)/-0.00354</f>
        <v>3.0292820983019712E-2</v>
      </c>
    </row>
    <row r="28" spans="1:17" x14ac:dyDescent="0.3">
      <c r="A28">
        <v>166</v>
      </c>
      <c r="B28">
        <v>19</v>
      </c>
      <c r="C28">
        <v>6680</v>
      </c>
      <c r="D28">
        <v>-3.5678946059987302E-3</v>
      </c>
      <c r="E28">
        <v>25974</v>
      </c>
      <c r="F28">
        <v>-3.62665193404793E-3</v>
      </c>
      <c r="G28">
        <v>6680</v>
      </c>
      <c r="H28">
        <v>-3.6086076987389402E-3</v>
      </c>
      <c r="I28">
        <v>19666</v>
      </c>
      <c r="J28">
        <v>-3.62695599734341E-3</v>
      </c>
      <c r="K28">
        <v>25974</v>
      </c>
      <c r="L28">
        <v>-3.62695599734341E-3</v>
      </c>
      <c r="M28">
        <f>(Table7[[#This Row],[disp_t3]]--0.00354)/-0.00354</f>
        <v>7.8798322030310796E-3</v>
      </c>
      <c r="N28">
        <f>(Table7[[#This Row],[disp_t6]]--0.00354)/-0.00354</f>
        <v>2.4477947471166609E-2</v>
      </c>
      <c r="O28">
        <f>(Table7[[#This Row],[disp_q4]]--0.00354)/-0.00354</f>
        <v>1.9380705858457629E-2</v>
      </c>
      <c r="P28">
        <f>(Table7[[#This Row],[disp_q8]]--0.00354)/-0.00354</f>
        <v>2.456384105746039E-2</v>
      </c>
      <c r="Q28">
        <f>(Table7[[#This Row],[disp_q9]]--0.00354)/-0.00354</f>
        <v>2.456384105746039E-2</v>
      </c>
    </row>
    <row r="29" spans="1:17" x14ac:dyDescent="0.3">
      <c r="A29">
        <v>138</v>
      </c>
      <c r="B29">
        <v>19</v>
      </c>
      <c r="C29">
        <v>5560</v>
      </c>
      <c r="D29">
        <v>-3.5419477460168799E-3</v>
      </c>
      <c r="E29">
        <v>21606</v>
      </c>
      <c r="F29">
        <v>-3.6062879085512699E-3</v>
      </c>
      <c r="G29">
        <v>5560</v>
      </c>
      <c r="H29">
        <v>-3.5861890048485201E-3</v>
      </c>
      <c r="I29">
        <v>16362</v>
      </c>
      <c r="J29">
        <v>-3.60636888993562E-3</v>
      </c>
      <c r="K29">
        <v>21606</v>
      </c>
      <c r="L29">
        <v>-3.60636888993562E-3</v>
      </c>
      <c r="M29">
        <f>(Table7[[#This Row],[disp_t3]]--0.00354)/-0.00354</f>
        <v>5.5021073923156906E-4</v>
      </c>
      <c r="N29">
        <f>(Table7[[#This Row],[disp_t6]]--0.00354)/-0.00354</f>
        <v>1.8725397895838911E-2</v>
      </c>
      <c r="O29">
        <f>(Table7[[#This Row],[disp_q4]]--0.00354)/-0.00354</f>
        <v>1.3047741482632736E-2</v>
      </c>
      <c r="P29">
        <f>(Table7[[#This Row],[disp_q8]]--0.00354)/-0.00354</f>
        <v>1.8748273993112935E-2</v>
      </c>
      <c r="Q29">
        <f>(Table7[[#This Row],[disp_q9]]--0.00354)/-0.00354</f>
        <v>1.8748273993112935E-2</v>
      </c>
    </row>
    <row r="30" spans="1:17" x14ac:dyDescent="0.3">
      <c r="A30">
        <v>115</v>
      </c>
      <c r="B30">
        <v>19</v>
      </c>
      <c r="C30">
        <v>4640</v>
      </c>
      <c r="D30">
        <v>-3.5791374727159098E-3</v>
      </c>
      <c r="E30">
        <v>18018</v>
      </c>
      <c r="F30">
        <v>-3.5634230110084498E-3</v>
      </c>
      <c r="G30">
        <v>4640</v>
      </c>
      <c r="H30">
        <v>-3.62719925393516E-3</v>
      </c>
      <c r="I30">
        <v>13648</v>
      </c>
      <c r="J30">
        <v>-3.5681043733177E-3</v>
      </c>
      <c r="K30">
        <v>18018</v>
      </c>
      <c r="L30">
        <v>-3.5681043733177E-3</v>
      </c>
      <c r="M30">
        <f>(Table7[[#This Row],[disp_t3]]--0.00354)/-0.00354</f>
        <v>1.1055783253081828E-2</v>
      </c>
      <c r="N30">
        <f>(Table7[[#This Row],[disp_t6]]--0.00354)/-0.00354</f>
        <v>6.616669776398203E-3</v>
      </c>
      <c r="O30">
        <f>(Table7[[#This Row],[disp_q4]]--0.00354)/-0.00354</f>
        <v>2.4632557608802213E-2</v>
      </c>
      <c r="P30">
        <f>(Table7[[#This Row],[disp_q8]]--0.00354)/-0.00354</f>
        <v>7.9390885078248069E-3</v>
      </c>
      <c r="Q30">
        <f>(Table7[[#This Row],[disp_q9]]--0.00354)/-0.00354</f>
        <v>7.9390885078248069E-3</v>
      </c>
    </row>
    <row r="31" spans="1:17" x14ac:dyDescent="0.3">
      <c r="A31">
        <v>96</v>
      </c>
      <c r="B31">
        <v>19</v>
      </c>
      <c r="C31">
        <v>3880</v>
      </c>
      <c r="D31">
        <v>-3.4673719055714901E-3</v>
      </c>
      <c r="E31">
        <v>15054</v>
      </c>
      <c r="F31">
        <v>-3.5533789534814902E-3</v>
      </c>
      <c r="G31">
        <v>3880</v>
      </c>
      <c r="H31">
        <v>-3.5243291993016699E-3</v>
      </c>
      <c r="I31">
        <v>11406</v>
      </c>
      <c r="J31">
        <v>-3.5525109645424399E-3</v>
      </c>
      <c r="K31">
        <v>15054</v>
      </c>
      <c r="L31">
        <v>-3.5525109645424399E-3</v>
      </c>
      <c r="M31">
        <f>(Table7[[#This Row],[disp_t3]]--0.00354)/-0.00354</f>
        <v>-2.051641085551132E-2</v>
      </c>
      <c r="N31">
        <f>(Table7[[#This Row],[disp_t6]]--0.00354)/-0.00354</f>
        <v>3.7793653902514208E-3</v>
      </c>
      <c r="O31">
        <f>(Table7[[#This Row],[disp_q4]]--0.00354)/-0.00354</f>
        <v>-4.4267798582853955E-3</v>
      </c>
      <c r="P31">
        <f>(Table7[[#This Row],[disp_q8]]--0.00354)/-0.00354</f>
        <v>3.5341707747004823E-3</v>
      </c>
      <c r="Q31">
        <f>(Table7[[#This Row],[disp_q9]]--0.00354)/-0.00354</f>
        <v>3.5341707747004823E-3</v>
      </c>
    </row>
    <row r="32" spans="1:17" x14ac:dyDescent="0.3">
      <c r="A32">
        <v>80</v>
      </c>
      <c r="B32">
        <v>19</v>
      </c>
      <c r="C32">
        <v>3240</v>
      </c>
      <c r="D32">
        <v>-3.41258084351899E-3</v>
      </c>
      <c r="E32">
        <v>12558</v>
      </c>
      <c r="F32">
        <v>-3.5155082952640299E-3</v>
      </c>
      <c r="G32">
        <v>3240</v>
      </c>
      <c r="H32">
        <v>-3.4800216700722301E-3</v>
      </c>
      <c r="I32">
        <v>9518</v>
      </c>
      <c r="J32">
        <v>-3.5152943387298098E-3</v>
      </c>
      <c r="K32">
        <v>12558</v>
      </c>
      <c r="L32">
        <v>-3.5152943387298098E-3</v>
      </c>
      <c r="M32">
        <f>(Table7[[#This Row],[disp_t3]]--0.00354)/-0.00354</f>
        <v>-3.599411200028535E-2</v>
      </c>
      <c r="N32">
        <f>(Table7[[#This Row],[disp_t6]]--0.00354)/-0.00354</f>
        <v>-6.9185606598786108E-3</v>
      </c>
      <c r="O32">
        <f>(Table7[[#This Row],[disp_q4]]--0.00354)/-0.00354</f>
        <v>-1.694303105304238E-2</v>
      </c>
      <c r="P32">
        <f>(Table7[[#This Row],[disp_q8]]--0.00354)/-0.00354</f>
        <v>-6.9790003588108412E-3</v>
      </c>
      <c r="Q32">
        <f>(Table7[[#This Row],[disp_q9]]--0.00354)/-0.00354</f>
        <v>-6.9790003588108412E-3</v>
      </c>
    </row>
    <row r="33" spans="1:17" x14ac:dyDescent="0.3">
      <c r="A33">
        <v>66</v>
      </c>
      <c r="B33">
        <v>19</v>
      </c>
      <c r="C33">
        <v>2680</v>
      </c>
      <c r="D33">
        <v>-3.3368692140913901E-3</v>
      </c>
      <c r="E33">
        <v>10374</v>
      </c>
      <c r="F33">
        <v>-3.4669737160669999E-3</v>
      </c>
      <c r="G33">
        <v>2680</v>
      </c>
      <c r="H33">
        <v>-3.41932646825353E-3</v>
      </c>
      <c r="I33">
        <v>7866</v>
      </c>
      <c r="J33">
        <v>-3.4662956715256501E-3</v>
      </c>
      <c r="K33">
        <v>10374</v>
      </c>
      <c r="L33">
        <v>-3.4662956715256501E-3</v>
      </c>
      <c r="M33">
        <f>(Table7[[#This Row],[disp_t3]]--0.00354)/-0.00354</f>
        <v>-5.7381577940285318E-2</v>
      </c>
      <c r="N33">
        <f>(Table7[[#This Row],[disp_t6]]--0.00354)/-0.00354</f>
        <v>-2.062889376638426E-2</v>
      </c>
      <c r="O33">
        <f>(Table7[[#This Row],[disp_q4]]--0.00354)/-0.00354</f>
        <v>-3.4088568289963324E-2</v>
      </c>
      <c r="P33">
        <f>(Table7[[#This Row],[disp_q8]]--0.00354)/-0.00354</f>
        <v>-2.0820431772415285E-2</v>
      </c>
      <c r="Q33">
        <f>(Table7[[#This Row],[disp_q9]]--0.00354)/-0.00354</f>
        <v>-2.0820431772415285E-2</v>
      </c>
    </row>
    <row r="34" spans="1:17" x14ac:dyDescent="0.3">
      <c r="A34">
        <v>55</v>
      </c>
      <c r="B34">
        <v>19</v>
      </c>
      <c r="C34">
        <v>2240</v>
      </c>
      <c r="D34">
        <v>-3.4223236799456299E-3</v>
      </c>
      <c r="E34">
        <v>8658</v>
      </c>
      <c r="F34">
        <v>-3.3570828310038599E-3</v>
      </c>
      <c r="G34">
        <v>2240</v>
      </c>
      <c r="H34">
        <v>-3.5154648064727998E-3</v>
      </c>
      <c r="I34">
        <v>6568</v>
      </c>
      <c r="J34">
        <v>-3.36570193896089E-3</v>
      </c>
      <c r="K34">
        <v>8658</v>
      </c>
      <c r="L34">
        <v>-3.36570193896089E-3</v>
      </c>
      <c r="M34">
        <f>(Table7[[#This Row],[disp_t3]]--0.00354)/-0.00354</f>
        <v>-3.3241898320443587E-2</v>
      </c>
      <c r="N34">
        <f>(Table7[[#This Row],[disp_t6]]--0.00354)/-0.00354</f>
        <v>-5.1671516665576359E-2</v>
      </c>
      <c r="O34">
        <f>(Table7[[#This Row],[disp_q4]]--0.00354)/-0.00354</f>
        <v>-6.9308456291526412E-3</v>
      </c>
      <c r="P34">
        <f>(Table7[[#This Row],[disp_q8]]--0.00354)/-0.00354</f>
        <v>-4.9236740406528305E-2</v>
      </c>
      <c r="Q34">
        <f>(Table7[[#This Row],[disp_q9]]--0.00354)/-0.00354</f>
        <v>-4.9236740406528305E-2</v>
      </c>
    </row>
    <row r="35" spans="1:17" x14ac:dyDescent="0.3">
      <c r="A35">
        <v>46</v>
      </c>
      <c r="B35">
        <v>19</v>
      </c>
      <c r="C35">
        <v>1880</v>
      </c>
      <c r="D35">
        <v>-3.1275950423157398E-3</v>
      </c>
      <c r="E35">
        <v>7254</v>
      </c>
      <c r="F35">
        <v>-3.3198581221613901E-3</v>
      </c>
      <c r="G35">
        <v>1880</v>
      </c>
      <c r="H35">
        <v>-3.2512225077416601E-3</v>
      </c>
      <c r="I35">
        <v>5506</v>
      </c>
      <c r="J35">
        <v>-3.3272283709422801E-3</v>
      </c>
      <c r="K35">
        <v>7254</v>
      </c>
      <c r="L35">
        <v>-3.3272283709422801E-3</v>
      </c>
      <c r="M35">
        <f>(Table7[[#This Row],[disp_t3]]--0.00354)/-0.00354</f>
        <v>-0.11649857561702269</v>
      </c>
      <c r="N35">
        <f>(Table7[[#This Row],[disp_t6]]--0.00354)/-0.00354</f>
        <v>-6.218697114085029E-2</v>
      </c>
      <c r="O35">
        <f>(Table7[[#This Row],[disp_q4]]--0.00354)/-0.00354</f>
        <v>-8.1575562784841821E-2</v>
      </c>
      <c r="P35">
        <f>(Table7[[#This Row],[disp_q8]]--0.00354)/-0.00354</f>
        <v>-6.0104979959807917E-2</v>
      </c>
      <c r="Q35">
        <f>(Table7[[#This Row],[disp_q9]]--0.00354)/-0.00354</f>
        <v>-6.0104979959807917E-2</v>
      </c>
    </row>
    <row r="36" spans="1:17" x14ac:dyDescent="0.3">
      <c r="A36">
        <v>38</v>
      </c>
      <c r="B36">
        <v>19</v>
      </c>
      <c r="C36">
        <v>1560</v>
      </c>
      <c r="D36">
        <v>-2.97284854438087E-3</v>
      </c>
      <c r="E36">
        <v>6006</v>
      </c>
      <c r="F36">
        <v>-3.2137478788336099E-3</v>
      </c>
      <c r="G36">
        <v>1560</v>
      </c>
      <c r="H36">
        <v>-3.1250599579732202E-3</v>
      </c>
      <c r="I36">
        <v>4562</v>
      </c>
      <c r="J36">
        <v>-3.22326063413503E-3</v>
      </c>
      <c r="K36">
        <v>6006</v>
      </c>
      <c r="L36">
        <v>-3.22326063413503E-3</v>
      </c>
      <c r="M36">
        <f>(Table7[[#This Row],[disp_t3]]--0.00354)/-0.00354</f>
        <v>-0.16021227559862433</v>
      </c>
      <c r="N36">
        <f>(Table7[[#This Row],[disp_t6]]--0.00354)/-0.00354</f>
        <v>-9.2161616148697806E-2</v>
      </c>
      <c r="O36">
        <f>(Table7[[#This Row],[disp_q4]]--0.00354)/-0.00354</f>
        <v>-0.11721470113750847</v>
      </c>
      <c r="P36">
        <f>(Table7[[#This Row],[disp_q8]]--0.00354)/-0.00354</f>
        <v>-8.9474397136997216E-2</v>
      </c>
      <c r="Q36">
        <f>(Table7[[#This Row],[disp_q9]]--0.00354)/-0.00354</f>
        <v>-8.9474397136997216E-2</v>
      </c>
    </row>
    <row r="37" spans="1:17" x14ac:dyDescent="0.3">
      <c r="A37">
        <v>32</v>
      </c>
      <c r="B37">
        <v>19</v>
      </c>
      <c r="C37">
        <v>1320</v>
      </c>
      <c r="D37">
        <v>-2.8050045540918001E-3</v>
      </c>
      <c r="E37">
        <v>5070</v>
      </c>
      <c r="F37">
        <v>-3.0958097264949299E-3</v>
      </c>
      <c r="G37">
        <v>1320</v>
      </c>
      <c r="H37">
        <v>-2.98588268092502E-3</v>
      </c>
      <c r="I37">
        <v>3854</v>
      </c>
      <c r="J37">
        <v>-3.1074294390938898E-3</v>
      </c>
      <c r="K37">
        <v>5070</v>
      </c>
      <c r="L37">
        <v>-3.1074294390938898E-3</v>
      </c>
      <c r="M37">
        <f>(Table7[[#This Row],[disp_t3]]--0.00354)/-0.00354</f>
        <v>-0.20762583217745764</v>
      </c>
      <c r="N37">
        <f>(Table7[[#This Row],[disp_t6]]--0.00354)/-0.00354</f>
        <v>-0.12547747839126278</v>
      </c>
      <c r="O37">
        <f>(Table7[[#This Row],[disp_q4]]--0.00354)/-0.00354</f>
        <v>-0.15653031612287577</v>
      </c>
      <c r="P37">
        <f>(Table7[[#This Row],[disp_q8]]--0.00354)/-0.00354</f>
        <v>-0.12219507370229106</v>
      </c>
      <c r="Q37">
        <f>(Table7[[#This Row],[disp_q9]]--0.00354)/-0.00354</f>
        <v>-0.12219507370229106</v>
      </c>
    </row>
    <row r="38" spans="1:17" x14ac:dyDescent="0.3">
      <c r="A38">
        <v>26</v>
      </c>
      <c r="B38">
        <v>19</v>
      </c>
      <c r="C38">
        <v>1080</v>
      </c>
      <c r="D38">
        <v>-2.56738438510302E-3</v>
      </c>
      <c r="E38">
        <v>4134</v>
      </c>
      <c r="F38">
        <v>-2.9207050692647502E-3</v>
      </c>
      <c r="G38">
        <v>1080</v>
      </c>
      <c r="H38">
        <v>-2.7846416360438699E-3</v>
      </c>
      <c r="I38">
        <v>3146</v>
      </c>
      <c r="J38">
        <v>-2.9376775406406899E-3</v>
      </c>
      <c r="K38">
        <v>4134</v>
      </c>
      <c r="L38">
        <v>-2.9376775406406899E-3</v>
      </c>
      <c r="M38">
        <f>(Table7[[#This Row],[disp_t3]]--0.00354)/-0.00354</f>
        <v>-0.27475017369971189</v>
      </c>
      <c r="N38">
        <f>(Table7[[#This Row],[disp_t6]]--0.00354)/-0.00354</f>
        <v>-0.17494207082916666</v>
      </c>
      <c r="O38">
        <f>(Table7[[#This Row],[disp_q4]]--0.00354)/-0.00354</f>
        <v>-0.21337806891416108</v>
      </c>
      <c r="P38">
        <f>(Table7[[#This Row],[disp_q8]]--0.00354)/-0.00354</f>
        <v>-0.17014758738963567</v>
      </c>
      <c r="Q38">
        <f>(Table7[[#This Row],[disp_q9]]--0.00354)/-0.00354</f>
        <v>-0.17014758738963567</v>
      </c>
    </row>
    <row r="39" spans="1:17" x14ac:dyDescent="0.3">
      <c r="A39">
        <v>22</v>
      </c>
      <c r="B39">
        <v>19</v>
      </c>
      <c r="C39">
        <v>920</v>
      </c>
      <c r="D39">
        <v>-2.3521737810523898E-3</v>
      </c>
      <c r="E39">
        <v>3510</v>
      </c>
      <c r="F39">
        <v>-2.7586359405529699E-3</v>
      </c>
      <c r="G39">
        <v>920</v>
      </c>
      <c r="H39">
        <v>-2.5985055278860999E-3</v>
      </c>
      <c r="I39">
        <v>2674</v>
      </c>
      <c r="J39">
        <v>-2.77866273094833E-3</v>
      </c>
      <c r="K39">
        <v>3510</v>
      </c>
      <c r="L39">
        <v>-2.77866273094833E-3</v>
      </c>
      <c r="M39">
        <f>(Table7[[#This Row],[disp_t3]]--0.00354)/-0.00354</f>
        <v>-0.3355441296462176</v>
      </c>
      <c r="N39">
        <f>(Table7[[#This Row],[disp_t6]]--0.00354)/-0.00354</f>
        <v>-0.22072431057825714</v>
      </c>
      <c r="O39">
        <f>(Table7[[#This Row],[disp_q4]]--0.00354)/-0.00354</f>
        <v>-0.26595889042765541</v>
      </c>
      <c r="P39">
        <f>(Table7[[#This Row],[disp_q8]]--0.00354)/-0.00354</f>
        <v>-0.21506702515583903</v>
      </c>
      <c r="Q39">
        <f>(Table7[[#This Row],[disp_q9]]--0.00354)/-0.00354</f>
        <v>-0.21506702515583903</v>
      </c>
    </row>
    <row r="40" spans="1:17" x14ac:dyDescent="0.3">
      <c r="A40">
        <v>18</v>
      </c>
      <c r="B40">
        <v>19</v>
      </c>
      <c r="C40">
        <v>760</v>
      </c>
      <c r="D40">
        <v>-2.0718547663977301E-3</v>
      </c>
      <c r="E40">
        <v>2886</v>
      </c>
      <c r="F40">
        <v>-2.54735409555006E-3</v>
      </c>
      <c r="G40">
        <v>760</v>
      </c>
      <c r="H40">
        <v>-2.3514129671832699E-3</v>
      </c>
      <c r="I40">
        <v>2202</v>
      </c>
      <c r="J40">
        <v>-2.5659122972002402E-3</v>
      </c>
      <c r="K40">
        <v>2886</v>
      </c>
      <c r="L40">
        <v>-2.5659122972002402E-3</v>
      </c>
      <c r="M40">
        <f>(Table7[[#This Row],[disp_t3]]--0.00354)/-0.00354</f>
        <v>-0.41473029197804234</v>
      </c>
      <c r="N40">
        <f>(Table7[[#This Row],[disp_t6]]--0.00354)/-0.00354</f>
        <v>-0.28040844758472883</v>
      </c>
      <c r="O40">
        <f>(Table7[[#This Row],[disp_q4]]--0.00354)/-0.00354</f>
        <v>-0.33575904881828539</v>
      </c>
      <c r="P40">
        <f>(Table7[[#This Row],[disp_q8]]--0.00354)/-0.00354</f>
        <v>-0.27516601774004518</v>
      </c>
      <c r="Q40">
        <f>(Table7[[#This Row],[disp_q9]]--0.00354)/-0.00354</f>
        <v>-0.27516601774004518</v>
      </c>
    </row>
    <row r="41" spans="1:17" x14ac:dyDescent="0.3">
      <c r="A41">
        <v>15</v>
      </c>
      <c r="B41">
        <v>19</v>
      </c>
      <c r="C41">
        <v>640</v>
      </c>
      <c r="D41">
        <v>-2.2737592923709801E-3</v>
      </c>
      <c r="E41">
        <v>2418</v>
      </c>
      <c r="F41">
        <v>-2.22300182644009E-3</v>
      </c>
      <c r="G41">
        <v>640</v>
      </c>
      <c r="H41">
        <v>-2.68991732508061E-3</v>
      </c>
      <c r="I41">
        <v>1848</v>
      </c>
      <c r="J41">
        <v>-2.25527947936097E-3</v>
      </c>
      <c r="K41">
        <v>2418</v>
      </c>
      <c r="L41">
        <v>-2.25527947936097E-3</v>
      </c>
      <c r="M41">
        <f>(Table7[[#This Row],[disp_t3]]--0.00354)/-0.00354</f>
        <v>-0.35769511514944069</v>
      </c>
      <c r="N41">
        <f>(Table7[[#This Row],[disp_t6]]--0.00354)/-0.00354</f>
        <v>-0.37203338236155653</v>
      </c>
      <c r="O41">
        <f>(Table7[[#This Row],[disp_q4]]--0.00354)/-0.00354</f>
        <v>-0.24013634884728535</v>
      </c>
      <c r="P41">
        <f>(Table7[[#This Row],[disp_q8]]--0.00354)/-0.00354</f>
        <v>-0.36291540131046052</v>
      </c>
      <c r="Q41">
        <f>(Table7[[#This Row],[disp_q9]]--0.00354)/-0.00354</f>
        <v>-0.36291540131046052</v>
      </c>
    </row>
    <row r="42" spans="1:17" x14ac:dyDescent="0.3">
      <c r="A42">
        <v>12</v>
      </c>
      <c r="B42">
        <v>19</v>
      </c>
      <c r="C42">
        <v>520</v>
      </c>
      <c r="D42">
        <v>-1.46449000076259E-3</v>
      </c>
      <c r="E42">
        <v>1950</v>
      </c>
      <c r="F42">
        <v>-2.06407900961675E-3</v>
      </c>
      <c r="G42">
        <v>520</v>
      </c>
      <c r="H42">
        <v>-1.79772410767485E-3</v>
      </c>
      <c r="I42">
        <v>1494</v>
      </c>
      <c r="J42">
        <v>-2.0908811800846401E-3</v>
      </c>
      <c r="K42">
        <v>1950</v>
      </c>
      <c r="L42">
        <v>-2.0908811800846401E-3</v>
      </c>
      <c r="M42">
        <f>(Table7[[#This Row],[disp_t3]]--0.00354)/-0.00354</f>
        <v>-0.58630225967158478</v>
      </c>
      <c r="N42">
        <f>(Table7[[#This Row],[disp_t6]]--0.00354)/-0.00354</f>
        <v>-0.41692683344159609</v>
      </c>
      <c r="O42">
        <f>(Table7[[#This Row],[disp_q4]]--0.00354)/-0.00354</f>
        <v>-0.49216833116529662</v>
      </c>
      <c r="P42">
        <f>(Table7[[#This Row],[disp_q8]]--0.00354)/-0.00354</f>
        <v>-0.40935559884614692</v>
      </c>
      <c r="Q42">
        <f>(Table7[[#This Row],[disp_q9]]--0.00354)/-0.00354</f>
        <v>-0.40935559884614692</v>
      </c>
    </row>
    <row r="43" spans="1:17" x14ac:dyDescent="0.3">
      <c r="A43">
        <v>10</v>
      </c>
      <c r="B43">
        <v>19</v>
      </c>
      <c r="C43">
        <v>440</v>
      </c>
      <c r="D43">
        <v>-1.1893043140112601E-3</v>
      </c>
      <c r="E43">
        <v>1638</v>
      </c>
      <c r="F43">
        <v>-1.8349093680339E-3</v>
      </c>
      <c r="G43">
        <v>440</v>
      </c>
      <c r="H43">
        <v>-1.53188402911114E-3</v>
      </c>
      <c r="I43">
        <v>1258</v>
      </c>
      <c r="J43">
        <v>-1.86386065986845E-3</v>
      </c>
      <c r="K43">
        <v>1638</v>
      </c>
      <c r="L43">
        <v>-1.86386065986845E-3</v>
      </c>
      <c r="M43">
        <f>(Table7[[#This Row],[disp_t3]]--0.00354)/-0.00354</f>
        <v>-0.66403832937535023</v>
      </c>
      <c r="N43">
        <f>(Table7[[#This Row],[disp_t6]]--0.00354)/-0.00354</f>
        <v>-0.48166402032940681</v>
      </c>
      <c r="O43">
        <f>(Table7[[#This Row],[disp_q4]]--0.00354)/-0.00354</f>
        <v>-0.56726439855617516</v>
      </c>
      <c r="P43">
        <f>(Table7[[#This Row],[disp_q8]]--0.00354)/-0.00354</f>
        <v>-0.4734856893026978</v>
      </c>
      <c r="Q43">
        <f>(Table7[[#This Row],[disp_q9]]--0.00354)/-0.00354</f>
        <v>-0.4734856893026978</v>
      </c>
    </row>
    <row r="44" spans="1:17" x14ac:dyDescent="0.3">
      <c r="A44">
        <v>8</v>
      </c>
      <c r="B44">
        <v>19</v>
      </c>
      <c r="C44">
        <v>360</v>
      </c>
      <c r="D44">
        <v>-8.69905624900396E-4</v>
      </c>
      <c r="E44">
        <v>1326</v>
      </c>
      <c r="F44">
        <v>-1.5382228117264099E-3</v>
      </c>
      <c r="G44">
        <v>360</v>
      </c>
      <c r="H44">
        <v>-1.1984783861280299E-3</v>
      </c>
      <c r="I44">
        <v>1022</v>
      </c>
      <c r="J44">
        <v>-1.57414040179745E-3</v>
      </c>
      <c r="K44">
        <v>1326</v>
      </c>
      <c r="L44">
        <v>-1.57414040179745E-3</v>
      </c>
      <c r="M44">
        <f>(Table7[[#This Row],[disp_t3]]--0.00354)/-0.00354</f>
        <v>-0.75426394776824968</v>
      </c>
      <c r="N44">
        <f>(Table7[[#This Row],[disp_t6]]--0.00354)/-0.00354</f>
        <v>-0.56547378199818921</v>
      </c>
      <c r="O44">
        <f>(Table7[[#This Row],[disp_q4]]--0.00354)/-0.00354</f>
        <v>-0.66144678357965259</v>
      </c>
      <c r="P44">
        <f>(Table7[[#This Row],[disp_q8]]--0.00354)/-0.00354</f>
        <v>-0.55532757011371481</v>
      </c>
      <c r="Q44">
        <f>(Table7[[#This Row],[disp_q9]]--0.00354)/-0.00354</f>
        <v>-0.55532757011371481</v>
      </c>
    </row>
    <row r="45" spans="1:17" x14ac:dyDescent="0.3">
      <c r="A45">
        <v>7</v>
      </c>
      <c r="B45">
        <v>19</v>
      </c>
      <c r="C45">
        <v>320</v>
      </c>
      <c r="D45">
        <v>-1.08549440379528E-3</v>
      </c>
      <c r="E45">
        <v>1170</v>
      </c>
      <c r="F45">
        <v>-1.2696788475287399E-3</v>
      </c>
      <c r="G45">
        <v>320</v>
      </c>
      <c r="H45">
        <v>-1.5822110288084099E-3</v>
      </c>
      <c r="I45">
        <v>904</v>
      </c>
      <c r="J45">
        <v>-1.2974155395903001E-3</v>
      </c>
      <c r="K45">
        <v>1170</v>
      </c>
      <c r="L45">
        <v>-1.2974155395903001E-3</v>
      </c>
      <c r="M45">
        <f>(Table7[[#This Row],[disp_t3]]--0.00354)/-0.00354</f>
        <v>-0.6933631627696949</v>
      </c>
      <c r="N45">
        <f>(Table7[[#This Row],[disp_t6]]--0.00354)/-0.00354</f>
        <v>-0.64133365889018645</v>
      </c>
      <c r="O45">
        <f>(Table7[[#This Row],[disp_q4]]--0.00354)/-0.00354</f>
        <v>-0.55304773197502544</v>
      </c>
      <c r="P45">
        <f>(Table7[[#This Row],[disp_q8]]--0.00354)/-0.00354</f>
        <v>-0.63349843514398307</v>
      </c>
      <c r="Q45">
        <f>(Table7[[#This Row],[disp_q9]]--0.00354)/-0.00354</f>
        <v>-0.63349843514398307</v>
      </c>
    </row>
    <row r="46" spans="1:17" x14ac:dyDescent="0.3">
      <c r="A46">
        <v>6</v>
      </c>
      <c r="B46">
        <v>19</v>
      </c>
      <c r="C46">
        <v>280</v>
      </c>
      <c r="D46">
        <v>-5.1878007049513798E-4</v>
      </c>
      <c r="E46">
        <v>1014</v>
      </c>
      <c r="F46">
        <v>-1.12337456927676E-3</v>
      </c>
      <c r="G46">
        <v>280</v>
      </c>
      <c r="H46">
        <v>-7.7668631821410899E-4</v>
      </c>
      <c r="I46">
        <v>786</v>
      </c>
      <c r="J46">
        <v>-1.1635352549231801E-3</v>
      </c>
      <c r="K46">
        <v>1014</v>
      </c>
      <c r="L46">
        <v>-1.1635352549231801E-3</v>
      </c>
      <c r="M46">
        <f>(Table7[[#This Row],[disp_t3]]--0.00354)/-0.00354</f>
        <v>-0.85345195748724922</v>
      </c>
      <c r="N46">
        <f>(Table7[[#This Row],[disp_t6]]--0.00354)/-0.00354</f>
        <v>-0.68266255105176277</v>
      </c>
      <c r="O46">
        <f>(Table7[[#This Row],[disp_q4]]--0.00354)/-0.00354</f>
        <v>-0.78059708525025173</v>
      </c>
      <c r="P46">
        <f>(Table7[[#This Row],[disp_q8]]--0.00354)/-0.00354</f>
        <v>-0.67131772459797179</v>
      </c>
      <c r="Q46">
        <f>(Table7[[#This Row],[disp_q9]]--0.00354)/-0.00354</f>
        <v>-0.67131772459797179</v>
      </c>
    </row>
    <row r="47" spans="1:17" x14ac:dyDescent="0.3">
      <c r="A47">
        <v>5</v>
      </c>
      <c r="B47">
        <v>19</v>
      </c>
      <c r="C47">
        <v>240</v>
      </c>
      <c r="D47">
        <v>-6.6270621943594196E-4</v>
      </c>
      <c r="E47">
        <v>858</v>
      </c>
      <c r="F47">
        <v>-7.9642075590818505E-4</v>
      </c>
      <c r="G47">
        <v>240</v>
      </c>
      <c r="H47">
        <v>-1.0608635453657001E-3</v>
      </c>
      <c r="I47">
        <v>668</v>
      </c>
      <c r="J47">
        <v>-8.2622534678175195E-4</v>
      </c>
      <c r="K47">
        <v>858</v>
      </c>
      <c r="L47">
        <v>-8.2622534678175195E-4</v>
      </c>
      <c r="M47">
        <f>(Table7[[#This Row],[disp_t3]]--0.00354)/-0.00354</f>
        <v>-0.8127948532666831</v>
      </c>
      <c r="N47">
        <f>(Table7[[#This Row],[disp_t6]]--0.00354)/-0.00354</f>
        <v>-0.77502238533667089</v>
      </c>
      <c r="O47">
        <f>(Table7[[#This Row],[disp_q4]]--0.00354)/-0.00354</f>
        <v>-0.7003210323825706</v>
      </c>
      <c r="P47">
        <f>(Table7[[#This Row],[disp_q8]]--0.00354)/-0.00354</f>
        <v>-0.76660300938368586</v>
      </c>
      <c r="Q47">
        <f>(Table7[[#This Row],[disp_q9]]--0.00354)/-0.00354</f>
        <v>-0.76660300938368586</v>
      </c>
    </row>
    <row r="48" spans="1:17" x14ac:dyDescent="0.3">
      <c r="A48">
        <v>4</v>
      </c>
      <c r="B48">
        <v>19</v>
      </c>
      <c r="C48">
        <v>200</v>
      </c>
      <c r="D48">
        <v>-1.9065385339650699E-4</v>
      </c>
      <c r="E48">
        <v>702</v>
      </c>
      <c r="F48">
        <v>-5.19533114564666E-4</v>
      </c>
      <c r="G48">
        <v>200</v>
      </c>
      <c r="H48">
        <v>-2.94241862308168E-4</v>
      </c>
      <c r="I48">
        <v>550</v>
      </c>
      <c r="J48">
        <v>-5.7037650185858804E-4</v>
      </c>
      <c r="K48">
        <v>702</v>
      </c>
      <c r="L48">
        <v>-5.7037650185858804E-4</v>
      </c>
      <c r="M48">
        <f>(Table7[[#This Row],[disp_t3]]--0.00354)/-0.00354</f>
        <v>-0.94614297926652347</v>
      </c>
      <c r="N48">
        <f>(Table7[[#This Row],[disp_t6]]--0.00354)/-0.00354</f>
        <v>-0.85323923317382322</v>
      </c>
      <c r="O48">
        <f>(Table7[[#This Row],[disp_q4]]--0.00354)/-0.00354</f>
        <v>-0.91688082985644981</v>
      </c>
      <c r="P48">
        <f>(Table7[[#This Row],[disp_q8]]--0.00354)/-0.00354</f>
        <v>-0.83887669439022938</v>
      </c>
      <c r="Q48">
        <f>(Table7[[#This Row],[disp_q9]]--0.00354)/-0.00354</f>
        <v>-0.83887669439022938</v>
      </c>
    </row>
    <row r="49" spans="1:17" x14ac:dyDescent="0.3">
      <c r="A49">
        <v>3</v>
      </c>
      <c r="B49">
        <v>19</v>
      </c>
      <c r="C49">
        <v>160</v>
      </c>
      <c r="D49">
        <v>-2.5859803145413402E-4</v>
      </c>
      <c r="E49">
        <v>546</v>
      </c>
      <c r="F49">
        <v>-1.79699551472582E-4</v>
      </c>
      <c r="G49">
        <v>160</v>
      </c>
      <c r="H49">
        <v>-4.2227442910480002E-4</v>
      </c>
      <c r="I49">
        <v>432</v>
      </c>
      <c r="J49">
        <v>-1.90073151409641E-4</v>
      </c>
      <c r="K49">
        <v>546</v>
      </c>
      <c r="L49">
        <v>-1.90073151409641E-4</v>
      </c>
      <c r="M49">
        <f>(Table7[[#This Row],[disp_t3]]--0.00354)/-0.00354</f>
        <v>-0.92694970862877568</v>
      </c>
      <c r="N49">
        <f>(Table7[[#This Row],[disp_t6]]--0.00354)/-0.00354</f>
        <v>-0.94923741483825363</v>
      </c>
      <c r="O49">
        <f>(Table7[[#This Row],[disp_q4]]--0.00354)/-0.00354</f>
        <v>-0.88071343810598868</v>
      </c>
      <c r="P49">
        <f>(Table7[[#This Row],[disp_q8]]--0.00354)/-0.00354</f>
        <v>-0.94630701937580763</v>
      </c>
      <c r="Q49">
        <f>(Table7[[#This Row],[disp_q9]]--0.00354)/-0.00354</f>
        <v>-0.94630701937580763</v>
      </c>
    </row>
    <row r="50" spans="1:17" x14ac:dyDescent="0.3">
      <c r="A50">
        <v>2</v>
      </c>
      <c r="B50">
        <v>19</v>
      </c>
      <c r="C50">
        <v>120</v>
      </c>
      <c r="D50" s="7">
        <v>-5.1919518438336798E-6</v>
      </c>
      <c r="E50">
        <v>390</v>
      </c>
      <c r="F50" s="7">
        <v>-1.78004007741114E-5</v>
      </c>
      <c r="G50">
        <v>120</v>
      </c>
      <c r="H50" s="7">
        <v>-8.70702031271393E-6</v>
      </c>
      <c r="I50">
        <v>314</v>
      </c>
      <c r="J50" s="7">
        <v>-2.0656620991125299E-5</v>
      </c>
      <c r="K50">
        <v>390</v>
      </c>
      <c r="L50" s="7">
        <v>-2.0656620991125299E-5</v>
      </c>
      <c r="M50">
        <f>(Table7[[#This Row],[disp_t3]]--0.00354)/-0.00354</f>
        <v>-0.99853334693677021</v>
      </c>
      <c r="N50">
        <f>(Table7[[#This Row],[disp_t6]]--0.00354)/-0.00354</f>
        <v>-0.99497163819940349</v>
      </c>
      <c r="O50">
        <f>(Table7[[#This Row],[disp_q4]]--0.00354)/-0.00354</f>
        <v>-0.99754038974217119</v>
      </c>
      <c r="P50">
        <f>(Table7[[#This Row],[disp_q8]]--0.00354)/-0.00354</f>
        <v>-0.99416479633019061</v>
      </c>
      <c r="Q50">
        <f>(Table7[[#This Row],[disp_q9]]--0.00354)/-0.00354</f>
        <v>-0.99416479633019061</v>
      </c>
    </row>
    <row r="51" spans="1:17" x14ac:dyDescent="0.3">
      <c r="A51">
        <v>1</v>
      </c>
      <c r="B51">
        <v>19</v>
      </c>
      <c r="C51">
        <v>80</v>
      </c>
      <c r="D51" s="7">
        <v>-2.6136668339115099E-6</v>
      </c>
      <c r="E51">
        <v>234</v>
      </c>
      <c r="F51" s="7">
        <v>-9.1383587726450694E-6</v>
      </c>
      <c r="G51">
        <v>80</v>
      </c>
      <c r="H51" s="7">
        <v>-3.92768121072253E-6</v>
      </c>
      <c r="I51">
        <v>196</v>
      </c>
      <c r="J51" s="7">
        <v>-1.0347545936743999E-5</v>
      </c>
      <c r="K51">
        <v>234</v>
      </c>
      <c r="L51" s="7">
        <v>-1.0347545936743999E-5</v>
      </c>
      <c r="M51">
        <f>(Table7[[#This Row],[disp_t3]]--0.00354)/-0.00354</f>
        <v>-0.99926167603561811</v>
      </c>
      <c r="N51">
        <f>(Table7[[#This Row],[disp_t6]]--0.00354)/-0.00354</f>
        <v>-0.99741854271959185</v>
      </c>
      <c r="O51">
        <f>(Table7[[#This Row],[disp_q4]]--0.00354)/-0.00354</f>
        <v>-0.99889048553369419</v>
      </c>
      <c r="P51">
        <f>(Table7[[#This Row],[disp_q8]]--0.00354)/-0.00354</f>
        <v>-0.99707696442464855</v>
      </c>
      <c r="Q51">
        <f>(Table7[[#This Row],[disp_q9]]--0.00354)/-0.00354</f>
        <v>-0.99707696442464855</v>
      </c>
    </row>
    <row r="52" spans="1:17" x14ac:dyDescent="0.3">
      <c r="A52">
        <v>200</v>
      </c>
      <c r="B52">
        <v>15</v>
      </c>
      <c r="C52">
        <v>6432</v>
      </c>
      <c r="D52">
        <v>-3.5728906065451102E-3</v>
      </c>
      <c r="E52">
        <v>24862</v>
      </c>
      <c r="F52">
        <v>-3.6409688601113099E-3</v>
      </c>
      <c r="G52">
        <v>6432</v>
      </c>
      <c r="H52">
        <v>-3.6245428939417801E-3</v>
      </c>
      <c r="I52">
        <v>18862</v>
      </c>
      <c r="J52">
        <v>-3.64395671420968E-3</v>
      </c>
      <c r="K52">
        <v>24862</v>
      </c>
      <c r="L52">
        <v>-3.64395671420968E-3</v>
      </c>
      <c r="M52">
        <f>(Table7[[#This Row],[disp_t3]]--0.00354)/-0.00354</f>
        <v>9.2911317924039474E-3</v>
      </c>
      <c r="N52">
        <f>(Table7[[#This Row],[disp_t6]]--0.00354)/-0.00354</f>
        <v>2.8522276867601625E-2</v>
      </c>
      <c r="O52">
        <f>(Table7[[#This Row],[disp_q4]]--0.00354)/-0.00354</f>
        <v>2.3882173429881335E-2</v>
      </c>
      <c r="P52">
        <f>(Table7[[#This Row],[disp_q8]]--0.00354)/-0.00354</f>
        <v>2.9366303449062083E-2</v>
      </c>
      <c r="Q52">
        <f>(Table7[[#This Row],[disp_q9]]--0.00354)/-0.00354</f>
        <v>2.9366303449062083E-2</v>
      </c>
    </row>
    <row r="53" spans="1:17" x14ac:dyDescent="0.3">
      <c r="A53">
        <v>166</v>
      </c>
      <c r="B53">
        <v>15</v>
      </c>
      <c r="C53">
        <v>5344</v>
      </c>
      <c r="D53">
        <v>-3.5526662595319301E-3</v>
      </c>
      <c r="E53">
        <v>20646</v>
      </c>
      <c r="F53">
        <v>-3.62380670564763E-3</v>
      </c>
      <c r="G53">
        <v>5344</v>
      </c>
      <c r="H53">
        <v>-3.6063764670045801E-3</v>
      </c>
      <c r="I53">
        <v>15666</v>
      </c>
      <c r="J53">
        <v>-3.6279813624418501E-3</v>
      </c>
      <c r="K53">
        <v>20646</v>
      </c>
      <c r="L53">
        <v>-3.6279813624418501E-3</v>
      </c>
      <c r="M53">
        <f>(Table7[[#This Row],[disp_t3]]--0.00354)/-0.00354</f>
        <v>3.5780394157994217E-3</v>
      </c>
      <c r="N53">
        <f>(Table7[[#This Row],[disp_t6]]--0.00354)/-0.00354</f>
        <v>2.3674210634923674E-2</v>
      </c>
      <c r="O53">
        <f>(Table7[[#This Row],[disp_q4]]--0.00354)/-0.00354</f>
        <v>1.8750414408073419E-2</v>
      </c>
      <c r="P53">
        <f>(Table7[[#This Row],[disp_q8]]--0.00354)/-0.00354</f>
        <v>2.4853492215211853E-2</v>
      </c>
      <c r="Q53">
        <f>(Table7[[#This Row],[disp_q9]]--0.00354)/-0.00354</f>
        <v>2.4853492215211853E-2</v>
      </c>
    </row>
    <row r="54" spans="1:17" x14ac:dyDescent="0.3">
      <c r="A54">
        <v>138</v>
      </c>
      <c r="B54">
        <v>15</v>
      </c>
      <c r="C54">
        <v>4448</v>
      </c>
      <c r="D54">
        <v>-3.5272032220969298E-3</v>
      </c>
      <c r="E54">
        <v>17174</v>
      </c>
      <c r="F54">
        <v>-3.6035762263702501E-3</v>
      </c>
      <c r="G54">
        <v>4448</v>
      </c>
      <c r="H54">
        <v>-3.5842213797154399E-3</v>
      </c>
      <c r="I54">
        <v>13034</v>
      </c>
      <c r="J54">
        <v>-3.6093118370476599E-3</v>
      </c>
      <c r="K54">
        <v>17174</v>
      </c>
      <c r="L54">
        <v>-3.6093118370476599E-3</v>
      </c>
      <c r="M54">
        <f>(Table7[[#This Row],[disp_t3]]--0.00354)/-0.00354</f>
        <v>-3.6149090121667606E-3</v>
      </c>
      <c r="N54">
        <f>(Table7[[#This Row],[disp_t6]]--0.00354)/-0.00354</f>
        <v>1.7959385980296578E-2</v>
      </c>
      <c r="O54">
        <f>(Table7[[#This Row],[disp_q4]]--0.00354)/-0.00354</f>
        <v>1.2491915173853037E-2</v>
      </c>
      <c r="P54">
        <f>(Table7[[#This Row],[disp_q8]]--0.00354)/-0.00354</f>
        <v>1.9579614985214624E-2</v>
      </c>
      <c r="Q54">
        <f>(Table7[[#This Row],[disp_q9]]--0.00354)/-0.00354</f>
        <v>1.9579614985214624E-2</v>
      </c>
    </row>
    <row r="55" spans="1:17" x14ac:dyDescent="0.3">
      <c r="A55">
        <v>115</v>
      </c>
      <c r="B55">
        <v>15</v>
      </c>
      <c r="C55">
        <v>3712</v>
      </c>
      <c r="D55">
        <v>-3.5654707407220998E-3</v>
      </c>
      <c r="E55">
        <v>14322</v>
      </c>
      <c r="F55">
        <v>-3.5605031698273601E-3</v>
      </c>
      <c r="G55">
        <v>3712</v>
      </c>
      <c r="H55">
        <v>-3.6256871939045498E-3</v>
      </c>
      <c r="I55">
        <v>10872</v>
      </c>
      <c r="J55">
        <v>-3.5653257066811002E-3</v>
      </c>
      <c r="K55">
        <v>14322</v>
      </c>
      <c r="L55">
        <v>-3.5653257066811002E-3</v>
      </c>
      <c r="M55">
        <f>(Table7[[#This Row],[disp_t3]]--0.00354)/-0.00354</f>
        <v>7.1951244977682587E-3</v>
      </c>
      <c r="N55">
        <f>(Table7[[#This Row],[disp_t6]]--0.00354)/-0.00354</f>
        <v>5.7918558834350042E-3</v>
      </c>
      <c r="O55">
        <f>(Table7[[#This Row],[disp_q4]]--0.00354)/-0.00354</f>
        <v>2.4205422006934922E-2</v>
      </c>
      <c r="P55">
        <f>(Table7[[#This Row],[disp_q8]]--0.00354)/-0.00354</f>
        <v>7.1541544296892679E-3</v>
      </c>
      <c r="Q55">
        <f>(Table7[[#This Row],[disp_q9]]--0.00354)/-0.00354</f>
        <v>7.1541544296892679E-3</v>
      </c>
    </row>
    <row r="56" spans="1:17" x14ac:dyDescent="0.3">
      <c r="A56">
        <v>96</v>
      </c>
      <c r="B56">
        <v>15</v>
      </c>
      <c r="C56">
        <v>3104</v>
      </c>
      <c r="D56">
        <v>-3.4537327345298199E-3</v>
      </c>
      <c r="E56">
        <v>11966</v>
      </c>
      <c r="F56">
        <v>-3.5511757711393301E-3</v>
      </c>
      <c r="G56">
        <v>3104</v>
      </c>
      <c r="H56">
        <v>-3.5227614959827199E-3</v>
      </c>
      <c r="I56">
        <v>9086</v>
      </c>
      <c r="J56">
        <v>-3.5497295264398199E-3</v>
      </c>
      <c r="K56">
        <v>11966</v>
      </c>
      <c r="L56">
        <v>-3.5497295264398199E-3</v>
      </c>
      <c r="M56">
        <f>(Table7[[#This Row],[disp_t3]]--0.00354)/-0.00354</f>
        <v>-2.4369284031124362E-2</v>
      </c>
      <c r="N56">
        <f>(Table7[[#This Row],[disp_t6]]--0.00354)/-0.00354</f>
        <v>3.1569974969858461E-3</v>
      </c>
      <c r="O56">
        <f>(Table7[[#This Row],[disp_q4]]--0.00354)/-0.00354</f>
        <v>-4.8696339031865299E-3</v>
      </c>
      <c r="P56">
        <f>(Table7[[#This Row],[disp_q8]]--0.00354)/-0.00354</f>
        <v>2.7484537965592306E-3</v>
      </c>
      <c r="Q56">
        <f>(Table7[[#This Row],[disp_q9]]--0.00354)/-0.00354</f>
        <v>2.7484537965592306E-3</v>
      </c>
    </row>
    <row r="57" spans="1:17" x14ac:dyDescent="0.3">
      <c r="A57">
        <v>80</v>
      </c>
      <c r="B57">
        <v>15</v>
      </c>
      <c r="C57">
        <v>2592</v>
      </c>
      <c r="D57">
        <v>-3.3996330903839299E-3</v>
      </c>
      <c r="E57">
        <v>9982</v>
      </c>
      <c r="F57">
        <v>-3.5134265586590002E-3</v>
      </c>
      <c r="G57">
        <v>2592</v>
      </c>
      <c r="H57">
        <v>-3.4786354952385701E-3</v>
      </c>
      <c r="I57">
        <v>7582</v>
      </c>
      <c r="J57">
        <v>-3.5122551973634699E-3</v>
      </c>
      <c r="K57">
        <v>9982</v>
      </c>
      <c r="L57">
        <v>-3.5122551973634699E-3</v>
      </c>
      <c r="M57">
        <f>(Table7[[#This Row],[disp_t3]]--0.00354)/-0.00354</f>
        <v>-3.9651669383070687E-2</v>
      </c>
      <c r="N57">
        <f>(Table7[[#This Row],[disp_t6]]--0.00354)/-0.00354</f>
        <v>-7.5066218477401105E-3</v>
      </c>
      <c r="O57">
        <f>(Table7[[#This Row],[disp_q4]]--0.00354)/-0.00354</f>
        <v>-1.7334605864810757E-2</v>
      </c>
      <c r="P57">
        <f>(Table7[[#This Row],[disp_q8]]--0.00354)/-0.00354</f>
        <v>-7.8375148690763494E-3</v>
      </c>
      <c r="Q57">
        <f>(Table7[[#This Row],[disp_q9]]--0.00354)/-0.00354</f>
        <v>-7.8375148690763494E-3</v>
      </c>
    </row>
    <row r="58" spans="1:17" x14ac:dyDescent="0.3">
      <c r="A58">
        <v>66</v>
      </c>
      <c r="B58">
        <v>15</v>
      </c>
      <c r="C58">
        <v>2144</v>
      </c>
      <c r="D58">
        <v>-3.3247936741800199E-3</v>
      </c>
      <c r="E58">
        <v>8246</v>
      </c>
      <c r="F58">
        <v>-3.4659357731255899E-3</v>
      </c>
      <c r="G58">
        <v>2144</v>
      </c>
      <c r="H58">
        <v>-3.4181562916327599E-3</v>
      </c>
      <c r="I58">
        <v>6266</v>
      </c>
      <c r="J58">
        <v>-3.4618240485262998E-3</v>
      </c>
      <c r="K58">
        <v>8246</v>
      </c>
      <c r="L58">
        <v>-3.4618240485262998E-3</v>
      </c>
      <c r="M58">
        <f>(Table7[[#This Row],[disp_t3]]--0.00354)/-0.00354</f>
        <v>-6.0792747406774088E-2</v>
      </c>
      <c r="N58">
        <f>(Table7[[#This Row],[disp_t6]]--0.00354)/-0.00354</f>
        <v>-2.0922097987121555E-2</v>
      </c>
      <c r="O58">
        <f>(Table7[[#This Row],[disp_q4]]--0.00354)/-0.00354</f>
        <v>-3.4419126657412501E-2</v>
      </c>
      <c r="P58">
        <f>(Table7[[#This Row],[disp_q8]]--0.00354)/-0.00354</f>
        <v>-2.2083602111214795E-2</v>
      </c>
      <c r="Q58">
        <f>(Table7[[#This Row],[disp_q9]]--0.00354)/-0.00354</f>
        <v>-2.2083602111214795E-2</v>
      </c>
    </row>
    <row r="59" spans="1:17" x14ac:dyDescent="0.3">
      <c r="A59">
        <v>55</v>
      </c>
      <c r="B59">
        <v>15</v>
      </c>
      <c r="C59">
        <v>1792</v>
      </c>
      <c r="D59">
        <v>-3.4118520557534699E-3</v>
      </c>
      <c r="E59">
        <v>6882</v>
      </c>
      <c r="F59">
        <v>-3.3519105236668499E-3</v>
      </c>
      <c r="G59">
        <v>1792</v>
      </c>
      <c r="H59">
        <v>-3.5154199701667899E-3</v>
      </c>
      <c r="I59">
        <v>5232</v>
      </c>
      <c r="J59">
        <v>-3.3667247350338998E-3</v>
      </c>
      <c r="K59">
        <v>6882</v>
      </c>
      <c r="L59">
        <v>-3.3667247350338998E-3</v>
      </c>
      <c r="M59">
        <f>(Table7[[#This Row],[disp_t3]]--0.00354)/-0.00354</f>
        <v>-3.6199984250432277E-2</v>
      </c>
      <c r="N59">
        <f>(Table7[[#This Row],[disp_t6]]--0.00354)/-0.00354</f>
        <v>-5.3132620433093282E-2</v>
      </c>
      <c r="O59">
        <f>(Table7[[#This Row],[disp_q4]]--0.00354)/-0.00354</f>
        <v>-6.9435112523192925E-3</v>
      </c>
      <c r="P59">
        <f>(Table7[[#This Row],[disp_q8]]--0.00354)/-0.00354</f>
        <v>-4.8947814962175241E-2</v>
      </c>
      <c r="Q59">
        <f>(Table7[[#This Row],[disp_q9]]--0.00354)/-0.00354</f>
        <v>-4.8947814962175241E-2</v>
      </c>
    </row>
    <row r="60" spans="1:17" x14ac:dyDescent="0.3">
      <c r="A60">
        <v>46</v>
      </c>
      <c r="B60">
        <v>15</v>
      </c>
      <c r="C60">
        <v>1504</v>
      </c>
      <c r="D60">
        <v>-3.1176213579707599E-3</v>
      </c>
      <c r="E60">
        <v>5766</v>
      </c>
      <c r="F60">
        <v>-3.31779126512898E-3</v>
      </c>
      <c r="G60">
        <v>1504</v>
      </c>
      <c r="H60">
        <v>-3.2506237013592001E-3</v>
      </c>
      <c r="I60">
        <v>4386</v>
      </c>
      <c r="J60">
        <v>-3.3237699092580901E-3</v>
      </c>
      <c r="K60">
        <v>5766</v>
      </c>
      <c r="L60">
        <v>-3.3237699092580901E-3</v>
      </c>
      <c r="M60">
        <f>(Table7[[#This Row],[disp_t3]]--0.00354)/-0.00354</f>
        <v>-0.1193160005732317</v>
      </c>
      <c r="N60">
        <f>(Table7[[#This Row],[disp_t6]]--0.00354)/-0.00354</f>
        <v>-6.2770829059610206E-2</v>
      </c>
      <c r="O60">
        <f>(Table7[[#This Row],[disp_q4]]--0.00354)/-0.00354</f>
        <v>-8.1744717130169509E-2</v>
      </c>
      <c r="P60">
        <f>(Table7[[#This Row],[disp_q8]]--0.00354)/-0.00354</f>
        <v>-6.1081946537262725E-2</v>
      </c>
      <c r="Q60">
        <f>(Table7[[#This Row],[disp_q9]]--0.00354)/-0.00354</f>
        <v>-6.1081946537262725E-2</v>
      </c>
    </row>
    <row r="61" spans="1:17" x14ac:dyDescent="0.3">
      <c r="A61">
        <v>38</v>
      </c>
      <c r="B61">
        <v>15</v>
      </c>
      <c r="C61">
        <v>1248</v>
      </c>
      <c r="D61">
        <v>-2.9642096903086299E-3</v>
      </c>
      <c r="E61">
        <v>4774</v>
      </c>
      <c r="F61">
        <v>-3.2121081797360901E-3</v>
      </c>
      <c r="G61">
        <v>1248</v>
      </c>
      <c r="H61">
        <v>-3.1248758704245801E-3</v>
      </c>
      <c r="I61">
        <v>3634</v>
      </c>
      <c r="J61">
        <v>-3.2231221859221702E-3</v>
      </c>
      <c r="K61">
        <v>4774</v>
      </c>
      <c r="L61">
        <v>-3.2231221859221702E-3</v>
      </c>
      <c r="M61">
        <f>(Table7[[#This Row],[disp_t3]]--0.00354)/-0.00354</f>
        <v>-0.16265262985631929</v>
      </c>
      <c r="N61">
        <f>(Table7[[#This Row],[disp_t6]]--0.00354)/-0.00354</f>
        <v>-9.2624807984155372E-2</v>
      </c>
      <c r="O61">
        <f>(Table7[[#This Row],[disp_q4]]--0.00354)/-0.00354</f>
        <v>-0.11726670326989266</v>
      </c>
      <c r="P61">
        <f>(Table7[[#This Row],[disp_q8]]--0.00354)/-0.00354</f>
        <v>-8.9513506801646894E-2</v>
      </c>
      <c r="Q61">
        <f>(Table7[[#This Row],[disp_q9]]--0.00354)/-0.00354</f>
        <v>-8.9513506801646894E-2</v>
      </c>
    </row>
    <row r="62" spans="1:17" x14ac:dyDescent="0.3">
      <c r="A62">
        <v>32</v>
      </c>
      <c r="B62">
        <v>15</v>
      </c>
      <c r="C62">
        <v>1056</v>
      </c>
      <c r="D62">
        <v>-2.7976378837983999E-3</v>
      </c>
      <c r="E62">
        <v>4030</v>
      </c>
      <c r="F62">
        <v>-3.0946752780027799E-3</v>
      </c>
      <c r="G62">
        <v>1056</v>
      </c>
      <c r="H62">
        <v>-2.9861239838430598E-3</v>
      </c>
      <c r="I62">
        <v>3070</v>
      </c>
      <c r="J62">
        <v>-3.10424846807628E-3</v>
      </c>
      <c r="K62">
        <v>4030</v>
      </c>
      <c r="L62">
        <v>-3.10424846807628E-3</v>
      </c>
      <c r="M62">
        <f>(Table7[[#This Row],[disp_t3]]--0.00354)/-0.00354</f>
        <v>-0.20970681248632775</v>
      </c>
      <c r="N62">
        <f>(Table7[[#This Row],[disp_t6]]--0.00354)/-0.00354</f>
        <v>-0.12579794406701136</v>
      </c>
      <c r="O62">
        <f>(Table7[[#This Row],[disp_q4]]--0.00354)/-0.00354</f>
        <v>-0.15646215145676282</v>
      </c>
      <c r="P62">
        <f>(Table7[[#This Row],[disp_q8]]--0.00354)/-0.00354</f>
        <v>-0.12309365308579666</v>
      </c>
      <c r="Q62">
        <f>(Table7[[#This Row],[disp_q9]]--0.00354)/-0.00354</f>
        <v>-0.12309365308579666</v>
      </c>
    </row>
    <row r="63" spans="1:17" x14ac:dyDescent="0.3">
      <c r="A63">
        <v>26</v>
      </c>
      <c r="B63">
        <v>15</v>
      </c>
      <c r="C63">
        <v>864</v>
      </c>
      <c r="D63">
        <v>-2.5615487994259901E-3</v>
      </c>
      <c r="E63">
        <v>3286</v>
      </c>
      <c r="F63">
        <v>-2.9195196644879302E-3</v>
      </c>
      <c r="G63">
        <v>864</v>
      </c>
      <c r="H63">
        <v>-2.7854145041774801E-3</v>
      </c>
      <c r="I63">
        <v>2506</v>
      </c>
      <c r="J63">
        <v>-2.9348678656043099E-3</v>
      </c>
      <c r="K63">
        <v>3286</v>
      </c>
      <c r="L63">
        <v>-2.9348678656043099E-3</v>
      </c>
      <c r="M63">
        <f>(Table7[[#This Row],[disp_t3]]--0.00354)/-0.00354</f>
        <v>-0.27639864422994631</v>
      </c>
      <c r="N63">
        <f>(Table7[[#This Row],[disp_t6]]--0.00354)/-0.00354</f>
        <v>-0.175276930935613</v>
      </c>
      <c r="O63">
        <f>(Table7[[#This Row],[disp_q4]]--0.00354)/-0.00354</f>
        <v>-0.21315974458263279</v>
      </c>
      <c r="P63">
        <f>(Table7[[#This Row],[disp_q8]]--0.00354)/-0.00354</f>
        <v>-0.17094128090273736</v>
      </c>
      <c r="Q63">
        <f>(Table7[[#This Row],[disp_q9]]--0.00354)/-0.00354</f>
        <v>-0.17094128090273736</v>
      </c>
    </row>
    <row r="64" spans="1:17" x14ac:dyDescent="0.3">
      <c r="A64">
        <v>22</v>
      </c>
      <c r="B64">
        <v>15</v>
      </c>
      <c r="C64">
        <v>736</v>
      </c>
      <c r="D64">
        <v>-2.3474941524881401E-3</v>
      </c>
      <c r="E64">
        <v>2790</v>
      </c>
      <c r="F64">
        <v>-2.7576324509410201E-3</v>
      </c>
      <c r="G64">
        <v>736</v>
      </c>
      <c r="H64">
        <v>-2.5996695377938999E-3</v>
      </c>
      <c r="I64">
        <v>2130</v>
      </c>
      <c r="J64">
        <v>-2.7762242999942602E-3</v>
      </c>
      <c r="K64">
        <v>2790</v>
      </c>
      <c r="L64">
        <v>-2.7762242999942602E-3</v>
      </c>
      <c r="M64">
        <f>(Table7[[#This Row],[disp_t3]]--0.00354)/-0.00354</f>
        <v>-0.33686605861916952</v>
      </c>
      <c r="N64">
        <f>(Table7[[#This Row],[disp_t6]]--0.00354)/-0.00354</f>
        <v>-0.22100778222005085</v>
      </c>
      <c r="O64">
        <f>(Table7[[#This Row],[disp_q4]]--0.00354)/-0.00354</f>
        <v>-0.26563007406951983</v>
      </c>
      <c r="P64">
        <f>(Table7[[#This Row],[disp_q8]]--0.00354)/-0.00354</f>
        <v>-0.21575584745924856</v>
      </c>
      <c r="Q64">
        <f>(Table7[[#This Row],[disp_q9]]--0.00354)/-0.00354</f>
        <v>-0.21575584745924856</v>
      </c>
    </row>
    <row r="65" spans="1:17" x14ac:dyDescent="0.3">
      <c r="A65">
        <v>18</v>
      </c>
      <c r="B65">
        <v>15</v>
      </c>
      <c r="C65">
        <v>608</v>
      </c>
      <c r="D65">
        <v>-2.0684192149458898E-3</v>
      </c>
      <c r="E65">
        <v>2294</v>
      </c>
      <c r="F65">
        <v>-2.54781669956867E-3</v>
      </c>
      <c r="G65">
        <v>608</v>
      </c>
      <c r="H65">
        <v>-2.3529445753707099E-3</v>
      </c>
      <c r="I65">
        <v>1754</v>
      </c>
      <c r="J65">
        <v>-2.5639401380831701E-3</v>
      </c>
      <c r="K65">
        <v>2294</v>
      </c>
      <c r="L65">
        <v>-2.5639401380831701E-3</v>
      </c>
      <c r="M65">
        <f>(Table7[[#This Row],[disp_t3]]--0.00354)/-0.00354</f>
        <v>-0.41570078673844924</v>
      </c>
      <c r="N65">
        <f>(Table7[[#This Row],[disp_t6]]--0.00354)/-0.00354</f>
        <v>-0.28027776848342661</v>
      </c>
      <c r="O65">
        <f>(Table7[[#This Row],[disp_q4]]--0.00354)/-0.00354</f>
        <v>-0.33532639113821761</v>
      </c>
      <c r="P65">
        <f>(Table7[[#This Row],[disp_q8]]--0.00354)/-0.00354</f>
        <v>-0.27572312483526273</v>
      </c>
      <c r="Q65">
        <f>(Table7[[#This Row],[disp_q9]]--0.00354)/-0.00354</f>
        <v>-0.27572312483526273</v>
      </c>
    </row>
    <row r="66" spans="1:17" x14ac:dyDescent="0.3">
      <c r="A66">
        <v>15</v>
      </c>
      <c r="B66">
        <v>15</v>
      </c>
      <c r="C66">
        <v>512</v>
      </c>
      <c r="D66">
        <v>-2.2701830794046298E-3</v>
      </c>
      <c r="E66">
        <v>1922</v>
      </c>
      <c r="F66">
        <v>-2.2257459896660998E-3</v>
      </c>
      <c r="G66">
        <v>512</v>
      </c>
      <c r="H66">
        <v>-2.6914710846221998E-3</v>
      </c>
      <c r="I66">
        <v>1472</v>
      </c>
      <c r="J66">
        <v>-2.25001738897797E-3</v>
      </c>
      <c r="K66">
        <v>1922</v>
      </c>
      <c r="L66">
        <v>-2.25001738897797E-3</v>
      </c>
      <c r="M66">
        <f>(Table7[[#This Row],[disp_t3]]--0.00354)/-0.00354</f>
        <v>-0.35870534480095206</v>
      </c>
      <c r="N66">
        <f>(Table7[[#This Row],[disp_t6]]--0.00354)/-0.00354</f>
        <v>-0.37125819500957635</v>
      </c>
      <c r="O66">
        <f>(Table7[[#This Row],[disp_q4]]--0.00354)/-0.00354</f>
        <v>-0.23969743372254246</v>
      </c>
      <c r="P66">
        <f>(Table7[[#This Row],[disp_q8]]--0.00354)/-0.00354</f>
        <v>-0.36440186752034748</v>
      </c>
      <c r="Q66">
        <f>(Table7[[#This Row],[disp_q9]]--0.00354)/-0.00354</f>
        <v>-0.36440186752034748</v>
      </c>
    </row>
    <row r="67" spans="1:17" x14ac:dyDescent="0.3">
      <c r="A67">
        <v>12</v>
      </c>
      <c r="B67">
        <v>15</v>
      </c>
      <c r="C67">
        <v>416</v>
      </c>
      <c r="D67">
        <v>-1.46305402523498E-3</v>
      </c>
      <c r="E67">
        <v>1550</v>
      </c>
      <c r="F67">
        <v>-2.0634675896732901E-3</v>
      </c>
      <c r="G67">
        <v>416</v>
      </c>
      <c r="H67">
        <v>-1.7995453023295399E-3</v>
      </c>
      <c r="I67">
        <v>1190</v>
      </c>
      <c r="J67">
        <v>-2.0896641446249602E-3</v>
      </c>
      <c r="K67">
        <v>1550</v>
      </c>
      <c r="L67">
        <v>-2.0896641446249602E-3</v>
      </c>
      <c r="M67">
        <f>(Table7[[#This Row],[disp_t3]]--0.00354)/-0.00354</f>
        <v>-0.58670790247599436</v>
      </c>
      <c r="N67">
        <f>(Table7[[#This Row],[disp_t6]]--0.00354)/-0.00354</f>
        <v>-0.4170995509397486</v>
      </c>
      <c r="O67">
        <f>(Table7[[#This Row],[disp_q4]]--0.00354)/-0.00354</f>
        <v>-0.49165386939843508</v>
      </c>
      <c r="P67">
        <f>(Table7[[#This Row],[disp_q8]]--0.00354)/-0.00354</f>
        <v>-0.40969939417374007</v>
      </c>
      <c r="Q67">
        <f>(Table7[[#This Row],[disp_q9]]--0.00354)/-0.00354</f>
        <v>-0.40969939417374007</v>
      </c>
    </row>
    <row r="68" spans="1:17" x14ac:dyDescent="0.3">
      <c r="A68">
        <v>10</v>
      </c>
      <c r="B68">
        <v>15</v>
      </c>
      <c r="C68">
        <v>352</v>
      </c>
      <c r="D68">
        <v>-1.1885461304916899E-3</v>
      </c>
      <c r="E68">
        <v>1302</v>
      </c>
      <c r="F68">
        <v>-1.83433408138467E-3</v>
      </c>
      <c r="G68">
        <v>352</v>
      </c>
      <c r="H68">
        <v>-1.53367690988248E-3</v>
      </c>
      <c r="I68">
        <v>1002</v>
      </c>
      <c r="J68">
        <v>-1.8686952274254401E-3</v>
      </c>
      <c r="K68">
        <v>1302</v>
      </c>
      <c r="L68">
        <v>-1.8686952274254401E-3</v>
      </c>
      <c r="M68">
        <f>(Table7[[#This Row],[disp_t3]]--0.00354)/-0.00354</f>
        <v>-0.66425250551082204</v>
      </c>
      <c r="N68">
        <f>(Table7[[#This Row],[disp_t6]]--0.00354)/-0.00354</f>
        <v>-0.48182653068229664</v>
      </c>
      <c r="O68">
        <f>(Table7[[#This Row],[disp_q4]]--0.00354)/-0.00354</f>
        <v>-0.56675793506144634</v>
      </c>
      <c r="P68">
        <f>(Table7[[#This Row],[disp_q8]]--0.00354)/-0.00354</f>
        <v>-0.47211999225270057</v>
      </c>
      <c r="Q68">
        <f>(Table7[[#This Row],[disp_q9]]--0.00354)/-0.00354</f>
        <v>-0.47211999225270057</v>
      </c>
    </row>
    <row r="69" spans="1:17" x14ac:dyDescent="0.3">
      <c r="A69">
        <v>8</v>
      </c>
      <c r="B69">
        <v>15</v>
      </c>
      <c r="C69">
        <v>288</v>
      </c>
      <c r="D69">
        <v>-8.69761136043449E-4</v>
      </c>
      <c r="E69">
        <v>1054</v>
      </c>
      <c r="F69">
        <v>-1.5376694463075801E-3</v>
      </c>
      <c r="G69">
        <v>288</v>
      </c>
      <c r="H69">
        <v>-1.20023475035827E-3</v>
      </c>
      <c r="I69">
        <v>814</v>
      </c>
      <c r="J69">
        <v>-1.5722364223803901E-3</v>
      </c>
      <c r="K69">
        <v>1054</v>
      </c>
      <c r="L69">
        <v>-1.5722364223803901E-3</v>
      </c>
      <c r="M69">
        <f>(Table7[[#This Row],[disp_t3]]--0.00354)/-0.00354</f>
        <v>-0.75430476382953426</v>
      </c>
      <c r="N69">
        <f>(Table7[[#This Row],[disp_t6]]--0.00354)/-0.00354</f>
        <v>-0.56563009991311297</v>
      </c>
      <c r="O69">
        <f>(Table7[[#This Row],[disp_q4]]--0.00354)/-0.00354</f>
        <v>-0.66095063549201416</v>
      </c>
      <c r="P69">
        <f>(Table7[[#This Row],[disp_q8]]--0.00354)/-0.00354</f>
        <v>-0.5558654174066695</v>
      </c>
      <c r="Q69">
        <f>(Table7[[#This Row],[disp_q9]]--0.00354)/-0.00354</f>
        <v>-0.5558654174066695</v>
      </c>
    </row>
    <row r="70" spans="1:17" x14ac:dyDescent="0.3">
      <c r="A70">
        <v>7</v>
      </c>
      <c r="B70">
        <v>15</v>
      </c>
      <c r="C70">
        <v>256</v>
      </c>
      <c r="D70">
        <v>-1.0851337897259199E-3</v>
      </c>
      <c r="E70">
        <v>930</v>
      </c>
      <c r="F70">
        <v>-1.2668327932483399E-3</v>
      </c>
      <c r="G70">
        <v>256</v>
      </c>
      <c r="H70">
        <v>-1.58376128570796E-3</v>
      </c>
      <c r="I70">
        <v>720</v>
      </c>
      <c r="J70">
        <v>-1.2968737318710399E-3</v>
      </c>
      <c r="K70">
        <v>930</v>
      </c>
      <c r="L70">
        <v>-1.2968737318710399E-3</v>
      </c>
      <c r="M70">
        <f>(Table7[[#This Row],[disp_t3]]--0.00354)/-0.00354</f>
        <v>-0.6934650311508701</v>
      </c>
      <c r="N70">
        <f>(Table7[[#This Row],[disp_t6]]--0.00354)/-0.00354</f>
        <v>-0.64213762902589278</v>
      </c>
      <c r="O70">
        <f>(Table7[[#This Row],[disp_q4]]--0.00354)/-0.00354</f>
        <v>-0.55260980629718648</v>
      </c>
      <c r="P70">
        <f>(Table7[[#This Row],[disp_q8]]--0.00354)/-0.00354</f>
        <v>-0.63365148817202266</v>
      </c>
      <c r="Q70">
        <f>(Table7[[#This Row],[disp_q9]]--0.00354)/-0.00354</f>
        <v>-0.63365148817202266</v>
      </c>
    </row>
    <row r="71" spans="1:17" x14ac:dyDescent="0.3">
      <c r="A71">
        <v>6</v>
      </c>
      <c r="B71">
        <v>15</v>
      </c>
      <c r="C71">
        <v>224</v>
      </c>
      <c r="D71">
        <v>-5.1906373597973305E-4</v>
      </c>
      <c r="E71">
        <v>806</v>
      </c>
      <c r="F71">
        <v>-1.12286363332621E-3</v>
      </c>
      <c r="G71">
        <v>224</v>
      </c>
      <c r="H71">
        <v>-7.7810662190957698E-4</v>
      </c>
      <c r="I71">
        <v>626</v>
      </c>
      <c r="J71">
        <v>-1.166202639247E-3</v>
      </c>
      <c r="K71">
        <v>806</v>
      </c>
      <c r="L71">
        <v>-1.166202639247E-3</v>
      </c>
      <c r="M71">
        <f>(Table7[[#This Row],[disp_t3]]--0.00354)/-0.00354</f>
        <v>-0.85337182599442574</v>
      </c>
      <c r="N71">
        <f>(Table7[[#This Row],[disp_t6]]--0.00354)/-0.00354</f>
        <v>-0.68280688324118366</v>
      </c>
      <c r="O71">
        <f>(Table7[[#This Row],[disp_q4]]--0.00354)/-0.00354</f>
        <v>-0.78019586951706865</v>
      </c>
      <c r="P71">
        <f>(Table7[[#This Row],[disp_q8]]--0.00354)/-0.00354</f>
        <v>-0.67056422620141243</v>
      </c>
      <c r="Q71">
        <f>(Table7[[#This Row],[disp_q9]]--0.00354)/-0.00354</f>
        <v>-0.67056422620141243</v>
      </c>
    </row>
    <row r="72" spans="1:17" x14ac:dyDescent="0.3">
      <c r="A72">
        <v>5</v>
      </c>
      <c r="B72">
        <v>15</v>
      </c>
      <c r="C72">
        <v>192</v>
      </c>
      <c r="D72">
        <v>-6.6286354515270301E-4</v>
      </c>
      <c r="E72">
        <v>682</v>
      </c>
      <c r="F72">
        <v>-7.9629149572641399E-4</v>
      </c>
      <c r="G72">
        <v>192</v>
      </c>
      <c r="H72">
        <v>-1.06213845708392E-3</v>
      </c>
      <c r="I72">
        <v>532</v>
      </c>
      <c r="J72">
        <v>-8.2577994731105003E-4</v>
      </c>
      <c r="K72">
        <v>682</v>
      </c>
      <c r="L72">
        <v>-8.2577994731105003E-4</v>
      </c>
      <c r="M72">
        <f>(Table7[[#This Row],[disp_t3]]--0.00354)/-0.00354</f>
        <v>-0.81275041097381273</v>
      </c>
      <c r="N72">
        <f>(Table7[[#This Row],[disp_t6]]--0.00354)/-0.00354</f>
        <v>-0.77505889951231244</v>
      </c>
      <c r="O72">
        <f>(Table7[[#This Row],[disp_q4]]--0.00354)/-0.00354</f>
        <v>-0.69996088782940113</v>
      </c>
      <c r="P72">
        <f>(Table7[[#This Row],[disp_q8]]--0.00354)/-0.00354</f>
        <v>-0.76672882844320622</v>
      </c>
      <c r="Q72">
        <f>(Table7[[#This Row],[disp_q9]]--0.00354)/-0.00354</f>
        <v>-0.76672882844320622</v>
      </c>
    </row>
    <row r="73" spans="1:17" x14ac:dyDescent="0.3">
      <c r="A73">
        <v>4</v>
      </c>
      <c r="B73">
        <v>15</v>
      </c>
      <c r="C73">
        <v>160</v>
      </c>
      <c r="D73">
        <v>-1.9111345374266901E-4</v>
      </c>
      <c r="E73">
        <v>558</v>
      </c>
      <c r="F73">
        <v>-5.1925277190978305E-4</v>
      </c>
      <c r="G73">
        <v>160</v>
      </c>
      <c r="H73">
        <v>-2.9474035083035201E-4</v>
      </c>
      <c r="I73">
        <v>438</v>
      </c>
      <c r="J73">
        <v>-5.6996743322801705E-4</v>
      </c>
      <c r="K73">
        <v>558</v>
      </c>
      <c r="L73">
        <v>-5.6996743322801705E-4</v>
      </c>
      <c r="M73">
        <f>(Table7[[#This Row],[disp_t3]]--0.00354)/-0.00354</f>
        <v>-0.94601314866026298</v>
      </c>
      <c r="N73">
        <f>(Table7[[#This Row],[disp_t6]]--0.00354)/-0.00354</f>
        <v>-0.85331842601418562</v>
      </c>
      <c r="O73">
        <f>(Table7[[#This Row],[disp_q4]]--0.00354)/-0.00354</f>
        <v>-0.91674001388973103</v>
      </c>
      <c r="P73">
        <f>(Table7[[#This Row],[disp_q8]]--0.00354)/-0.00354</f>
        <v>-0.83899225050056014</v>
      </c>
      <c r="Q73">
        <f>(Table7[[#This Row],[disp_q9]]--0.00354)/-0.00354</f>
        <v>-0.83899225050056014</v>
      </c>
    </row>
    <row r="74" spans="1:17" x14ac:dyDescent="0.3">
      <c r="A74">
        <v>3</v>
      </c>
      <c r="B74">
        <v>15</v>
      </c>
      <c r="C74">
        <v>128</v>
      </c>
      <c r="D74">
        <v>-2.5892024142369998E-4</v>
      </c>
      <c r="E74">
        <v>434</v>
      </c>
      <c r="F74">
        <v>-1.7950641142694401E-4</v>
      </c>
      <c r="G74">
        <v>128</v>
      </c>
      <c r="H74">
        <v>-4.2259152189084602E-4</v>
      </c>
      <c r="I74">
        <v>344</v>
      </c>
      <c r="J74">
        <v>-1.8986722883574899E-4</v>
      </c>
      <c r="K74">
        <v>434</v>
      </c>
      <c r="L74">
        <v>-1.8986722883574899E-4</v>
      </c>
      <c r="M74">
        <f>(Table7[[#This Row],[disp_t3]]--0.00354)/-0.00354</f>
        <v>-0.92685868886336154</v>
      </c>
      <c r="N74">
        <f>(Table7[[#This Row],[disp_t6]]--0.00354)/-0.00354</f>
        <v>-0.94929197417317968</v>
      </c>
      <c r="O74">
        <f>(Table7[[#This Row],[disp_q4]]--0.00354)/-0.00354</f>
        <v>-0.88062386387264235</v>
      </c>
      <c r="P74">
        <f>(Table7[[#This Row],[disp_q8]]--0.00354)/-0.00354</f>
        <v>-0.94636518959442117</v>
      </c>
      <c r="Q74">
        <f>(Table7[[#This Row],[disp_q9]]--0.00354)/-0.00354</f>
        <v>-0.94636518959442117</v>
      </c>
    </row>
    <row r="75" spans="1:17" x14ac:dyDescent="0.3">
      <c r="A75">
        <v>2</v>
      </c>
      <c r="B75">
        <v>15</v>
      </c>
      <c r="C75">
        <v>96</v>
      </c>
      <c r="D75" s="7">
        <v>-5.8463143031166603E-6</v>
      </c>
      <c r="E75">
        <v>310</v>
      </c>
      <c r="F75" s="7">
        <v>-1.8256955114206901E-5</v>
      </c>
      <c r="G75">
        <v>96</v>
      </c>
      <c r="H75" s="7">
        <v>-9.8112110733047201E-6</v>
      </c>
      <c r="I75">
        <v>250</v>
      </c>
      <c r="J75" s="7">
        <v>-1.9233597606402701E-5</v>
      </c>
      <c r="K75">
        <v>310</v>
      </c>
      <c r="L75" s="7">
        <v>-1.9233597606402701E-5</v>
      </c>
      <c r="M75">
        <f>(Table7[[#This Row],[disp_t3]]--0.00354)/-0.00354</f>
        <v>-0.99834849878443022</v>
      </c>
      <c r="N75">
        <f>(Table7[[#This Row],[disp_t6]]--0.00354)/-0.00354</f>
        <v>-0.99484266804683419</v>
      </c>
      <c r="O75">
        <f>(Table7[[#This Row],[disp_q4]]--0.00354)/-0.00354</f>
        <v>-0.99722847144821891</v>
      </c>
      <c r="P75">
        <f>(Table7[[#This Row],[disp_q8]]--0.00354)/-0.00354</f>
        <v>-0.99456678033717438</v>
      </c>
      <c r="Q75">
        <f>(Table7[[#This Row],[disp_q9]]--0.00354)/-0.00354</f>
        <v>-0.99456678033717438</v>
      </c>
    </row>
    <row r="76" spans="1:17" x14ac:dyDescent="0.3">
      <c r="A76">
        <v>1</v>
      </c>
      <c r="B76">
        <v>15</v>
      </c>
      <c r="C76">
        <v>64</v>
      </c>
      <c r="D76" s="7">
        <v>-2.9429165944650102E-6</v>
      </c>
      <c r="E76">
        <v>186</v>
      </c>
      <c r="F76" s="7">
        <v>-7.7139510453758399E-6</v>
      </c>
      <c r="G76">
        <v>64</v>
      </c>
      <c r="H76" s="7">
        <v>-4.4227522860178497E-6</v>
      </c>
      <c r="I76">
        <v>156</v>
      </c>
      <c r="J76" s="7">
        <v>-1.0193695094524899E-5</v>
      </c>
      <c r="K76">
        <v>186</v>
      </c>
      <c r="L76" s="7">
        <v>-1.0193695094524899E-5</v>
      </c>
      <c r="M76">
        <f>(Table7[[#This Row],[disp_t3]]--0.00354)/-0.00354</f>
        <v>-0.99916866762868217</v>
      </c>
      <c r="N76">
        <f>(Table7[[#This Row],[disp_t6]]--0.00354)/-0.00354</f>
        <v>-0.99782091778379212</v>
      </c>
      <c r="O76">
        <f>(Table7[[#This Row],[disp_q4]]--0.00354)/-0.00354</f>
        <v>-0.99875063494745264</v>
      </c>
      <c r="P76">
        <f>(Table7[[#This Row],[disp_q8]]--0.00354)/-0.00354</f>
        <v>-0.99712042511454102</v>
      </c>
      <c r="Q76">
        <f>(Table7[[#This Row],[disp_q9]]--0.00354)/-0.00354</f>
        <v>-0.99712042511454102</v>
      </c>
    </row>
    <row r="77" spans="1:17" x14ac:dyDescent="0.3">
      <c r="A77">
        <v>200</v>
      </c>
      <c r="B77">
        <v>12</v>
      </c>
      <c r="C77">
        <v>5226</v>
      </c>
      <c r="D77">
        <v>-3.5426091028596101E-3</v>
      </c>
      <c r="E77">
        <v>20050</v>
      </c>
      <c r="F77">
        <v>-3.6357925468801702E-3</v>
      </c>
      <c r="G77">
        <v>5226</v>
      </c>
      <c r="H77">
        <v>-3.6128122356387901E-3</v>
      </c>
      <c r="I77">
        <v>15250</v>
      </c>
      <c r="J77">
        <v>-3.6383815574491602E-3</v>
      </c>
      <c r="K77">
        <v>20050</v>
      </c>
      <c r="L77">
        <v>-3.6383815574491602E-3</v>
      </c>
      <c r="M77">
        <f>(Table7[[#This Row],[disp_t3]]--0.00354)/-0.00354</f>
        <v>7.3703470610449813E-4</v>
      </c>
      <c r="N77">
        <f>(Table7[[#This Row],[disp_t6]]--0.00354)/-0.00354</f>
        <v>2.7060041491573438E-2</v>
      </c>
      <c r="O77">
        <f>(Table7[[#This Row],[disp_q4]]--0.00354)/-0.00354</f>
        <v>2.0568428146550834E-2</v>
      </c>
      <c r="P77">
        <f>(Table7[[#This Row],[disp_q8]]--0.00354)/-0.00354</f>
        <v>2.7791400409367228E-2</v>
      </c>
      <c r="Q77">
        <f>(Table7[[#This Row],[disp_q9]]--0.00354)/-0.00354</f>
        <v>2.7791400409367228E-2</v>
      </c>
    </row>
    <row r="78" spans="1:17" x14ac:dyDescent="0.3">
      <c r="A78">
        <v>166</v>
      </c>
      <c r="B78">
        <v>12</v>
      </c>
      <c r="C78">
        <v>4342</v>
      </c>
      <c r="D78">
        <v>-3.5227217283329499E-3</v>
      </c>
      <c r="E78">
        <v>16650</v>
      </c>
      <c r="F78">
        <v>-3.6188174760235598E-3</v>
      </c>
      <c r="G78">
        <v>4342</v>
      </c>
      <c r="H78">
        <v>-3.5949022555609601E-3</v>
      </c>
      <c r="I78">
        <v>12666</v>
      </c>
      <c r="J78">
        <v>-3.6207225748779502E-3</v>
      </c>
      <c r="K78">
        <v>16650</v>
      </c>
      <c r="L78">
        <v>-3.6207225748779502E-3</v>
      </c>
      <c r="M78">
        <f>(Table7[[#This Row],[disp_t3]]--0.00354)/-0.00354</f>
        <v>-4.8808677025565855E-3</v>
      </c>
      <c r="N78">
        <f>(Table7[[#This Row],[disp_t6]]--0.00354)/-0.00354</f>
        <v>2.2264823735468831E-2</v>
      </c>
      <c r="O78">
        <f>(Table7[[#This Row],[disp_q4]]--0.00354)/-0.00354</f>
        <v>1.5509111740384147E-2</v>
      </c>
      <c r="P78">
        <f>(Table7[[#This Row],[disp_q8]]--0.00354)/-0.00354</f>
        <v>2.2802987253658195E-2</v>
      </c>
      <c r="Q78">
        <f>(Table7[[#This Row],[disp_q9]]--0.00354)/-0.00354</f>
        <v>2.2802987253658195E-2</v>
      </c>
    </row>
    <row r="79" spans="1:17" x14ac:dyDescent="0.3">
      <c r="A79">
        <v>138</v>
      </c>
      <c r="B79">
        <v>12</v>
      </c>
      <c r="C79">
        <v>3614</v>
      </c>
      <c r="D79">
        <v>-3.5009085826036E-3</v>
      </c>
      <c r="E79">
        <v>13850</v>
      </c>
      <c r="F79">
        <v>-3.5987070894535102E-3</v>
      </c>
      <c r="G79">
        <v>3614</v>
      </c>
      <c r="H79">
        <v>-3.5762226358001998E-3</v>
      </c>
      <c r="I79">
        <v>10538</v>
      </c>
      <c r="J79">
        <v>-3.6032763266002099E-3</v>
      </c>
      <c r="K79">
        <v>13850</v>
      </c>
      <c r="L79">
        <v>-3.6032763266002099E-3</v>
      </c>
      <c r="M79">
        <f>(Table7[[#This Row],[disp_t3]]--0.00354)/-0.00354</f>
        <v>-1.1042773275819267E-2</v>
      </c>
      <c r="N79">
        <f>(Table7[[#This Row],[disp_t6]]--0.00354)/-0.00354</f>
        <v>1.6583923574437852E-2</v>
      </c>
      <c r="O79">
        <f>(Table7[[#This Row],[disp_q4]]--0.00354)/-0.00354</f>
        <v>1.0232382994406675E-2</v>
      </c>
      <c r="P79">
        <f>(Table7[[#This Row],[disp_q8]]--0.00354)/-0.00354</f>
        <v>1.7874668531132676E-2</v>
      </c>
      <c r="Q79">
        <f>(Table7[[#This Row],[disp_q9]]--0.00354)/-0.00354</f>
        <v>1.7874668531132676E-2</v>
      </c>
    </row>
    <row r="80" spans="1:17" x14ac:dyDescent="0.3">
      <c r="A80">
        <v>115</v>
      </c>
      <c r="B80">
        <v>12</v>
      </c>
      <c r="C80">
        <v>3016</v>
      </c>
      <c r="D80">
        <v>-3.5370940920638502E-3</v>
      </c>
      <c r="E80">
        <v>11550</v>
      </c>
      <c r="F80">
        <v>-3.55531549240118E-3</v>
      </c>
      <c r="G80">
        <v>3016</v>
      </c>
      <c r="H80">
        <v>-3.6149600914319501E-3</v>
      </c>
      <c r="I80">
        <v>8790</v>
      </c>
      <c r="J80">
        <v>-3.5602322910055499E-3</v>
      </c>
      <c r="K80">
        <v>11550</v>
      </c>
      <c r="L80">
        <v>-3.5602322910055499E-3</v>
      </c>
      <c r="M80">
        <f>(Table7[[#This Row],[disp_t3]]--0.00354)/-0.00354</f>
        <v>-8.2087794806496304E-4</v>
      </c>
      <c r="N80">
        <f>(Table7[[#This Row],[disp_t6]]--0.00354)/-0.00354</f>
        <v>4.3264102828191658E-3</v>
      </c>
      <c r="O80">
        <f>(Table7[[#This Row],[disp_q4]]--0.00354)/-0.00354</f>
        <v>2.1175167071172288E-2</v>
      </c>
      <c r="P80">
        <f>(Table7[[#This Row],[disp_q8]]--0.00354)/-0.00354</f>
        <v>5.7153364422456929E-3</v>
      </c>
      <c r="Q80">
        <f>(Table7[[#This Row],[disp_q9]]--0.00354)/-0.00354</f>
        <v>5.7153364422456929E-3</v>
      </c>
    </row>
    <row r="81" spans="1:17" x14ac:dyDescent="0.3">
      <c r="A81">
        <v>96</v>
      </c>
      <c r="B81">
        <v>12</v>
      </c>
      <c r="C81">
        <v>2522</v>
      </c>
      <c r="D81">
        <v>-3.42516192315701E-3</v>
      </c>
      <c r="E81">
        <v>9650</v>
      </c>
      <c r="F81">
        <v>-3.5531507964200299E-3</v>
      </c>
      <c r="G81">
        <v>2522</v>
      </c>
      <c r="H81">
        <v>-3.5117791662233298E-3</v>
      </c>
      <c r="I81">
        <v>7346</v>
      </c>
      <c r="J81">
        <v>-3.5451793898853201E-3</v>
      </c>
      <c r="K81">
        <v>9650</v>
      </c>
      <c r="L81">
        <v>-3.5451793898853201E-3</v>
      </c>
      <c r="M81">
        <f>(Table7[[#This Row],[disp_t3]]--0.00354)/-0.00354</f>
        <v>-3.2440134701409669E-2</v>
      </c>
      <c r="N81">
        <f>(Table7[[#This Row],[disp_t6]]--0.00354)/-0.00354</f>
        <v>3.7149142429462479E-3</v>
      </c>
      <c r="O81">
        <f>(Table7[[#This Row],[disp_q4]]--0.00354)/-0.00354</f>
        <v>-7.9719869425622439E-3</v>
      </c>
      <c r="P81">
        <f>(Table7[[#This Row],[disp_q8]]--0.00354)/-0.00354</f>
        <v>1.4631044873785019E-3</v>
      </c>
      <c r="Q81">
        <f>(Table7[[#This Row],[disp_q9]]--0.00354)/-0.00354</f>
        <v>1.4631044873785019E-3</v>
      </c>
    </row>
    <row r="82" spans="1:17" x14ac:dyDescent="0.3">
      <c r="A82">
        <v>80</v>
      </c>
      <c r="B82">
        <v>12</v>
      </c>
      <c r="C82">
        <v>2106</v>
      </c>
      <c r="D82">
        <v>-3.3718064060174E-3</v>
      </c>
      <c r="E82">
        <v>8050</v>
      </c>
      <c r="F82">
        <v>-3.5154722942010502E-3</v>
      </c>
      <c r="G82">
        <v>2106</v>
      </c>
      <c r="H82">
        <v>-3.4677894446954001E-3</v>
      </c>
      <c r="I82">
        <v>6130</v>
      </c>
      <c r="J82">
        <v>-3.5073430720982601E-3</v>
      </c>
      <c r="K82">
        <v>8050</v>
      </c>
      <c r="L82">
        <v>-3.5073430720982601E-3</v>
      </c>
      <c r="M82">
        <f>(Table7[[#This Row],[disp_t3]]--0.00354)/-0.00354</f>
        <v>-4.7512314684350326E-2</v>
      </c>
      <c r="N82">
        <f>(Table7[[#This Row],[disp_t6]]--0.00354)/-0.00354</f>
        <v>-6.9287304516807858E-3</v>
      </c>
      <c r="O82">
        <f>(Table7[[#This Row],[disp_q4]]--0.00354)/-0.00354</f>
        <v>-2.0398461950452008E-2</v>
      </c>
      <c r="P82">
        <f>(Table7[[#This Row],[disp_q8]]--0.00354)/-0.00354</f>
        <v>-9.2251208761977635E-3</v>
      </c>
      <c r="Q82">
        <f>(Table7[[#This Row],[disp_q9]]--0.00354)/-0.00354</f>
        <v>-9.2251208761977635E-3</v>
      </c>
    </row>
    <row r="83" spans="1:17" x14ac:dyDescent="0.3">
      <c r="A83">
        <v>66</v>
      </c>
      <c r="B83">
        <v>12</v>
      </c>
      <c r="C83">
        <v>1742</v>
      </c>
      <c r="D83">
        <v>-3.30131892579528E-3</v>
      </c>
      <c r="E83">
        <v>6650</v>
      </c>
      <c r="F83">
        <v>-3.4594282803499599E-3</v>
      </c>
      <c r="G83">
        <v>1742</v>
      </c>
      <c r="H83">
        <v>-3.4107787794564201E-3</v>
      </c>
      <c r="I83">
        <v>5066</v>
      </c>
      <c r="J83">
        <v>-3.4565242739048401E-3</v>
      </c>
      <c r="K83">
        <v>6650</v>
      </c>
      <c r="L83">
        <v>-3.4565242739048401E-3</v>
      </c>
      <c r="M83">
        <f>(Table7[[#This Row],[disp_t3]]--0.00354)/-0.00354</f>
        <v>-6.7424032261220387E-2</v>
      </c>
      <c r="N83">
        <f>(Table7[[#This Row],[disp_t6]]--0.00354)/-0.00354</f>
        <v>-2.2760372782497252E-2</v>
      </c>
      <c r="O83">
        <f>(Table7[[#This Row],[disp_q4]]--0.00354)/-0.00354</f>
        <v>-3.6503169645079103E-2</v>
      </c>
      <c r="P83">
        <f>(Table7[[#This Row],[disp_q8]]--0.00354)/-0.00354</f>
        <v>-2.3580713586203412E-2</v>
      </c>
      <c r="Q83">
        <f>(Table7[[#This Row],[disp_q9]]--0.00354)/-0.00354</f>
        <v>-2.3580713586203412E-2</v>
      </c>
    </row>
    <row r="84" spans="1:17" x14ac:dyDescent="0.3">
      <c r="A84">
        <v>55</v>
      </c>
      <c r="B84">
        <v>12</v>
      </c>
      <c r="C84">
        <v>1456</v>
      </c>
      <c r="D84">
        <v>-3.38706310301987E-3</v>
      </c>
      <c r="E84">
        <v>5550</v>
      </c>
      <c r="F84">
        <v>-3.3524478669742599E-3</v>
      </c>
      <c r="G84">
        <v>1456</v>
      </c>
      <c r="H84">
        <v>-3.5062006294945898E-3</v>
      </c>
      <c r="I84">
        <v>4230</v>
      </c>
      <c r="J84">
        <v>-3.3590050691513101E-3</v>
      </c>
      <c r="K84">
        <v>5550</v>
      </c>
      <c r="L84">
        <v>-3.3590050691513101E-3</v>
      </c>
      <c r="M84">
        <f>(Table7[[#This Row],[disp_t3]]--0.00354)/-0.00354</f>
        <v>-4.3202513271223202E-2</v>
      </c>
      <c r="N84">
        <f>(Table7[[#This Row],[disp_t6]]--0.00354)/-0.00354</f>
        <v>-5.298082853834471E-2</v>
      </c>
      <c r="O84">
        <f>(Table7[[#This Row],[disp_q4]]--0.00354)/-0.00354</f>
        <v>-9.5478447755396496E-3</v>
      </c>
      <c r="P84">
        <f>(Table7[[#This Row],[disp_q8]]--0.00354)/-0.00354</f>
        <v>-5.1128511539177988E-2</v>
      </c>
      <c r="Q84">
        <f>(Table7[[#This Row],[disp_q9]]--0.00354)/-0.00354</f>
        <v>-5.1128511539177988E-2</v>
      </c>
    </row>
    <row r="85" spans="1:17" x14ac:dyDescent="0.3">
      <c r="A85">
        <v>46</v>
      </c>
      <c r="B85">
        <v>12</v>
      </c>
      <c r="C85">
        <v>1222</v>
      </c>
      <c r="D85">
        <v>-3.0936744478817701E-3</v>
      </c>
      <c r="E85">
        <v>4650</v>
      </c>
      <c r="F85">
        <v>-3.3149043512398901E-3</v>
      </c>
      <c r="G85">
        <v>1222</v>
      </c>
      <c r="H85">
        <v>-3.2405533697861299E-3</v>
      </c>
      <c r="I85">
        <v>3546</v>
      </c>
      <c r="J85">
        <v>-3.3179924150893302E-3</v>
      </c>
      <c r="K85">
        <v>4650</v>
      </c>
      <c r="L85">
        <v>-3.3179924150893302E-3</v>
      </c>
      <c r="M85">
        <f>(Table7[[#This Row],[disp_t3]]--0.00354)/-0.00354</f>
        <v>-0.12608066444017799</v>
      </c>
      <c r="N85">
        <f>(Table7[[#This Row],[disp_t6]]--0.00354)/-0.00354</f>
        <v>-6.3586341457658221E-2</v>
      </c>
      <c r="O85">
        <f>(Table7[[#This Row],[disp_q4]]--0.00354)/-0.00354</f>
        <v>-8.4589443563240205E-2</v>
      </c>
      <c r="P85">
        <f>(Table7[[#This Row],[disp_q8]]--0.00354)/-0.00354</f>
        <v>-6.2714007036912434E-2</v>
      </c>
      <c r="Q85">
        <f>(Table7[[#This Row],[disp_q9]]--0.00354)/-0.00354</f>
        <v>-6.2714007036912434E-2</v>
      </c>
    </row>
    <row r="86" spans="1:17" x14ac:dyDescent="0.3">
      <c r="A86">
        <v>38</v>
      </c>
      <c r="B86">
        <v>12</v>
      </c>
      <c r="C86">
        <v>1014</v>
      </c>
      <c r="D86">
        <v>-2.9422595771543799E-3</v>
      </c>
      <c r="E86">
        <v>3850</v>
      </c>
      <c r="F86">
        <v>-3.2082677110110598E-3</v>
      </c>
      <c r="G86">
        <v>1014</v>
      </c>
      <c r="H86">
        <v>-3.1152873789605001E-3</v>
      </c>
      <c r="I86">
        <v>2938</v>
      </c>
      <c r="J86">
        <v>-3.2140972852011799E-3</v>
      </c>
      <c r="K86">
        <v>3850</v>
      </c>
      <c r="L86">
        <v>-3.2140972852011799E-3</v>
      </c>
      <c r="M86">
        <f>(Table7[[#This Row],[disp_t3]]--0.00354)/-0.00354</f>
        <v>-0.16885322679254811</v>
      </c>
      <c r="N86">
        <f>(Table7[[#This Row],[disp_t6]]--0.00354)/-0.00354</f>
        <v>-9.3709686155067889E-2</v>
      </c>
      <c r="O86">
        <f>(Table7[[#This Row],[disp_q4]]--0.00354)/-0.00354</f>
        <v>-0.11997531667782486</v>
      </c>
      <c r="P86">
        <f>(Table7[[#This Row],[disp_q8]]--0.00354)/-0.00354</f>
        <v>-9.2062913784977468E-2</v>
      </c>
      <c r="Q86">
        <f>(Table7[[#This Row],[disp_q9]]--0.00354)/-0.00354</f>
        <v>-9.2062913784977468E-2</v>
      </c>
    </row>
    <row r="87" spans="1:17" x14ac:dyDescent="0.3">
      <c r="A87">
        <v>32</v>
      </c>
      <c r="B87">
        <v>12</v>
      </c>
      <c r="C87">
        <v>858</v>
      </c>
      <c r="D87">
        <v>-2.77773052310939E-3</v>
      </c>
      <c r="E87">
        <v>3250</v>
      </c>
      <c r="F87">
        <v>-3.0977822489422001E-3</v>
      </c>
      <c r="G87">
        <v>858</v>
      </c>
      <c r="H87">
        <v>-2.97706337274384E-3</v>
      </c>
      <c r="I87">
        <v>2482</v>
      </c>
      <c r="J87">
        <v>-3.0986279514173998E-3</v>
      </c>
      <c r="K87">
        <v>3250</v>
      </c>
      <c r="L87">
        <v>-3.0986279514173998E-3</v>
      </c>
      <c r="M87">
        <f>(Table7[[#This Row],[disp_t3]]--0.00354)/-0.00354</f>
        <v>-0.21533036070356221</v>
      </c>
      <c r="N87">
        <f>(Table7[[#This Row],[disp_t6]]--0.00354)/-0.00354</f>
        <v>-0.1249202686603955</v>
      </c>
      <c r="O87">
        <f>(Table7[[#This Row],[disp_q4]]--0.00354)/-0.00354</f>
        <v>-0.15902164611755937</v>
      </c>
      <c r="P87">
        <f>(Table7[[#This Row],[disp_q8]]--0.00354)/-0.00354</f>
        <v>-0.1246813696561018</v>
      </c>
      <c r="Q87">
        <f>(Table7[[#This Row],[disp_q9]]--0.00354)/-0.00354</f>
        <v>-0.1246813696561018</v>
      </c>
    </row>
    <row r="88" spans="1:17" x14ac:dyDescent="0.3">
      <c r="A88">
        <v>26</v>
      </c>
      <c r="B88">
        <v>12</v>
      </c>
      <c r="C88">
        <v>702</v>
      </c>
      <c r="D88">
        <v>-2.5474116421178999E-3</v>
      </c>
      <c r="E88">
        <v>2650</v>
      </c>
      <c r="F88">
        <v>-2.9163319574096501E-3</v>
      </c>
      <c r="G88">
        <v>702</v>
      </c>
      <c r="H88">
        <v>-2.78044861601119E-3</v>
      </c>
      <c r="I88">
        <v>2026</v>
      </c>
      <c r="J88">
        <v>-2.93294803028299E-3</v>
      </c>
      <c r="K88">
        <v>2650</v>
      </c>
      <c r="L88">
        <v>-2.93294803028299E-3</v>
      </c>
      <c r="M88">
        <f>(Table7[[#This Row],[disp_t3]]--0.00354)/-0.00354</f>
        <v>-0.28039219149211869</v>
      </c>
      <c r="N88">
        <f>(Table7[[#This Row],[disp_t6]]--0.00354)/-0.00354</f>
        <v>-0.17617741316111582</v>
      </c>
      <c r="O88">
        <f>(Table7[[#This Row],[disp_q4]]--0.00354)/-0.00354</f>
        <v>-0.21456253784994636</v>
      </c>
      <c r="P88">
        <f>(Table7[[#This Row],[disp_q8]]--0.00354)/-0.00354</f>
        <v>-0.17148360726469214</v>
      </c>
      <c r="Q88">
        <f>(Table7[[#This Row],[disp_q9]]--0.00354)/-0.00354</f>
        <v>-0.17148360726469214</v>
      </c>
    </row>
    <row r="89" spans="1:17" x14ac:dyDescent="0.3">
      <c r="A89">
        <v>22</v>
      </c>
      <c r="B89">
        <v>12</v>
      </c>
      <c r="C89">
        <v>598</v>
      </c>
      <c r="D89">
        <v>-2.3324485206727701E-3</v>
      </c>
      <c r="E89">
        <v>2250</v>
      </c>
      <c r="F89">
        <v>-2.75469625014066E-3</v>
      </c>
      <c r="G89">
        <v>598</v>
      </c>
      <c r="H89">
        <v>-2.5919566602018401E-3</v>
      </c>
      <c r="I89">
        <v>1722</v>
      </c>
      <c r="J89">
        <v>-2.7714620313883599E-3</v>
      </c>
      <c r="K89">
        <v>2250</v>
      </c>
      <c r="L89">
        <v>-2.7714620313883599E-3</v>
      </c>
      <c r="M89">
        <f>(Table7[[#This Row],[disp_t3]]--0.00354)/-0.00354</f>
        <v>-0.34111623709808758</v>
      </c>
      <c r="N89">
        <f>(Table7[[#This Row],[disp_t6]]--0.00354)/-0.00354</f>
        <v>-0.22183721747438986</v>
      </c>
      <c r="O89">
        <f>(Table7[[#This Row],[disp_q4]]--0.00354)/-0.00354</f>
        <v>-0.2678088530503277</v>
      </c>
      <c r="P89">
        <f>(Table7[[#This Row],[disp_q8]]--0.00354)/-0.00354</f>
        <v>-0.21710112107673452</v>
      </c>
      <c r="Q89">
        <f>(Table7[[#This Row],[disp_q9]]--0.00354)/-0.00354</f>
        <v>-0.21710112107673452</v>
      </c>
    </row>
    <row r="90" spans="1:17" x14ac:dyDescent="0.3">
      <c r="A90">
        <v>18</v>
      </c>
      <c r="B90">
        <v>12</v>
      </c>
      <c r="C90">
        <v>494</v>
      </c>
      <c r="D90">
        <v>-2.0586474136501899E-3</v>
      </c>
      <c r="E90">
        <v>1850</v>
      </c>
      <c r="F90">
        <v>-2.5429329443619401E-3</v>
      </c>
      <c r="G90">
        <v>494</v>
      </c>
      <c r="H90">
        <v>-2.34929765264513E-3</v>
      </c>
      <c r="I90">
        <v>1418</v>
      </c>
      <c r="J90">
        <v>-2.5597594974935299E-3</v>
      </c>
      <c r="K90">
        <v>1850</v>
      </c>
      <c r="L90">
        <v>-2.5597594974935299E-3</v>
      </c>
      <c r="M90">
        <f>(Table7[[#This Row],[disp_t3]]--0.00354)/-0.00354</f>
        <v>-0.41846118258469217</v>
      </c>
      <c r="N90">
        <f>(Table7[[#This Row],[disp_t6]]--0.00354)/-0.00354</f>
        <v>-0.28165736034973449</v>
      </c>
      <c r="O90">
        <f>(Table7[[#This Row],[disp_q4]]--0.00354)/-0.00354</f>
        <v>-0.33635659529798589</v>
      </c>
      <c r="P90">
        <f>(Table7[[#This Row],[disp_q8]]--0.00354)/-0.00354</f>
        <v>-0.27690409675324018</v>
      </c>
      <c r="Q90">
        <f>(Table7[[#This Row],[disp_q9]]--0.00354)/-0.00354</f>
        <v>-0.27690409675324018</v>
      </c>
    </row>
    <row r="91" spans="1:17" x14ac:dyDescent="0.3">
      <c r="A91">
        <v>15</v>
      </c>
      <c r="B91">
        <v>12</v>
      </c>
      <c r="C91">
        <v>416</v>
      </c>
      <c r="D91">
        <v>-2.25826387817605E-3</v>
      </c>
      <c r="E91">
        <v>1550</v>
      </c>
      <c r="F91">
        <v>-2.2194140416078598E-3</v>
      </c>
      <c r="G91">
        <v>416</v>
      </c>
      <c r="H91">
        <v>-2.6849314851204102E-3</v>
      </c>
      <c r="I91">
        <v>1190</v>
      </c>
      <c r="J91">
        <v>-2.2557565897737301E-3</v>
      </c>
      <c r="K91">
        <v>1550</v>
      </c>
      <c r="L91">
        <v>-2.2557565897737301E-3</v>
      </c>
      <c r="M91">
        <f>(Table7[[#This Row],[disp_t3]]--0.00354)/-0.00354</f>
        <v>-0.36207235079772598</v>
      </c>
      <c r="N91">
        <f>(Table7[[#This Row],[disp_t6]]--0.00354)/-0.00354</f>
        <v>-0.37304688090173455</v>
      </c>
      <c r="O91">
        <f>(Table7[[#This Row],[disp_q4]]--0.00354)/-0.00354</f>
        <v>-0.24154477821457343</v>
      </c>
      <c r="P91">
        <f>(Table7[[#This Row],[disp_q8]]--0.00354)/-0.00354</f>
        <v>-0.36278062435770342</v>
      </c>
      <c r="Q91">
        <f>(Table7[[#This Row],[disp_q9]]--0.00354)/-0.00354</f>
        <v>-0.36278062435770342</v>
      </c>
    </row>
    <row r="92" spans="1:17" x14ac:dyDescent="0.3">
      <c r="A92">
        <v>12</v>
      </c>
      <c r="B92">
        <v>12</v>
      </c>
      <c r="C92">
        <v>338</v>
      </c>
      <c r="D92">
        <v>-1.45530886719544E-3</v>
      </c>
      <c r="E92">
        <v>1250</v>
      </c>
      <c r="F92">
        <v>-2.0609439810464398E-3</v>
      </c>
      <c r="G92">
        <v>338</v>
      </c>
      <c r="H92">
        <v>-1.79410560561382E-3</v>
      </c>
      <c r="I92">
        <v>962</v>
      </c>
      <c r="J92">
        <v>-2.0864089581593098E-3</v>
      </c>
      <c r="K92">
        <v>1250</v>
      </c>
      <c r="L92">
        <v>-2.0864089581593098E-3</v>
      </c>
      <c r="M92">
        <f>(Table7[[#This Row],[disp_t3]]--0.00354)/-0.00354</f>
        <v>-0.58889580022727694</v>
      </c>
      <c r="N92">
        <f>(Table7[[#This Row],[disp_t6]]--0.00354)/-0.00354</f>
        <v>-0.41781243473264418</v>
      </c>
      <c r="O92">
        <f>(Table7[[#This Row],[disp_q4]]--0.00354)/-0.00354</f>
        <v>-0.49319050688875143</v>
      </c>
      <c r="P92">
        <f>(Table7[[#This Row],[disp_q8]]--0.00354)/-0.00354</f>
        <v>-0.41061893837307634</v>
      </c>
      <c r="Q92">
        <f>(Table7[[#This Row],[disp_q9]]--0.00354)/-0.00354</f>
        <v>-0.41061893837307634</v>
      </c>
    </row>
    <row r="93" spans="1:17" x14ac:dyDescent="0.3">
      <c r="A93">
        <v>10</v>
      </c>
      <c r="B93">
        <v>12</v>
      </c>
      <c r="C93">
        <v>286</v>
      </c>
      <c r="D93">
        <v>-1.1843916259870199E-3</v>
      </c>
      <c r="E93">
        <v>1050</v>
      </c>
      <c r="F93">
        <v>-1.83185353928935E-3</v>
      </c>
      <c r="G93">
        <v>286</v>
      </c>
      <c r="H93">
        <v>-1.53161026698454E-3</v>
      </c>
      <c r="I93">
        <v>810</v>
      </c>
      <c r="J93">
        <v>-1.8635250680051E-3</v>
      </c>
      <c r="K93">
        <v>1050</v>
      </c>
      <c r="L93">
        <v>-1.8635250680051E-3</v>
      </c>
      <c r="M93">
        <f>(Table7[[#This Row],[disp_t3]]--0.00354)/-0.00354</f>
        <v>-0.66542609435394917</v>
      </c>
      <c r="N93">
        <f>(Table7[[#This Row],[disp_t6]]--0.00354)/-0.00354</f>
        <v>-0.48252724878831926</v>
      </c>
      <c r="O93">
        <f>(Table7[[#This Row],[disp_q4]]--0.00354)/-0.00354</f>
        <v>-0.567341732490243</v>
      </c>
      <c r="P93">
        <f>(Table7[[#This Row],[disp_q8]]--0.00354)/-0.00354</f>
        <v>-0.47358048926409607</v>
      </c>
      <c r="Q93">
        <f>(Table7[[#This Row],[disp_q9]]--0.00354)/-0.00354</f>
        <v>-0.47358048926409607</v>
      </c>
    </row>
    <row r="94" spans="1:17" x14ac:dyDescent="0.3">
      <c r="A94">
        <v>8</v>
      </c>
      <c r="B94">
        <v>12</v>
      </c>
      <c r="C94">
        <v>234</v>
      </c>
      <c r="D94">
        <v>-8.6563802425558697E-4</v>
      </c>
      <c r="E94">
        <v>850</v>
      </c>
      <c r="F94">
        <v>-1.53528645311714E-3</v>
      </c>
      <c r="G94">
        <v>234</v>
      </c>
      <c r="H94">
        <v>-1.19601370528722E-3</v>
      </c>
      <c r="I94">
        <v>658</v>
      </c>
      <c r="J94">
        <v>-1.5677646741078101E-3</v>
      </c>
      <c r="K94">
        <v>850</v>
      </c>
      <c r="L94">
        <v>-1.5677646741078101E-3</v>
      </c>
      <c r="M94">
        <f>(Table7[[#This Row],[disp_t3]]--0.00354)/-0.00354</f>
        <v>-0.75546948467356301</v>
      </c>
      <c r="N94">
        <f>(Table7[[#This Row],[disp_t6]]--0.00354)/-0.00354</f>
        <v>-0.56630326183131641</v>
      </c>
      <c r="O94">
        <f>(Table7[[#This Row],[disp_q4]]--0.00354)/-0.00354</f>
        <v>-0.66214302110530521</v>
      </c>
      <c r="P94">
        <f>(Table7[[#This Row],[disp_q8]]--0.00354)/-0.00354</f>
        <v>-0.55712862313338696</v>
      </c>
      <c r="Q94">
        <f>(Table7[[#This Row],[disp_q9]]--0.00354)/-0.00354</f>
        <v>-0.55712862313338696</v>
      </c>
    </row>
    <row r="95" spans="1:17" x14ac:dyDescent="0.3">
      <c r="A95">
        <v>7</v>
      </c>
      <c r="B95">
        <v>12</v>
      </c>
      <c r="C95">
        <v>208</v>
      </c>
      <c r="D95">
        <v>-1.08112817610539E-3</v>
      </c>
      <c r="E95">
        <v>750</v>
      </c>
      <c r="F95">
        <v>-1.27054941279241E-3</v>
      </c>
      <c r="G95">
        <v>208</v>
      </c>
      <c r="H95">
        <v>-1.5798418357058899E-3</v>
      </c>
      <c r="I95">
        <v>582</v>
      </c>
      <c r="J95">
        <v>-1.2945136929465801E-3</v>
      </c>
      <c r="K95">
        <v>750</v>
      </c>
      <c r="L95">
        <v>-1.2945136929465801E-3</v>
      </c>
      <c r="M95">
        <f>(Table7[[#This Row],[disp_t3]]--0.00354)/-0.00354</f>
        <v>-0.69459656042220619</v>
      </c>
      <c r="N95">
        <f>(Table7[[#This Row],[disp_t6]]--0.00354)/-0.00354</f>
        <v>-0.64108773649931916</v>
      </c>
      <c r="O95">
        <f>(Table7[[#This Row],[disp_q4]]--0.00354)/-0.00354</f>
        <v>-0.553716995563308</v>
      </c>
      <c r="P95">
        <f>(Table7[[#This Row],[disp_q8]]--0.00354)/-0.00354</f>
        <v>-0.63431816583429945</v>
      </c>
      <c r="Q95">
        <f>(Table7[[#This Row],[disp_q9]]--0.00354)/-0.00354</f>
        <v>-0.63431816583429945</v>
      </c>
    </row>
    <row r="96" spans="1:17" x14ac:dyDescent="0.3">
      <c r="A96">
        <v>6</v>
      </c>
      <c r="B96">
        <v>12</v>
      </c>
      <c r="C96">
        <v>182</v>
      </c>
      <c r="D96">
        <v>-5.1658214132457305E-4</v>
      </c>
      <c r="E96">
        <v>650</v>
      </c>
      <c r="F96">
        <v>-1.12072237677819E-3</v>
      </c>
      <c r="G96">
        <v>182</v>
      </c>
      <c r="H96">
        <v>-7.74983187148024E-4</v>
      </c>
      <c r="I96">
        <v>506</v>
      </c>
      <c r="J96">
        <v>-1.1605556224219299E-3</v>
      </c>
      <c r="K96">
        <v>650</v>
      </c>
      <c r="L96">
        <v>-1.1605556224219299E-3</v>
      </c>
      <c r="M96">
        <f>(Table7[[#This Row],[disp_t3]]--0.00354)/-0.00354</f>
        <v>-0.85407284143373652</v>
      </c>
      <c r="N96">
        <f>(Table7[[#This Row],[disp_t6]]--0.00354)/-0.00354</f>
        <v>-0.68341175797226272</v>
      </c>
      <c r="O96">
        <f>(Table7[[#This Row],[disp_q4]]--0.00354)/-0.00354</f>
        <v>-0.78107819572089721</v>
      </c>
      <c r="P96">
        <f>(Table7[[#This Row],[disp_q8]]--0.00354)/-0.00354</f>
        <v>-0.67215942869437006</v>
      </c>
      <c r="Q96">
        <f>(Table7[[#This Row],[disp_q9]]--0.00354)/-0.00354</f>
        <v>-0.67215942869437006</v>
      </c>
    </row>
    <row r="97" spans="1:17" x14ac:dyDescent="0.3">
      <c r="A97">
        <v>5</v>
      </c>
      <c r="B97">
        <v>12</v>
      </c>
      <c r="C97">
        <v>156</v>
      </c>
      <c r="D97">
        <v>-6.6271351527173695E-4</v>
      </c>
      <c r="E97">
        <v>550</v>
      </c>
      <c r="F97">
        <v>-7.9476843232182304E-4</v>
      </c>
      <c r="G97">
        <v>156</v>
      </c>
      <c r="H97">
        <v>-1.06326011977206E-3</v>
      </c>
      <c r="I97">
        <v>430</v>
      </c>
      <c r="J97">
        <v>-8.2714725813282195E-4</v>
      </c>
      <c r="K97">
        <v>550</v>
      </c>
      <c r="L97">
        <v>-8.2714725813282195E-4</v>
      </c>
      <c r="M97">
        <f>(Table7[[#This Row],[disp_t3]]--0.00354)/-0.00354</f>
        <v>-0.81279279229611956</v>
      </c>
      <c r="N97">
        <f>(Table7[[#This Row],[disp_t6]]--0.00354)/-0.00354</f>
        <v>-0.77548914341191433</v>
      </c>
      <c r="O97">
        <f>(Table7[[#This Row],[disp_q4]]--0.00354)/-0.00354</f>
        <v>-0.69964403396269503</v>
      </c>
      <c r="P97">
        <f>(Table7[[#This Row],[disp_q8]]--0.00354)/-0.00354</f>
        <v>-0.7663425824483554</v>
      </c>
      <c r="Q97">
        <f>(Table7[[#This Row],[disp_q9]]--0.00354)/-0.00354</f>
        <v>-0.7663425824483554</v>
      </c>
    </row>
    <row r="98" spans="1:17" x14ac:dyDescent="0.3">
      <c r="A98">
        <v>4</v>
      </c>
      <c r="B98">
        <v>12</v>
      </c>
      <c r="C98">
        <v>130</v>
      </c>
      <c r="D98">
        <v>-1.8968914281322101E-4</v>
      </c>
      <c r="E98">
        <v>450</v>
      </c>
      <c r="F98">
        <v>-5.1795524891294696E-4</v>
      </c>
      <c r="G98">
        <v>130</v>
      </c>
      <c r="H98">
        <v>-2.9377292008046801E-4</v>
      </c>
      <c r="I98">
        <v>354</v>
      </c>
      <c r="J98">
        <v>-5.7321335402119305E-4</v>
      </c>
      <c r="K98">
        <v>450</v>
      </c>
      <c r="L98">
        <v>-5.7321335402119305E-4</v>
      </c>
      <c r="M98">
        <f>(Table7[[#This Row],[disp_t3]]--0.00354)/-0.00354</f>
        <v>-0.94641549638044598</v>
      </c>
      <c r="N98">
        <f>(Table7[[#This Row],[disp_t6]]--0.00354)/-0.00354</f>
        <v>-0.85368495793419585</v>
      </c>
      <c r="O98">
        <f>(Table7[[#This Row],[disp_q4]]--0.00354)/-0.00354</f>
        <v>-0.91701329941229726</v>
      </c>
      <c r="P98">
        <f>(Table7[[#This Row],[disp_q8]]--0.00354)/-0.00354</f>
        <v>-0.83807532372282689</v>
      </c>
      <c r="Q98">
        <f>(Table7[[#This Row],[disp_q9]]--0.00354)/-0.00354</f>
        <v>-0.83807532372282689</v>
      </c>
    </row>
    <row r="99" spans="1:17" x14ac:dyDescent="0.3">
      <c r="A99">
        <v>3</v>
      </c>
      <c r="B99">
        <v>12</v>
      </c>
      <c r="C99">
        <v>104</v>
      </c>
      <c r="D99">
        <v>-2.5784374951894903E-4</v>
      </c>
      <c r="E99">
        <v>350</v>
      </c>
      <c r="F99">
        <v>-1.78375883344719E-4</v>
      </c>
      <c r="G99">
        <v>104</v>
      </c>
      <c r="H99">
        <v>-4.2198327414660197E-4</v>
      </c>
      <c r="I99">
        <v>278</v>
      </c>
      <c r="J99">
        <v>-1.8899481984792899E-4</v>
      </c>
      <c r="K99">
        <v>350</v>
      </c>
      <c r="L99">
        <v>-1.8899481984792899E-4</v>
      </c>
      <c r="M99">
        <f>(Table7[[#This Row],[disp_t3]]--0.00354)/-0.00354</f>
        <v>-0.92716278262176588</v>
      </c>
      <c r="N99">
        <f>(Table7[[#This Row],[disp_t6]]--0.00354)/-0.00354</f>
        <v>-0.94961133238849738</v>
      </c>
      <c r="O99">
        <f>(Table7[[#This Row],[disp_q4]]--0.00354)/-0.00354</f>
        <v>-0.8807956852693215</v>
      </c>
      <c r="P99">
        <f>(Table7[[#This Row],[disp_q8]]--0.00354)/-0.00354</f>
        <v>-0.94661163281131944</v>
      </c>
      <c r="Q99">
        <f>(Table7[[#This Row],[disp_q9]]--0.00354)/-0.00354</f>
        <v>-0.94661163281131944</v>
      </c>
    </row>
    <row r="100" spans="1:17" x14ac:dyDescent="0.3">
      <c r="A100">
        <v>2</v>
      </c>
      <c r="B100">
        <v>12</v>
      </c>
      <c r="C100">
        <v>78</v>
      </c>
      <c r="D100" s="7">
        <v>-5.4787513728227504E-6</v>
      </c>
      <c r="E100">
        <v>250</v>
      </c>
      <c r="F100" s="7">
        <v>-1.60843425147041E-5</v>
      </c>
      <c r="G100">
        <v>78</v>
      </c>
      <c r="H100" s="7">
        <v>-9.1932690876967201E-6</v>
      </c>
      <c r="I100">
        <v>202</v>
      </c>
      <c r="J100" s="7">
        <v>-1.71193325551533E-5</v>
      </c>
      <c r="K100">
        <v>250</v>
      </c>
      <c r="L100" s="7">
        <v>-1.71193325551533E-5</v>
      </c>
      <c r="M100">
        <f>(Table7[[#This Row],[disp_t3]]--0.00354)/-0.00354</f>
        <v>-0.99845233012067158</v>
      </c>
      <c r="N100">
        <f>(Table7[[#This Row],[disp_t6]]--0.00354)/-0.00354</f>
        <v>-0.99545640041957517</v>
      </c>
      <c r="O100">
        <f>(Table7[[#This Row],[disp_q4]]--0.00354)/-0.00354</f>
        <v>-0.99740303133115915</v>
      </c>
      <c r="P100">
        <f>(Table7[[#This Row],[disp_q8]]--0.00354)/-0.00354</f>
        <v>-0.99516403035165157</v>
      </c>
      <c r="Q100">
        <f>(Table7[[#This Row],[disp_q9]]--0.00354)/-0.00354</f>
        <v>-0.99516403035165157</v>
      </c>
    </row>
    <row r="101" spans="1:17" x14ac:dyDescent="0.3">
      <c r="A101">
        <v>1</v>
      </c>
      <c r="B101">
        <v>12</v>
      </c>
      <c r="C101">
        <v>52</v>
      </c>
      <c r="D101" s="7">
        <v>-2.2982790107938202E-6</v>
      </c>
      <c r="E101">
        <v>150</v>
      </c>
      <c r="F101" s="7">
        <v>-8.2650171878284103E-6</v>
      </c>
      <c r="G101">
        <v>52</v>
      </c>
      <c r="H101" s="7">
        <v>-3.4545418001401799E-6</v>
      </c>
      <c r="I101">
        <v>126</v>
      </c>
      <c r="J101" s="7">
        <v>-1.2753708943128E-5</v>
      </c>
      <c r="K101">
        <v>150</v>
      </c>
      <c r="L101" s="7">
        <v>-1.2753708943128E-5</v>
      </c>
      <c r="M101">
        <f>(Table7[[#This Row],[disp_t3]]--0.00354)/-0.00354</f>
        <v>-0.99935076864101879</v>
      </c>
      <c r="N101">
        <f>(Table7[[#This Row],[disp_t6]]--0.00354)/-0.00354</f>
        <v>-0.99766524938196943</v>
      </c>
      <c r="O101">
        <f>(Table7[[#This Row],[disp_q4]]--0.00354)/-0.00354</f>
        <v>-0.99902414073442369</v>
      </c>
      <c r="P101">
        <f>(Table7[[#This Row],[disp_q8]]--0.00354)/-0.00354</f>
        <v>-0.99639725736069829</v>
      </c>
      <c r="Q101">
        <f>(Table7[[#This Row],[disp_q9]]--0.00354)/-0.00354</f>
        <v>-0.99639725736069829</v>
      </c>
    </row>
    <row r="102" spans="1:17" x14ac:dyDescent="0.3">
      <c r="A102">
        <v>200</v>
      </c>
      <c r="B102">
        <v>9</v>
      </c>
      <c r="C102">
        <v>4020</v>
      </c>
      <c r="D102">
        <v>-3.4946087949783398E-3</v>
      </c>
      <c r="E102">
        <v>15238</v>
      </c>
      <c r="F102">
        <v>-3.63102186251391E-3</v>
      </c>
      <c r="G102">
        <v>4020</v>
      </c>
      <c r="H102">
        <v>-3.6023665186957301E-3</v>
      </c>
      <c r="I102">
        <v>11638</v>
      </c>
      <c r="J102">
        <v>-3.6354785306491702E-3</v>
      </c>
      <c r="K102">
        <v>15238</v>
      </c>
      <c r="L102">
        <v>-3.6354785306491702E-3</v>
      </c>
      <c r="M102">
        <f>(Table7[[#This Row],[disp_t3]]--0.00354)/-0.00354</f>
        <v>-1.2822374299904049E-2</v>
      </c>
      <c r="N102">
        <f>(Table7[[#This Row],[disp_t6]]--0.00354)/-0.00354</f>
        <v>2.5712390540652497E-2</v>
      </c>
      <c r="O102">
        <f>(Table7[[#This Row],[disp_q4]]--0.00354)/-0.00354</f>
        <v>1.761766064851128E-2</v>
      </c>
      <c r="P102">
        <f>(Table7[[#This Row],[disp_q8]]--0.00354)/-0.00354</f>
        <v>2.6971336341573438E-2</v>
      </c>
      <c r="Q102">
        <f>(Table7[[#This Row],[disp_q9]]--0.00354)/-0.00354</f>
        <v>2.6971336341573438E-2</v>
      </c>
    </row>
    <row r="103" spans="1:17" x14ac:dyDescent="0.3">
      <c r="A103">
        <v>166</v>
      </c>
      <c r="B103">
        <v>9</v>
      </c>
      <c r="C103">
        <v>3340</v>
      </c>
      <c r="D103">
        <v>-3.4749656132497201E-3</v>
      </c>
      <c r="E103">
        <v>12654</v>
      </c>
      <c r="F103">
        <v>-3.6125482073721699E-3</v>
      </c>
      <c r="G103">
        <v>3340</v>
      </c>
      <c r="H103">
        <v>-3.5846574500605702E-3</v>
      </c>
      <c r="I103">
        <v>9666</v>
      </c>
      <c r="J103">
        <v>-3.6180063749835902E-3</v>
      </c>
      <c r="K103">
        <v>12654</v>
      </c>
      <c r="L103">
        <v>-3.6180063749835902E-3</v>
      </c>
      <c r="M103">
        <f>(Table7[[#This Row],[disp_t3]]--0.00354)/-0.00354</f>
        <v>-1.8371295692169512E-2</v>
      </c>
      <c r="N103">
        <f>(Table7[[#This Row],[disp_t6]]--0.00354)/-0.00354</f>
        <v>2.0493843890443432E-2</v>
      </c>
      <c r="O103">
        <f>(Table7[[#This Row],[disp_q4]]--0.00354)/-0.00354</f>
        <v>1.2615098887166668E-2</v>
      </c>
      <c r="P103">
        <f>(Table7[[#This Row],[disp_q8]]--0.00354)/-0.00354</f>
        <v>2.2035699147906779E-2</v>
      </c>
      <c r="Q103">
        <f>(Table7[[#This Row],[disp_q9]]--0.00354)/-0.00354</f>
        <v>2.2035699147906779E-2</v>
      </c>
    </row>
    <row r="104" spans="1:17" x14ac:dyDescent="0.3">
      <c r="A104">
        <v>138</v>
      </c>
      <c r="B104">
        <v>9</v>
      </c>
      <c r="C104">
        <v>2780</v>
      </c>
      <c r="D104">
        <v>-3.4501827558258702E-3</v>
      </c>
      <c r="E104">
        <v>10526</v>
      </c>
      <c r="F104">
        <v>-3.6036665441073899E-3</v>
      </c>
      <c r="G104">
        <v>2780</v>
      </c>
      <c r="H104">
        <v>-3.5628284733417699E-3</v>
      </c>
      <c r="I104">
        <v>8042</v>
      </c>
      <c r="J104">
        <v>-3.5972685652405998E-3</v>
      </c>
      <c r="K104">
        <v>10526</v>
      </c>
      <c r="L104">
        <v>-3.5972685652405998E-3</v>
      </c>
      <c r="M104">
        <f>(Table7[[#This Row],[disp_t3]]--0.00354)/-0.00354</f>
        <v>-2.5372102874048015E-2</v>
      </c>
      <c r="N104">
        <f>(Table7[[#This Row],[disp_t6]]--0.00354)/-0.00354</f>
        <v>1.7984899465364339E-2</v>
      </c>
      <c r="O104">
        <f>(Table7[[#This Row],[disp_q4]]--0.00354)/-0.00354</f>
        <v>6.4487212829858103E-3</v>
      </c>
      <c r="P104">
        <f>(Table7[[#This Row],[disp_q8]]--0.00354)/-0.00354</f>
        <v>1.6177560802429273E-2</v>
      </c>
      <c r="Q104">
        <f>(Table7[[#This Row],[disp_q9]]--0.00354)/-0.00354</f>
        <v>1.6177560802429273E-2</v>
      </c>
    </row>
    <row r="105" spans="1:17" x14ac:dyDescent="0.3">
      <c r="A105">
        <v>115</v>
      </c>
      <c r="B105">
        <v>9</v>
      </c>
      <c r="C105">
        <v>2320</v>
      </c>
      <c r="D105">
        <v>-3.4914625094167001E-3</v>
      </c>
      <c r="E105">
        <v>8778</v>
      </c>
      <c r="F105">
        <v>-3.5502824720178099E-3</v>
      </c>
      <c r="G105">
        <v>2320</v>
      </c>
      <c r="H105">
        <v>-3.6057743256161299E-3</v>
      </c>
      <c r="I105">
        <v>6708</v>
      </c>
      <c r="J105">
        <v>-3.5553701157493801E-3</v>
      </c>
      <c r="K105">
        <v>8778</v>
      </c>
      <c r="L105">
        <v>-3.5553701157493801E-3</v>
      </c>
      <c r="M105">
        <f>(Table7[[#This Row],[disp_t3]]--0.00354)/-0.00354</f>
        <v>-1.3711155532005673E-2</v>
      </c>
      <c r="N105">
        <f>(Table7[[#This Row],[disp_t6]]--0.00354)/-0.00354</f>
        <v>2.904653112375631E-3</v>
      </c>
      <c r="O105">
        <f>(Table7[[#This Row],[disp_q4]]--0.00354)/-0.00354</f>
        <v>1.8580317970658122E-2</v>
      </c>
      <c r="P105">
        <f>(Table7[[#This Row],[disp_q8]]--0.00354)/-0.00354</f>
        <v>4.3418406071694705E-3</v>
      </c>
      <c r="Q105">
        <f>(Table7[[#This Row],[disp_q9]]--0.00354)/-0.00354</f>
        <v>4.3418406071694705E-3</v>
      </c>
    </row>
    <row r="106" spans="1:17" x14ac:dyDescent="0.3">
      <c r="A106">
        <v>96</v>
      </c>
      <c r="B106">
        <v>9</v>
      </c>
      <c r="C106">
        <v>1940</v>
      </c>
      <c r="D106">
        <v>-3.37884981188003E-3</v>
      </c>
      <c r="E106">
        <v>7334</v>
      </c>
      <c r="F106">
        <v>-3.5429601138206599E-3</v>
      </c>
      <c r="G106">
        <v>1940</v>
      </c>
      <c r="H106">
        <v>-3.5017587220721701E-3</v>
      </c>
      <c r="I106">
        <v>5606</v>
      </c>
      <c r="J106">
        <v>-3.54195586615344E-3</v>
      </c>
      <c r="K106">
        <v>7334</v>
      </c>
      <c r="L106">
        <v>-3.54195586615344E-3</v>
      </c>
      <c r="M106">
        <f>(Table7[[#This Row],[disp_t3]]--0.00354)/-0.00354</f>
        <v>-4.552265201129102E-2</v>
      </c>
      <c r="N106">
        <f>(Table7[[#This Row],[disp_t6]]--0.00354)/-0.00354</f>
        <v>8.3619034481912334E-4</v>
      </c>
      <c r="O106">
        <f>(Table7[[#This Row],[disp_q4]]--0.00354)/-0.00354</f>
        <v>-1.0802620883567827E-2</v>
      </c>
      <c r="P106">
        <f>(Table7[[#This Row],[disp_q8]]--0.00354)/-0.00354</f>
        <v>5.5250456311860708E-4</v>
      </c>
      <c r="Q106">
        <f>(Table7[[#This Row],[disp_q9]]--0.00354)/-0.00354</f>
        <v>5.5250456311860708E-4</v>
      </c>
    </row>
    <row r="107" spans="1:17" x14ac:dyDescent="0.3">
      <c r="A107">
        <v>80</v>
      </c>
      <c r="B107">
        <v>9</v>
      </c>
      <c r="C107">
        <v>1620</v>
      </c>
      <c r="D107">
        <v>-3.3265695126890298E-3</v>
      </c>
      <c r="E107">
        <v>6118</v>
      </c>
      <c r="F107">
        <v>-3.50527628975611E-3</v>
      </c>
      <c r="G107">
        <v>1620</v>
      </c>
      <c r="H107">
        <v>-3.45782518806007E-3</v>
      </c>
      <c r="I107">
        <v>4678</v>
      </c>
      <c r="J107">
        <v>-3.5035618855021699E-3</v>
      </c>
      <c r="K107">
        <v>6118</v>
      </c>
      <c r="L107">
        <v>-3.5035618855021699E-3</v>
      </c>
      <c r="M107">
        <f>(Table7[[#This Row],[disp_t3]]--0.00354)/-0.00354</f>
        <v>-6.02910981104436E-2</v>
      </c>
      <c r="N107">
        <f>(Table7[[#This Row],[disp_t6]]--0.00354)/-0.00354</f>
        <v>-9.8089576960141613E-3</v>
      </c>
      <c r="O107">
        <f>(Table7[[#This Row],[disp_q4]]--0.00354)/-0.00354</f>
        <v>-2.3213223711844682E-2</v>
      </c>
      <c r="P107">
        <f>(Table7[[#This Row],[disp_q8]]--0.00354)/-0.00354</f>
        <v>-1.0293252683002891E-2</v>
      </c>
      <c r="Q107">
        <f>(Table7[[#This Row],[disp_q9]]--0.00354)/-0.00354</f>
        <v>-1.0293252683002891E-2</v>
      </c>
    </row>
    <row r="108" spans="1:17" x14ac:dyDescent="0.3">
      <c r="A108">
        <v>66</v>
      </c>
      <c r="B108">
        <v>9</v>
      </c>
      <c r="C108">
        <v>1340</v>
      </c>
      <c r="D108">
        <v>-3.2544752124953301E-3</v>
      </c>
      <c r="E108">
        <v>5054</v>
      </c>
      <c r="F108">
        <v>-3.4518033577095302E-3</v>
      </c>
      <c r="G108">
        <v>1340</v>
      </c>
      <c r="H108">
        <v>-3.3976829804555899E-3</v>
      </c>
      <c r="I108">
        <v>3866</v>
      </c>
      <c r="J108">
        <v>-3.46131495559821E-3</v>
      </c>
      <c r="K108">
        <v>5054</v>
      </c>
      <c r="L108">
        <v>-3.46131495559821E-3</v>
      </c>
      <c r="M108">
        <f>(Table7[[#This Row],[disp_t3]]--0.00354)/-0.00354</f>
        <v>-8.065671963408759E-2</v>
      </c>
      <c r="N108">
        <f>(Table7[[#This Row],[disp_t6]]--0.00354)/-0.00354</f>
        <v>-2.4914305731771176E-2</v>
      </c>
      <c r="O108">
        <f>(Table7[[#This Row],[disp_q4]]--0.00354)/-0.00354</f>
        <v>-4.0202547893901194E-2</v>
      </c>
      <c r="P108">
        <f>(Table7[[#This Row],[disp_q8]]--0.00354)/-0.00354</f>
        <v>-2.2227413672822084E-2</v>
      </c>
      <c r="Q108">
        <f>(Table7[[#This Row],[disp_q9]]--0.00354)/-0.00354</f>
        <v>-2.2227413672822084E-2</v>
      </c>
    </row>
    <row r="109" spans="1:17" x14ac:dyDescent="0.3">
      <c r="A109">
        <v>55</v>
      </c>
      <c r="B109">
        <v>9</v>
      </c>
      <c r="C109">
        <v>1120</v>
      </c>
      <c r="D109">
        <v>-3.3467766250261902E-3</v>
      </c>
      <c r="E109">
        <v>4218</v>
      </c>
      <c r="F109">
        <v>-3.3417038102225602E-3</v>
      </c>
      <c r="G109">
        <v>1120</v>
      </c>
      <c r="H109">
        <v>-3.4989565262367899E-3</v>
      </c>
      <c r="I109">
        <v>3228</v>
      </c>
      <c r="J109">
        <v>-3.3569657059423401E-3</v>
      </c>
      <c r="K109">
        <v>4218</v>
      </c>
      <c r="L109">
        <v>-3.3569657059423401E-3</v>
      </c>
      <c r="M109">
        <f>(Table7[[#This Row],[disp_t3]]--0.00354)/-0.00354</f>
        <v>-5.4582874286387001E-2</v>
      </c>
      <c r="N109">
        <f>(Table7[[#This Row],[disp_t6]]--0.00354)/-0.00354</f>
        <v>-5.6015872818485878E-2</v>
      </c>
      <c r="O109">
        <f>(Table7[[#This Row],[disp_q4]]--0.00354)/-0.00354</f>
        <v>-1.1594201628025491E-2</v>
      </c>
      <c r="P109">
        <f>(Table7[[#This Row],[disp_q8]]--0.00354)/-0.00354</f>
        <v>-5.1704602841146904E-2</v>
      </c>
      <c r="Q109">
        <f>(Table7[[#This Row],[disp_q9]]--0.00354)/-0.00354</f>
        <v>-5.1704602841146904E-2</v>
      </c>
    </row>
    <row r="110" spans="1:17" x14ac:dyDescent="0.3">
      <c r="A110">
        <v>46</v>
      </c>
      <c r="B110">
        <v>9</v>
      </c>
      <c r="C110">
        <v>940</v>
      </c>
      <c r="D110">
        <v>-3.05533330507187E-3</v>
      </c>
      <c r="E110">
        <v>3534</v>
      </c>
      <c r="F110">
        <v>-3.3110471091789698E-3</v>
      </c>
      <c r="G110">
        <v>940</v>
      </c>
      <c r="H110">
        <v>-3.23158666584758E-3</v>
      </c>
      <c r="I110">
        <v>2706</v>
      </c>
      <c r="J110">
        <v>-3.3122630505329599E-3</v>
      </c>
      <c r="K110">
        <v>3534</v>
      </c>
      <c r="L110">
        <v>-3.3122630505329599E-3</v>
      </c>
      <c r="M110">
        <f>(Table7[[#This Row],[disp_t3]]--0.00354)/-0.00354</f>
        <v>-0.13691149574240963</v>
      </c>
      <c r="N110">
        <f>(Table7[[#This Row],[disp_t6]]--0.00354)/-0.00354</f>
        <v>-6.467595785904813E-2</v>
      </c>
      <c r="O110">
        <f>(Table7[[#This Row],[disp_q4]]--0.00354)/-0.00354</f>
        <v>-8.712241077751981E-2</v>
      </c>
      <c r="P110">
        <f>(Table7[[#This Row],[disp_q8]]--0.00354)/-0.00354</f>
        <v>-6.4332471600858823E-2</v>
      </c>
      <c r="Q110">
        <f>(Table7[[#This Row],[disp_q9]]--0.00354)/-0.00354</f>
        <v>-6.4332471600858823E-2</v>
      </c>
    </row>
    <row r="111" spans="1:17" x14ac:dyDescent="0.3">
      <c r="A111">
        <v>38</v>
      </c>
      <c r="B111">
        <v>9</v>
      </c>
      <c r="C111">
        <v>780</v>
      </c>
      <c r="D111">
        <v>-2.90773255377703E-3</v>
      </c>
      <c r="E111">
        <v>2926</v>
      </c>
      <c r="F111">
        <v>-3.20317233146269E-3</v>
      </c>
      <c r="G111">
        <v>780</v>
      </c>
      <c r="H111">
        <v>-3.1071795867916099E-3</v>
      </c>
      <c r="I111">
        <v>2242</v>
      </c>
      <c r="J111">
        <v>-3.2080813978112E-3</v>
      </c>
      <c r="K111">
        <v>2926</v>
      </c>
      <c r="L111">
        <v>-3.2080813978112E-3</v>
      </c>
      <c r="M111">
        <f>(Table7[[#This Row],[disp_t3]]--0.00354)/-0.00354</f>
        <v>-0.17860662322682772</v>
      </c>
      <c r="N111">
        <f>(Table7[[#This Row],[disp_t6]]--0.00354)/-0.00354</f>
        <v>-9.5149058908844689E-2</v>
      </c>
      <c r="O111">
        <f>(Table7[[#This Row],[disp_q4]]--0.00354)/-0.00354</f>
        <v>-0.1222656534486978</v>
      </c>
      <c r="P111">
        <f>(Table7[[#This Row],[disp_q8]]--0.00354)/-0.00354</f>
        <v>-9.3762317002485926E-2</v>
      </c>
      <c r="Q111">
        <f>(Table7[[#This Row],[disp_q9]]--0.00354)/-0.00354</f>
        <v>-9.3762317002485926E-2</v>
      </c>
    </row>
    <row r="112" spans="1:17" x14ac:dyDescent="0.3">
      <c r="A112">
        <v>32</v>
      </c>
      <c r="B112">
        <v>9</v>
      </c>
      <c r="C112">
        <v>660</v>
      </c>
      <c r="D112">
        <v>-2.7471049238769001E-3</v>
      </c>
      <c r="E112">
        <v>2470</v>
      </c>
      <c r="F112">
        <v>-3.08916488239554E-3</v>
      </c>
      <c r="G112">
        <v>660</v>
      </c>
      <c r="H112">
        <v>-2.9699687507051499E-3</v>
      </c>
      <c r="I112">
        <v>1894</v>
      </c>
      <c r="J112">
        <v>-3.0926870112972702E-3</v>
      </c>
      <c r="K112">
        <v>2470</v>
      </c>
      <c r="L112">
        <v>-3.0926870112972702E-3</v>
      </c>
      <c r="M112">
        <f>(Table7[[#This Row],[disp_t3]]--0.00354)/-0.00354</f>
        <v>-0.22398165992177968</v>
      </c>
      <c r="N112">
        <f>(Table7[[#This Row],[disp_t6]]--0.00354)/-0.00354</f>
        <v>-0.12735455299561022</v>
      </c>
      <c r="O112">
        <f>(Table7[[#This Row],[disp_q4]]--0.00354)/-0.00354</f>
        <v>-0.16102577663696335</v>
      </c>
      <c r="P112">
        <f>(Table7[[#This Row],[disp_q8]]--0.00354)/-0.00354</f>
        <v>-0.12635960132845478</v>
      </c>
      <c r="Q112">
        <f>(Table7[[#This Row],[disp_q9]]--0.00354)/-0.00354</f>
        <v>-0.12635960132845478</v>
      </c>
    </row>
    <row r="113" spans="1:17" x14ac:dyDescent="0.3">
      <c r="A113">
        <v>26</v>
      </c>
      <c r="B113">
        <v>9</v>
      </c>
      <c r="C113">
        <v>540</v>
      </c>
      <c r="D113">
        <v>-2.51868317825123E-3</v>
      </c>
      <c r="E113">
        <v>2014</v>
      </c>
      <c r="F113">
        <v>-2.9237439276108002E-3</v>
      </c>
      <c r="G113">
        <v>540</v>
      </c>
      <c r="H113">
        <v>-2.77141112367211E-3</v>
      </c>
      <c r="I113">
        <v>1546</v>
      </c>
      <c r="J113">
        <v>-2.9242437991495499E-3</v>
      </c>
      <c r="K113">
        <v>2014</v>
      </c>
      <c r="L113">
        <v>-2.9242437991495499E-3</v>
      </c>
      <c r="M113">
        <f>(Table7[[#This Row],[disp_t3]]--0.00354)/-0.00354</f>
        <v>-0.28850757676518929</v>
      </c>
      <c r="N113">
        <f>(Table7[[#This Row],[disp_t6]]--0.00354)/-0.00354</f>
        <v>-0.17408363626813558</v>
      </c>
      <c r="O113">
        <f>(Table7[[#This Row],[disp_q4]]--0.00354)/-0.00354</f>
        <v>-0.21711550178753961</v>
      </c>
      <c r="P113">
        <f>(Table7[[#This Row],[disp_q8]]--0.00354)/-0.00354</f>
        <v>-0.17394242961877127</v>
      </c>
      <c r="Q113">
        <f>(Table7[[#This Row],[disp_q9]]--0.00354)/-0.00354</f>
        <v>-0.17394242961877127</v>
      </c>
    </row>
    <row r="114" spans="1:17" x14ac:dyDescent="0.3">
      <c r="A114">
        <v>22</v>
      </c>
      <c r="B114">
        <v>9</v>
      </c>
      <c r="C114">
        <v>460</v>
      </c>
      <c r="D114">
        <v>-2.3108241712376902E-3</v>
      </c>
      <c r="E114">
        <v>1710</v>
      </c>
      <c r="F114">
        <v>-2.7514809950475901E-3</v>
      </c>
      <c r="G114">
        <v>460</v>
      </c>
      <c r="H114">
        <v>-2.5874737591984301E-3</v>
      </c>
      <c r="I114">
        <v>1314</v>
      </c>
      <c r="J114">
        <v>-2.7650257457738402E-3</v>
      </c>
      <c r="K114">
        <v>1710</v>
      </c>
      <c r="L114">
        <v>-2.7650257457738402E-3</v>
      </c>
      <c r="M114">
        <f>(Table7[[#This Row],[disp_t3]]--0.00354)/-0.00354</f>
        <v>-0.34722481038483333</v>
      </c>
      <c r="N114">
        <f>(Table7[[#This Row],[disp_t6]]--0.00354)/-0.00354</f>
        <v>-0.2227454816249746</v>
      </c>
      <c r="O114">
        <f>(Table7[[#This Row],[disp_q4]]--0.00354)/-0.00354</f>
        <v>-0.26907520926598022</v>
      </c>
      <c r="P114">
        <f>(Table7[[#This Row],[disp_q8]]--0.00354)/-0.00354</f>
        <v>-0.21891928085484744</v>
      </c>
      <c r="Q114">
        <f>(Table7[[#This Row],[disp_q9]]--0.00354)/-0.00354</f>
        <v>-0.21891928085484744</v>
      </c>
    </row>
    <row r="115" spans="1:17" x14ac:dyDescent="0.3">
      <c r="A115">
        <v>18</v>
      </c>
      <c r="B115">
        <v>9</v>
      </c>
      <c r="C115">
        <v>380</v>
      </c>
      <c r="D115">
        <v>-2.0388700151766398E-3</v>
      </c>
      <c r="E115">
        <v>1406</v>
      </c>
      <c r="F115">
        <v>-2.5386337712285101E-3</v>
      </c>
      <c r="G115">
        <v>380</v>
      </c>
      <c r="H115">
        <v>-2.34281915417273E-3</v>
      </c>
      <c r="I115">
        <v>1082</v>
      </c>
      <c r="J115">
        <v>-2.55610474962796E-3</v>
      </c>
      <c r="K115">
        <v>1406</v>
      </c>
      <c r="L115">
        <v>-2.55610474962796E-3</v>
      </c>
      <c r="M115">
        <f>(Table7[[#This Row],[disp_t3]]--0.00354)/-0.00354</f>
        <v>-0.42404801831168371</v>
      </c>
      <c r="N115">
        <f>(Table7[[#This Row],[disp_t6]]--0.00354)/-0.00354</f>
        <v>-0.28287181603714406</v>
      </c>
      <c r="O115">
        <f>(Table7[[#This Row],[disp_q4]]--0.00354)/-0.00354</f>
        <v>-0.33818667961222321</v>
      </c>
      <c r="P115">
        <f>(Table7[[#This Row],[disp_q8]]--0.00354)/-0.00354</f>
        <v>-0.27793651140453113</v>
      </c>
      <c r="Q115">
        <f>(Table7[[#This Row],[disp_q9]]--0.00354)/-0.00354</f>
        <v>-0.27793651140453113</v>
      </c>
    </row>
    <row r="116" spans="1:17" x14ac:dyDescent="0.3">
      <c r="A116">
        <v>15</v>
      </c>
      <c r="B116">
        <v>9</v>
      </c>
      <c r="C116">
        <v>320</v>
      </c>
      <c r="D116">
        <v>-2.2413200429247399E-3</v>
      </c>
      <c r="E116">
        <v>1178</v>
      </c>
      <c r="F116">
        <v>-2.2188349636292899E-3</v>
      </c>
      <c r="G116">
        <v>320</v>
      </c>
      <c r="H116">
        <v>-2.6821683787350702E-3</v>
      </c>
      <c r="I116">
        <v>908</v>
      </c>
      <c r="J116">
        <v>-2.2463490626137401E-3</v>
      </c>
      <c r="K116">
        <v>1178</v>
      </c>
      <c r="L116">
        <v>-2.2463490626137401E-3</v>
      </c>
      <c r="M116">
        <f>(Table7[[#This Row],[disp_t3]]--0.00354)/-0.00354</f>
        <v>-0.36685874493651416</v>
      </c>
      <c r="N116">
        <f>(Table7[[#This Row],[disp_t6]]--0.00354)/-0.00354</f>
        <v>-0.37321046225161303</v>
      </c>
      <c r="O116">
        <f>(Table7[[#This Row],[disp_q4]]--0.00354)/-0.00354</f>
        <v>-0.24232531674150565</v>
      </c>
      <c r="P116">
        <f>(Table7[[#This Row],[disp_q8]]--0.00354)/-0.00354</f>
        <v>-0.36543811790572317</v>
      </c>
      <c r="Q116">
        <f>(Table7[[#This Row],[disp_q9]]--0.00354)/-0.00354</f>
        <v>-0.36543811790572317</v>
      </c>
    </row>
    <row r="117" spans="1:17" x14ac:dyDescent="0.3">
      <c r="A117">
        <v>12</v>
      </c>
      <c r="B117">
        <v>9</v>
      </c>
      <c r="C117">
        <v>260</v>
      </c>
      <c r="D117">
        <v>-1.4460663901975401E-3</v>
      </c>
      <c r="E117">
        <v>950</v>
      </c>
      <c r="F117">
        <v>-2.0611051633170402E-3</v>
      </c>
      <c r="G117">
        <v>260</v>
      </c>
      <c r="H117">
        <v>-1.7928259649010001E-3</v>
      </c>
      <c r="I117">
        <v>734</v>
      </c>
      <c r="J117">
        <v>-2.0905724877385802E-3</v>
      </c>
      <c r="K117">
        <v>950</v>
      </c>
      <c r="L117">
        <v>-2.0905724877385802E-3</v>
      </c>
      <c r="M117">
        <f>(Table7[[#This Row],[disp_t3]]--0.00354)/-0.00354</f>
        <v>-0.59150666943572328</v>
      </c>
      <c r="N117">
        <f>(Table7[[#This Row],[disp_t6]]--0.00354)/-0.00354</f>
        <v>-0.4177669030177853</v>
      </c>
      <c r="O117">
        <f>(Table7[[#This Row],[disp_q4]]--0.00354)/-0.00354</f>
        <v>-0.49355198731610167</v>
      </c>
      <c r="P117">
        <f>(Table7[[#This Row],[disp_q8]]--0.00354)/-0.00354</f>
        <v>-0.40944280007384742</v>
      </c>
      <c r="Q117">
        <f>(Table7[[#This Row],[disp_q9]]--0.00354)/-0.00354</f>
        <v>-0.40944280007384742</v>
      </c>
    </row>
    <row r="118" spans="1:17" x14ac:dyDescent="0.3">
      <c r="A118">
        <v>10</v>
      </c>
      <c r="B118">
        <v>9</v>
      </c>
      <c r="C118">
        <v>220</v>
      </c>
      <c r="D118">
        <v>-1.17619411965545E-3</v>
      </c>
      <c r="E118">
        <v>798</v>
      </c>
      <c r="F118">
        <v>-1.8424644599085501E-3</v>
      </c>
      <c r="G118">
        <v>220</v>
      </c>
      <c r="H118">
        <v>-1.5281309474999699E-3</v>
      </c>
      <c r="I118">
        <v>618</v>
      </c>
      <c r="J118">
        <v>-1.85887660344614E-3</v>
      </c>
      <c r="K118">
        <v>798</v>
      </c>
      <c r="L118">
        <v>-1.85887660344614E-3</v>
      </c>
      <c r="M118">
        <f>(Table7[[#This Row],[disp_t3]]--0.00354)/-0.00354</f>
        <v>-0.66774177410862989</v>
      </c>
      <c r="N118">
        <f>(Table7[[#This Row],[disp_t6]]--0.00354)/-0.00354</f>
        <v>-0.4795298135851554</v>
      </c>
      <c r="O118">
        <f>(Table7[[#This Row],[disp_q4]]--0.00354)/-0.00354</f>
        <v>-0.56832459110170341</v>
      </c>
      <c r="P118">
        <f>(Table7[[#This Row],[disp_q8]]--0.00354)/-0.00354</f>
        <v>-0.47489361484572318</v>
      </c>
      <c r="Q118">
        <f>(Table7[[#This Row],[disp_q9]]--0.00354)/-0.00354</f>
        <v>-0.47489361484572318</v>
      </c>
    </row>
    <row r="119" spans="1:17" x14ac:dyDescent="0.3">
      <c r="A119">
        <v>8</v>
      </c>
      <c r="B119">
        <v>9</v>
      </c>
      <c r="C119">
        <v>180</v>
      </c>
      <c r="D119">
        <v>-8.6197022670321001E-4</v>
      </c>
      <c r="E119">
        <v>646</v>
      </c>
      <c r="F119">
        <v>-1.53570288552963E-3</v>
      </c>
      <c r="G119">
        <v>180</v>
      </c>
      <c r="H119">
        <v>-1.1957588593044699E-3</v>
      </c>
      <c r="I119">
        <v>502</v>
      </c>
      <c r="J119">
        <v>-1.5673822084559101E-3</v>
      </c>
      <c r="K119">
        <v>646</v>
      </c>
      <c r="L119">
        <v>-1.5673822084559101E-3</v>
      </c>
      <c r="M119">
        <f>(Table7[[#This Row],[disp_t3]]--0.00354)/-0.00354</f>
        <v>-0.75650558567705928</v>
      </c>
      <c r="N119">
        <f>(Table7[[#This Row],[disp_t6]]--0.00354)/-0.00354</f>
        <v>-0.56618562555660168</v>
      </c>
      <c r="O119">
        <f>(Table7[[#This Row],[disp_q4]]--0.00354)/-0.00354</f>
        <v>-0.66221501149591244</v>
      </c>
      <c r="P119">
        <f>(Table7[[#This Row],[disp_q8]]--0.00354)/-0.00354</f>
        <v>-0.55723666427799157</v>
      </c>
      <c r="Q119">
        <f>(Table7[[#This Row],[disp_q9]]--0.00354)/-0.00354</f>
        <v>-0.55723666427799157</v>
      </c>
    </row>
    <row r="120" spans="1:17" x14ac:dyDescent="0.3">
      <c r="A120">
        <v>7</v>
      </c>
      <c r="B120">
        <v>9</v>
      </c>
      <c r="C120">
        <v>160</v>
      </c>
      <c r="D120">
        <v>-1.0771395360362199E-3</v>
      </c>
      <c r="E120">
        <v>570</v>
      </c>
      <c r="F120">
        <v>-1.2656853759254901E-3</v>
      </c>
      <c r="G120">
        <v>160</v>
      </c>
      <c r="H120">
        <v>-1.5794633920012101E-3</v>
      </c>
      <c r="I120">
        <v>444</v>
      </c>
      <c r="J120">
        <v>-1.2949159401699499E-3</v>
      </c>
      <c r="K120">
        <v>570</v>
      </c>
      <c r="L120">
        <v>-1.2949159401699499E-3</v>
      </c>
      <c r="M120">
        <f>(Table7[[#This Row],[disp_t3]]--0.00354)/-0.00354</f>
        <v>-0.69572329490502272</v>
      </c>
      <c r="N120">
        <f>(Table7[[#This Row],[disp_t6]]--0.00354)/-0.00354</f>
        <v>-0.64246175821313845</v>
      </c>
      <c r="O120">
        <f>(Table7[[#This Row],[disp_q4]]--0.00354)/-0.00354</f>
        <v>-0.55382390056462993</v>
      </c>
      <c r="P120">
        <f>(Table7[[#This Row],[disp_q8]]--0.00354)/-0.00354</f>
        <v>-0.63420453667515542</v>
      </c>
      <c r="Q120">
        <f>(Table7[[#This Row],[disp_q9]]--0.00354)/-0.00354</f>
        <v>-0.63420453667515542</v>
      </c>
    </row>
    <row r="121" spans="1:17" x14ac:dyDescent="0.3">
      <c r="A121">
        <v>6</v>
      </c>
      <c r="B121">
        <v>9</v>
      </c>
      <c r="C121">
        <v>140</v>
      </c>
      <c r="D121">
        <v>-5.1513941580459601E-4</v>
      </c>
      <c r="E121">
        <v>494</v>
      </c>
      <c r="F121">
        <v>-1.11929531525065E-3</v>
      </c>
      <c r="G121">
        <v>140</v>
      </c>
      <c r="H121">
        <v>-7.7505163316553001E-4</v>
      </c>
      <c r="I121">
        <v>386</v>
      </c>
      <c r="J121">
        <v>-1.16060687122264E-3</v>
      </c>
      <c r="K121">
        <v>494</v>
      </c>
      <c r="L121">
        <v>-1.16060687122264E-3</v>
      </c>
      <c r="M121">
        <f>(Table7[[#This Row],[disp_t3]]--0.00354)/-0.00354</f>
        <v>-0.85448039101565088</v>
      </c>
      <c r="N121">
        <f>(Table7[[#This Row],[disp_t6]]--0.00354)/-0.00354</f>
        <v>-0.68381488269755653</v>
      </c>
      <c r="O121">
        <f>(Table7[[#This Row],[disp_q4]]--0.00354)/-0.00354</f>
        <v>-0.78105886068770336</v>
      </c>
      <c r="P121">
        <f>(Table7[[#This Row],[disp_q8]]--0.00354)/-0.00354</f>
        <v>-0.67214495163202259</v>
      </c>
      <c r="Q121">
        <f>(Table7[[#This Row],[disp_q9]]--0.00354)/-0.00354</f>
        <v>-0.67214495163202259</v>
      </c>
    </row>
    <row r="122" spans="1:17" x14ac:dyDescent="0.3">
      <c r="A122">
        <v>5</v>
      </c>
      <c r="B122">
        <v>9</v>
      </c>
      <c r="C122">
        <v>120</v>
      </c>
      <c r="D122">
        <v>-6.5918068681042503E-4</v>
      </c>
      <c r="E122">
        <v>418</v>
      </c>
      <c r="F122">
        <v>-8.0299671599615998E-4</v>
      </c>
      <c r="G122">
        <v>120</v>
      </c>
      <c r="H122">
        <v>-1.0593455856217401E-3</v>
      </c>
      <c r="I122">
        <v>328</v>
      </c>
      <c r="J122">
        <v>-8.2422504241437902E-4</v>
      </c>
      <c r="K122">
        <v>418</v>
      </c>
      <c r="L122">
        <v>-8.2422504241437902E-4</v>
      </c>
      <c r="M122">
        <f>(Table7[[#This Row],[disp_t3]]--0.00354)/-0.00354</f>
        <v>-0.81379076643773307</v>
      </c>
      <c r="N122">
        <f>(Table7[[#This Row],[disp_t6]]--0.00354)/-0.00354</f>
        <v>-0.77316476949261026</v>
      </c>
      <c r="O122">
        <f>(Table7[[#This Row],[disp_q4]]--0.00354)/-0.00354</f>
        <v>-0.70074983457012996</v>
      </c>
      <c r="P122">
        <f>(Table7[[#This Row],[disp_q8]]--0.00354)/-0.00354</f>
        <v>-0.76716806711458219</v>
      </c>
      <c r="Q122">
        <f>(Table7[[#This Row],[disp_q9]]--0.00354)/-0.00354</f>
        <v>-0.76716806711458219</v>
      </c>
    </row>
    <row r="123" spans="1:17" x14ac:dyDescent="0.3">
      <c r="A123">
        <v>4</v>
      </c>
      <c r="B123">
        <v>9</v>
      </c>
      <c r="C123">
        <v>100</v>
      </c>
      <c r="D123">
        <v>-1.89486487022711E-4</v>
      </c>
      <c r="E123">
        <v>342</v>
      </c>
      <c r="F123">
        <v>-5.1829024335148005E-4</v>
      </c>
      <c r="G123">
        <v>100</v>
      </c>
      <c r="H123">
        <v>-2.9369360852649399E-4</v>
      </c>
      <c r="I123">
        <v>270</v>
      </c>
      <c r="J123">
        <v>-5.6853062525682898E-4</v>
      </c>
      <c r="K123">
        <v>342</v>
      </c>
      <c r="L123">
        <v>-5.6853062525682898E-4</v>
      </c>
      <c r="M123">
        <f>(Table7[[#This Row],[disp_t3]]--0.00354)/-0.00354</f>
        <v>-0.94647274377889523</v>
      </c>
      <c r="N123">
        <f>(Table7[[#This Row],[disp_t6]]--0.00354)/-0.00354</f>
        <v>-0.85359032673686996</v>
      </c>
      <c r="O123">
        <f>(Table7[[#This Row],[disp_q4]]--0.00354)/-0.00354</f>
        <v>-0.91703570380607524</v>
      </c>
      <c r="P123">
        <f>(Table7[[#This Row],[disp_q8]]--0.00354)/-0.00354</f>
        <v>-0.83939812845852291</v>
      </c>
      <c r="Q123">
        <f>(Table7[[#This Row],[disp_q9]]--0.00354)/-0.00354</f>
        <v>-0.83939812845852291</v>
      </c>
    </row>
    <row r="124" spans="1:17" x14ac:dyDescent="0.3">
      <c r="A124">
        <v>3</v>
      </c>
      <c r="B124">
        <v>9</v>
      </c>
      <c r="C124">
        <v>80</v>
      </c>
      <c r="D124">
        <v>-2.57649897995775E-4</v>
      </c>
      <c r="E124">
        <v>266</v>
      </c>
      <c r="F124">
        <v>-1.7885331503334401E-4</v>
      </c>
      <c r="G124">
        <v>80</v>
      </c>
      <c r="H124">
        <v>-4.2190238626399202E-4</v>
      </c>
      <c r="I124">
        <v>212</v>
      </c>
      <c r="J124">
        <v>-1.89148329131696E-4</v>
      </c>
      <c r="K124">
        <v>266</v>
      </c>
      <c r="L124">
        <v>-1.89148329131696E-4</v>
      </c>
      <c r="M124">
        <f>(Table7[[#This Row],[disp_t3]]--0.00354)/-0.00354</f>
        <v>-0.92721754293904668</v>
      </c>
      <c r="N124">
        <f>(Table7[[#This Row],[disp_t6]]--0.00354)/-0.00354</f>
        <v>-0.94947646467984625</v>
      </c>
      <c r="O124">
        <f>(Table7[[#This Row],[disp_q4]]--0.00354)/-0.00354</f>
        <v>-0.88081853495367457</v>
      </c>
      <c r="P124">
        <f>(Table7[[#This Row],[disp_q8]]--0.00354)/-0.00354</f>
        <v>-0.9465682686068656</v>
      </c>
      <c r="Q124">
        <f>(Table7[[#This Row],[disp_q9]]--0.00354)/-0.00354</f>
        <v>-0.9465682686068656</v>
      </c>
    </row>
    <row r="125" spans="1:17" x14ac:dyDescent="0.3">
      <c r="A125">
        <v>2</v>
      </c>
      <c r="B125">
        <v>9</v>
      </c>
      <c r="C125">
        <v>60</v>
      </c>
      <c r="D125" s="7">
        <v>-4.8668652409426003E-6</v>
      </c>
      <c r="E125">
        <v>190</v>
      </c>
      <c r="F125" s="7">
        <v>-1.4279410646963401E-5</v>
      </c>
      <c r="G125">
        <v>60</v>
      </c>
      <c r="H125" s="7">
        <v>-8.1651252704352796E-6</v>
      </c>
      <c r="I125">
        <v>154</v>
      </c>
      <c r="J125" s="7">
        <v>-2.5460952355535799E-5</v>
      </c>
      <c r="K125">
        <v>190</v>
      </c>
      <c r="L125" s="7">
        <v>-2.5460952355535799E-5</v>
      </c>
      <c r="M125">
        <f>(Table7[[#This Row],[disp_t3]]--0.00354)/-0.00354</f>
        <v>-0.99862517931046813</v>
      </c>
      <c r="N125">
        <f>(Table7[[#This Row],[disp_t6]]--0.00354)/-0.00354</f>
        <v>-0.99596626817882394</v>
      </c>
      <c r="O125">
        <f>(Table7[[#This Row],[disp_q4]]--0.00354)/-0.00354</f>
        <v>-0.99769346743773013</v>
      </c>
      <c r="P125">
        <f>(Table7[[#This Row],[disp_q8]]--0.00354)/-0.00354</f>
        <v>-0.99280764057753224</v>
      </c>
      <c r="Q125">
        <f>(Table7[[#This Row],[disp_q9]]--0.00354)/-0.00354</f>
        <v>-0.99280764057753224</v>
      </c>
    </row>
    <row r="126" spans="1:17" x14ac:dyDescent="0.3">
      <c r="A126">
        <v>1</v>
      </c>
      <c r="B126">
        <v>9</v>
      </c>
      <c r="C126">
        <v>40</v>
      </c>
      <c r="D126" s="7">
        <v>-2.45113852806383E-6</v>
      </c>
      <c r="E126">
        <v>114</v>
      </c>
      <c r="F126" s="7">
        <v>-1.0104264331255299E-5</v>
      </c>
      <c r="G126">
        <v>40</v>
      </c>
      <c r="H126" s="7">
        <v>-3.68495809773374E-6</v>
      </c>
      <c r="I126">
        <v>96</v>
      </c>
      <c r="J126" s="7">
        <v>-9.7065913557088197E-6</v>
      </c>
      <c r="K126">
        <v>114</v>
      </c>
      <c r="L126" s="7">
        <v>-9.7065913557088197E-6</v>
      </c>
      <c r="M126">
        <f>(Table7[[#This Row],[disp_t3]]--0.00354)/-0.00354</f>
        <v>-0.99930758798642272</v>
      </c>
      <c r="N126">
        <f>(Table7[[#This Row],[disp_t6]]--0.00354)/-0.00354</f>
        <v>-0.99714568804201831</v>
      </c>
      <c r="O126">
        <f>(Table7[[#This Row],[disp_q4]]--0.00354)/-0.00354</f>
        <v>-0.998959051384821</v>
      </c>
      <c r="P126">
        <f>(Table7[[#This Row],[disp_q8]]--0.00354)/-0.00354</f>
        <v>-0.99725802504076022</v>
      </c>
      <c r="Q126">
        <f>(Table7[[#This Row],[disp_q9]]--0.00354)/-0.00354</f>
        <v>-0.99725802504076022</v>
      </c>
    </row>
    <row r="127" spans="1:17" x14ac:dyDescent="0.3">
      <c r="A127">
        <v>200</v>
      </c>
      <c r="B127">
        <v>7</v>
      </c>
      <c r="C127">
        <v>3216</v>
      </c>
      <c r="D127">
        <v>-3.42873428129791E-3</v>
      </c>
      <c r="E127">
        <v>12030</v>
      </c>
      <c r="F127">
        <v>-3.6239181003280699E-3</v>
      </c>
      <c r="G127">
        <v>3216</v>
      </c>
      <c r="H127">
        <v>-3.5887281512357598E-3</v>
      </c>
      <c r="I127">
        <v>9230</v>
      </c>
      <c r="J127">
        <v>-3.63043518465434E-3</v>
      </c>
      <c r="K127">
        <v>12030</v>
      </c>
      <c r="L127">
        <v>-3.63043518465434E-3</v>
      </c>
      <c r="M127">
        <f>(Table7[[#This Row],[disp_t3]]--0.00354)/-0.00354</f>
        <v>-3.1430993983641291E-2</v>
      </c>
      <c r="N127">
        <f>(Table7[[#This Row],[disp_t6]]--0.00354)/-0.00354</f>
        <v>2.3705678058776762E-2</v>
      </c>
      <c r="O127">
        <f>(Table7[[#This Row],[disp_q4]]--0.00354)/-0.00354</f>
        <v>1.3765014473378431E-2</v>
      </c>
      <c r="P127">
        <f>(Table7[[#This Row],[disp_q8]]--0.00354)/-0.00354</f>
        <v>2.5546662331734409E-2</v>
      </c>
      <c r="Q127">
        <f>(Table7[[#This Row],[disp_q9]]--0.00354)/-0.00354</f>
        <v>2.5546662331734409E-2</v>
      </c>
    </row>
    <row r="128" spans="1:17" x14ac:dyDescent="0.3">
      <c r="A128">
        <v>166</v>
      </c>
      <c r="B128">
        <v>7</v>
      </c>
      <c r="C128">
        <v>2672</v>
      </c>
      <c r="D128">
        <v>-3.4091243027202802E-3</v>
      </c>
      <c r="E128">
        <v>9990</v>
      </c>
      <c r="F128">
        <v>-3.6073533614525998E-3</v>
      </c>
      <c r="G128">
        <v>2672</v>
      </c>
      <c r="H128">
        <v>-3.5710128746199599E-3</v>
      </c>
      <c r="I128">
        <v>7666</v>
      </c>
      <c r="J128">
        <v>-3.6131993197886601E-3</v>
      </c>
      <c r="K128">
        <v>9990</v>
      </c>
      <c r="L128">
        <v>-3.6131993197886601E-3</v>
      </c>
      <c r="M128">
        <f>(Table7[[#This Row],[disp_t3]]--0.00354)/-0.00354</f>
        <v>-3.697053595472316E-2</v>
      </c>
      <c r="N128">
        <f>(Table7[[#This Row],[disp_t6]]--0.00354)/-0.00354</f>
        <v>1.9026373291694817E-2</v>
      </c>
      <c r="O128">
        <f>(Table7[[#This Row],[disp_q4]]--0.00354)/-0.00354</f>
        <v>8.7606990451863723E-3</v>
      </c>
      <c r="P128">
        <f>(Table7[[#This Row],[disp_q8]]--0.00354)/-0.00354</f>
        <v>2.0677773951598834E-2</v>
      </c>
      <c r="Q128">
        <f>(Table7[[#This Row],[disp_q9]]--0.00354)/-0.00354</f>
        <v>2.0677773951598834E-2</v>
      </c>
    </row>
    <row r="129" spans="1:17" x14ac:dyDescent="0.3">
      <c r="A129">
        <v>138</v>
      </c>
      <c r="B129">
        <v>7</v>
      </c>
      <c r="C129">
        <v>2224</v>
      </c>
      <c r="D129">
        <v>-3.3844456993994201E-3</v>
      </c>
      <c r="E129">
        <v>8310</v>
      </c>
      <c r="F129">
        <v>-3.58744168640396E-3</v>
      </c>
      <c r="G129">
        <v>2224</v>
      </c>
      <c r="H129">
        <v>-3.5490945769844902E-3</v>
      </c>
      <c r="I129">
        <v>6378</v>
      </c>
      <c r="J129">
        <v>-3.5925733360508802E-3</v>
      </c>
      <c r="K129">
        <v>8310</v>
      </c>
      <c r="L129">
        <v>-3.5925733360508802E-3</v>
      </c>
      <c r="M129">
        <f>(Table7[[#This Row],[disp_t3]]--0.00354)/-0.00354</f>
        <v>-4.3941892825022609E-2</v>
      </c>
      <c r="N129">
        <f>(Table7[[#This Row],[disp_t6]]--0.00354)/-0.00354</f>
        <v>1.3401606328802195E-2</v>
      </c>
      <c r="O129">
        <f>(Table7[[#This Row],[disp_q4]]--0.00354)/-0.00354</f>
        <v>2.5690895436412398E-3</v>
      </c>
      <c r="P129">
        <f>(Table7[[#This Row],[disp_q8]]--0.00354)/-0.00354</f>
        <v>1.4851224873129952E-2</v>
      </c>
      <c r="Q129">
        <f>(Table7[[#This Row],[disp_q9]]--0.00354)/-0.00354</f>
        <v>1.4851224873129952E-2</v>
      </c>
    </row>
    <row r="130" spans="1:17" x14ac:dyDescent="0.3">
      <c r="A130">
        <v>115</v>
      </c>
      <c r="B130">
        <v>7</v>
      </c>
      <c r="C130">
        <v>1856</v>
      </c>
      <c r="D130">
        <v>-3.42752493487135E-3</v>
      </c>
      <c r="E130">
        <v>6930</v>
      </c>
      <c r="F130">
        <v>-3.5426350379521802E-3</v>
      </c>
      <c r="G130">
        <v>1856</v>
      </c>
      <c r="H130">
        <v>-3.59317325830263E-3</v>
      </c>
      <c r="I130">
        <v>5320</v>
      </c>
      <c r="J130">
        <v>-3.5481747798602899E-3</v>
      </c>
      <c r="K130">
        <v>6930</v>
      </c>
      <c r="L130">
        <v>-3.5481747798602899E-3</v>
      </c>
      <c r="M130">
        <f>(Table7[[#This Row],[disp_t3]]--0.00354)/-0.00354</f>
        <v>-3.177261726798028E-2</v>
      </c>
      <c r="N130">
        <f>(Table7[[#This Row],[disp_t6]]--0.00354)/-0.00354</f>
        <v>7.4436100344067539E-4</v>
      </c>
      <c r="O130">
        <f>(Table7[[#This Row],[disp_q4]]--0.00354)/-0.00354</f>
        <v>1.5020694435771137E-2</v>
      </c>
      <c r="P130">
        <f>(Table7[[#This Row],[disp_q8]]--0.00354)/-0.00354</f>
        <v>2.3092598475394749E-3</v>
      </c>
      <c r="Q130">
        <f>(Table7[[#This Row],[disp_q9]]--0.00354)/-0.00354</f>
        <v>2.3092598475394749E-3</v>
      </c>
    </row>
    <row r="131" spans="1:17" x14ac:dyDescent="0.3">
      <c r="A131">
        <v>96</v>
      </c>
      <c r="B131">
        <v>7</v>
      </c>
      <c r="C131">
        <v>1552</v>
      </c>
      <c r="D131">
        <v>-3.31391500669013E-3</v>
      </c>
      <c r="E131">
        <v>5790</v>
      </c>
      <c r="F131">
        <v>-3.5365316727351899E-3</v>
      </c>
      <c r="G131">
        <v>1552</v>
      </c>
      <c r="H131">
        <v>-3.48768633650428E-3</v>
      </c>
      <c r="I131">
        <v>4446</v>
      </c>
      <c r="J131">
        <v>-3.5369835918328801E-3</v>
      </c>
      <c r="K131">
        <v>5790</v>
      </c>
      <c r="L131">
        <v>-3.5369835918328801E-3</v>
      </c>
      <c r="M131">
        <f>(Table7[[#This Row],[disp_t3]]--0.00354)/-0.00354</f>
        <v>-6.3865817319172374E-2</v>
      </c>
      <c r="N131">
        <f>(Table7[[#This Row],[disp_t6]]--0.00354)/-0.00354</f>
        <v>-9.7975346463566771E-4</v>
      </c>
      <c r="O131">
        <f>(Table7[[#This Row],[disp_q4]]--0.00354)/-0.00354</f>
        <v>-1.4777871043988752E-2</v>
      </c>
      <c r="P131">
        <f>(Table7[[#This Row],[disp_q8]]--0.00354)/-0.00354</f>
        <v>-8.5209270257630251E-4</v>
      </c>
      <c r="Q131">
        <f>(Table7[[#This Row],[disp_q9]]--0.00354)/-0.00354</f>
        <v>-8.5209270257630251E-4</v>
      </c>
    </row>
    <row r="132" spans="1:17" x14ac:dyDescent="0.3">
      <c r="A132">
        <v>80</v>
      </c>
      <c r="B132">
        <v>7</v>
      </c>
      <c r="C132">
        <v>1296</v>
      </c>
      <c r="D132">
        <v>-3.2626448115145399E-3</v>
      </c>
      <c r="E132">
        <v>4830</v>
      </c>
      <c r="F132">
        <v>-3.4987058093959599E-3</v>
      </c>
      <c r="G132">
        <v>1296</v>
      </c>
      <c r="H132">
        <v>-3.4435890010196999E-3</v>
      </c>
      <c r="I132">
        <v>3710</v>
      </c>
      <c r="J132">
        <v>-3.4981262803582798E-3</v>
      </c>
      <c r="K132">
        <v>4830</v>
      </c>
      <c r="L132">
        <v>-3.4981262803582798E-3</v>
      </c>
      <c r="M132">
        <f>(Table7[[#This Row],[disp_t3]]--0.00354)/-0.00354</f>
        <v>-7.834892330097748E-2</v>
      </c>
      <c r="N132">
        <f>(Table7[[#This Row],[disp_t6]]--0.00354)/-0.00354</f>
        <v>-1.1665025594361649E-2</v>
      </c>
      <c r="O132">
        <f>(Table7[[#This Row],[disp_q4]]--0.00354)/-0.00354</f>
        <v>-2.7234745474661096E-2</v>
      </c>
      <c r="P132">
        <f>(Table7[[#This Row],[disp_q8]]--0.00354)/-0.00354</f>
        <v>-1.1828734362067893E-2</v>
      </c>
      <c r="Q132">
        <f>(Table7[[#This Row],[disp_q9]]--0.00354)/-0.00354</f>
        <v>-1.1828734362067893E-2</v>
      </c>
    </row>
    <row r="133" spans="1:17" x14ac:dyDescent="0.3">
      <c r="A133">
        <v>66</v>
      </c>
      <c r="B133">
        <v>7</v>
      </c>
      <c r="C133">
        <v>1072</v>
      </c>
      <c r="D133">
        <v>-3.1923539194589302E-3</v>
      </c>
      <c r="E133">
        <v>3990</v>
      </c>
      <c r="F133">
        <v>-3.4570909475291401E-3</v>
      </c>
      <c r="G133">
        <v>1072</v>
      </c>
      <c r="H133">
        <v>-3.3833858532215299E-3</v>
      </c>
      <c r="I133">
        <v>3066</v>
      </c>
      <c r="J133">
        <v>-3.4458534885620901E-3</v>
      </c>
      <c r="K133">
        <v>3990</v>
      </c>
      <c r="L133">
        <v>-3.4458534885620901E-3</v>
      </c>
      <c r="M133">
        <f>(Table7[[#This Row],[disp_t3]]--0.00354)/-0.00354</f>
        <v>-9.8205107497477392E-2</v>
      </c>
      <c r="N133">
        <f>(Table7[[#This Row],[disp_t6]]--0.00354)/-0.00354</f>
        <v>-2.3420636291203403E-2</v>
      </c>
      <c r="O133">
        <f>(Table7[[#This Row],[disp_q4]]--0.00354)/-0.00354</f>
        <v>-4.4241284400697807E-2</v>
      </c>
      <c r="P133">
        <f>(Table7[[#This Row],[disp_q8]]--0.00354)/-0.00354</f>
        <v>-2.659505972822318E-2</v>
      </c>
      <c r="Q133">
        <f>(Table7[[#This Row],[disp_q9]]--0.00354)/-0.00354</f>
        <v>-2.659505972822318E-2</v>
      </c>
    </row>
    <row r="134" spans="1:17" x14ac:dyDescent="0.3">
      <c r="A134">
        <v>55</v>
      </c>
      <c r="B134">
        <v>7</v>
      </c>
      <c r="C134">
        <v>896</v>
      </c>
      <c r="D134">
        <v>-3.28781496817665E-3</v>
      </c>
      <c r="E134">
        <v>3330</v>
      </c>
      <c r="F134">
        <v>-3.3332267546196002E-3</v>
      </c>
      <c r="G134">
        <v>896</v>
      </c>
      <c r="H134">
        <v>-3.4876365817301399E-3</v>
      </c>
      <c r="I134">
        <v>2560</v>
      </c>
      <c r="J134">
        <v>-3.3467442790532402E-3</v>
      </c>
      <c r="K134">
        <v>3330</v>
      </c>
      <c r="L134">
        <v>-3.3467442790532402E-3</v>
      </c>
      <c r="M134">
        <f>(Table7[[#This Row],[disp_t3]]--0.00354)/-0.00354</f>
        <v>-7.1238709554618695E-2</v>
      </c>
      <c r="N134">
        <f>(Table7[[#This Row],[disp_t6]]--0.00354)/-0.00354</f>
        <v>-5.8410521293898295E-2</v>
      </c>
      <c r="O134">
        <f>(Table7[[#This Row],[disp_q4]]--0.00354)/-0.00354</f>
        <v>-1.4791926064932287E-2</v>
      </c>
      <c r="P134">
        <f>(Table7[[#This Row],[disp_q8]]--0.00354)/-0.00354</f>
        <v>-5.4592011566881357E-2</v>
      </c>
      <c r="Q134">
        <f>(Table7[[#This Row],[disp_q9]]--0.00354)/-0.00354</f>
        <v>-5.4592011566881357E-2</v>
      </c>
    </row>
    <row r="135" spans="1:17" x14ac:dyDescent="0.3">
      <c r="A135">
        <v>46</v>
      </c>
      <c r="B135">
        <v>7</v>
      </c>
      <c r="C135">
        <v>752</v>
      </c>
      <c r="D135">
        <v>-2.9994179379374598E-3</v>
      </c>
      <c r="E135">
        <v>2790</v>
      </c>
      <c r="F135">
        <v>-3.3020865255115601E-3</v>
      </c>
      <c r="G135">
        <v>752</v>
      </c>
      <c r="H135">
        <v>-3.21788946352751E-3</v>
      </c>
      <c r="I135">
        <v>2146</v>
      </c>
      <c r="J135">
        <v>-3.3044312877706498E-3</v>
      </c>
      <c r="K135">
        <v>2790</v>
      </c>
      <c r="L135">
        <v>-3.3044312877706498E-3</v>
      </c>
      <c r="M135">
        <f>(Table7[[#This Row],[disp_t3]]--0.00354)/-0.00354</f>
        <v>-0.15270679719280802</v>
      </c>
      <c r="N135">
        <f>(Table7[[#This Row],[disp_t6]]--0.00354)/-0.00354</f>
        <v>-6.7207196183175152E-2</v>
      </c>
      <c r="O135">
        <f>(Table7[[#This Row],[disp_q4]]--0.00354)/-0.00354</f>
        <v>-9.0991676969629981E-2</v>
      </c>
      <c r="P135">
        <f>(Table7[[#This Row],[disp_q8]]--0.00354)/-0.00354</f>
        <v>-6.6544833963093325E-2</v>
      </c>
      <c r="Q135">
        <f>(Table7[[#This Row],[disp_q9]]--0.00354)/-0.00354</f>
        <v>-6.6544833963093325E-2</v>
      </c>
    </row>
    <row r="136" spans="1:17" x14ac:dyDescent="0.3">
      <c r="A136">
        <v>38</v>
      </c>
      <c r="B136">
        <v>7</v>
      </c>
      <c r="C136">
        <v>624</v>
      </c>
      <c r="D136">
        <v>-2.8567516151037798E-3</v>
      </c>
      <c r="E136">
        <v>2310</v>
      </c>
      <c r="F136">
        <v>-3.1982763862509899E-3</v>
      </c>
      <c r="G136">
        <v>624</v>
      </c>
      <c r="H136">
        <v>-3.0943677652928402E-3</v>
      </c>
      <c r="I136">
        <v>1778</v>
      </c>
      <c r="J136">
        <v>-3.1996067343779502E-3</v>
      </c>
      <c r="K136">
        <v>2310</v>
      </c>
      <c r="L136">
        <v>-3.1996067343779502E-3</v>
      </c>
      <c r="M136">
        <f>(Table7[[#This Row],[disp_t3]]--0.00354)/-0.00354</f>
        <v>-0.19300801833226564</v>
      </c>
      <c r="N136">
        <f>(Table7[[#This Row],[disp_t6]]--0.00354)/-0.00354</f>
        <v>-9.6532094279381447E-2</v>
      </c>
      <c r="O136">
        <f>(Table7[[#This Row],[disp_q4]]--0.00354)/-0.00354</f>
        <v>-0.12588481206416949</v>
      </c>
      <c r="P136">
        <f>(Table7[[#This Row],[disp_q8]]--0.00354)/-0.00354</f>
        <v>-9.6156289723742933E-2</v>
      </c>
      <c r="Q136">
        <f>(Table7[[#This Row],[disp_q9]]--0.00354)/-0.00354</f>
        <v>-9.6156289723742933E-2</v>
      </c>
    </row>
    <row r="137" spans="1:17" x14ac:dyDescent="0.3">
      <c r="A137">
        <v>32</v>
      </c>
      <c r="B137">
        <v>7</v>
      </c>
      <c r="C137">
        <v>528</v>
      </c>
      <c r="D137">
        <v>-2.7013782050883698E-3</v>
      </c>
      <c r="E137">
        <v>1950</v>
      </c>
      <c r="F137">
        <v>-3.0837513349900899E-3</v>
      </c>
      <c r="G137">
        <v>528</v>
      </c>
      <c r="H137">
        <v>-2.9583202867513201E-3</v>
      </c>
      <c r="I137">
        <v>1502</v>
      </c>
      <c r="J137">
        <v>-3.08400636122083E-3</v>
      </c>
      <c r="K137">
        <v>1950</v>
      </c>
      <c r="L137">
        <v>-3.08400636122083E-3</v>
      </c>
      <c r="M137">
        <f>(Table7[[#This Row],[disp_t3]]--0.00354)/-0.00354</f>
        <v>-0.23689881212192945</v>
      </c>
      <c r="N137">
        <f>(Table7[[#This Row],[disp_t6]]--0.00354)/-0.00354</f>
        <v>-0.12888380367511587</v>
      </c>
      <c r="O137">
        <f>(Table7[[#This Row],[disp_q4]]--0.00354)/-0.00354</f>
        <v>-0.16431630317759321</v>
      </c>
      <c r="P137">
        <f>(Table7[[#This Row],[disp_q8]]--0.00354)/-0.00354</f>
        <v>-0.12881176236699723</v>
      </c>
      <c r="Q137">
        <f>(Table7[[#This Row],[disp_q9]]--0.00354)/-0.00354</f>
        <v>-0.12881176236699723</v>
      </c>
    </row>
    <row r="138" spans="1:17" x14ac:dyDescent="0.3">
      <c r="A138">
        <v>26</v>
      </c>
      <c r="B138">
        <v>7</v>
      </c>
      <c r="C138">
        <v>432</v>
      </c>
      <c r="D138">
        <v>-2.4799201881281398E-3</v>
      </c>
      <c r="E138">
        <v>1590</v>
      </c>
      <c r="F138">
        <v>-2.9091762548658102E-3</v>
      </c>
      <c r="G138">
        <v>432</v>
      </c>
      <c r="H138">
        <v>-2.7615276464219899E-3</v>
      </c>
      <c r="I138">
        <v>1226</v>
      </c>
      <c r="J138">
        <v>-2.9158876829316698E-3</v>
      </c>
      <c r="K138">
        <v>1590</v>
      </c>
      <c r="L138">
        <v>-2.9158876829316698E-3</v>
      </c>
      <c r="M138">
        <f>(Table7[[#This Row],[disp_t3]]--0.00354)/-0.00354</f>
        <v>-0.29945757397510175</v>
      </c>
      <c r="N138">
        <f>(Table7[[#This Row],[disp_t6]]--0.00354)/-0.00354</f>
        <v>-0.17819879806050565</v>
      </c>
      <c r="O138">
        <f>(Table7[[#This Row],[disp_q4]]--0.00354)/-0.00354</f>
        <v>-0.21990744451356223</v>
      </c>
      <c r="P138">
        <f>(Table7[[#This Row],[disp_q8]]--0.00354)/-0.00354</f>
        <v>-0.17630291442608201</v>
      </c>
      <c r="Q138">
        <f>(Table7[[#This Row],[disp_q9]]--0.00354)/-0.00354</f>
        <v>-0.17630291442608201</v>
      </c>
    </row>
    <row r="139" spans="1:17" x14ac:dyDescent="0.3">
      <c r="A139">
        <v>22</v>
      </c>
      <c r="B139">
        <v>7</v>
      </c>
      <c r="C139">
        <v>368</v>
      </c>
      <c r="D139">
        <v>-2.2777787211304698E-3</v>
      </c>
      <c r="E139">
        <v>1350</v>
      </c>
      <c r="F139">
        <v>-2.74896777626736E-3</v>
      </c>
      <c r="G139">
        <v>368</v>
      </c>
      <c r="H139">
        <v>-2.5791422981075898E-3</v>
      </c>
      <c r="I139">
        <v>1042</v>
      </c>
      <c r="J139">
        <v>-2.7716640255249698E-3</v>
      </c>
      <c r="K139">
        <v>1350</v>
      </c>
      <c r="L139">
        <v>-2.7716640255249698E-3</v>
      </c>
      <c r="M139">
        <f>(Table7[[#This Row],[disp_t3]]--0.00354)/-0.00354</f>
        <v>-0.35655968329647747</v>
      </c>
      <c r="N139">
        <f>(Table7[[#This Row],[disp_t6]]--0.00354)/-0.00354</f>
        <v>-0.22345543043294919</v>
      </c>
      <c r="O139">
        <f>(Table7[[#This Row],[disp_q4]]--0.00354)/-0.00354</f>
        <v>-0.2714287293481385</v>
      </c>
      <c r="P139">
        <f>(Table7[[#This Row],[disp_q8]]--0.00354)/-0.00354</f>
        <v>-0.21704406058616676</v>
      </c>
      <c r="Q139">
        <f>(Table7[[#This Row],[disp_q9]]--0.00354)/-0.00354</f>
        <v>-0.21704406058616676</v>
      </c>
    </row>
    <row r="140" spans="1:17" x14ac:dyDescent="0.3">
      <c r="A140">
        <v>18</v>
      </c>
      <c r="B140">
        <v>7</v>
      </c>
      <c r="C140">
        <v>304</v>
      </c>
      <c r="D140">
        <v>-2.0124451236667399E-3</v>
      </c>
      <c r="E140">
        <v>1110</v>
      </c>
      <c r="F140">
        <v>-2.5489720478725901E-3</v>
      </c>
      <c r="G140">
        <v>304</v>
      </c>
      <c r="H140">
        <v>-2.3362909736077699E-3</v>
      </c>
      <c r="I140">
        <v>858</v>
      </c>
      <c r="J140">
        <v>-2.5565893691015299E-3</v>
      </c>
      <c r="K140">
        <v>1110</v>
      </c>
      <c r="L140">
        <v>-2.5565893691015299E-3</v>
      </c>
      <c r="M140">
        <f>(Table7[[#This Row],[disp_t3]]--0.00354)/-0.00354</f>
        <v>-0.43151267693029949</v>
      </c>
      <c r="N140">
        <f>(Table7[[#This Row],[disp_t6]]--0.00354)/-0.00354</f>
        <v>-0.27995139890604803</v>
      </c>
      <c r="O140">
        <f>(Table7[[#This Row],[disp_q4]]--0.00354)/-0.00354</f>
        <v>-0.34003079841588424</v>
      </c>
      <c r="P140">
        <f>(Table7[[#This Row],[disp_q8]]--0.00354)/-0.00354</f>
        <v>-0.27779961324815544</v>
      </c>
      <c r="Q140">
        <f>(Table7[[#This Row],[disp_q9]]--0.00354)/-0.00354</f>
        <v>-0.27779961324815544</v>
      </c>
    </row>
    <row r="141" spans="1:17" x14ac:dyDescent="0.3">
      <c r="A141">
        <v>15</v>
      </c>
      <c r="B141">
        <v>7</v>
      </c>
      <c r="C141">
        <v>256</v>
      </c>
      <c r="D141">
        <v>-2.2151084182502299E-3</v>
      </c>
      <c r="E141">
        <v>930</v>
      </c>
      <c r="F141">
        <v>-2.2235245053058099E-3</v>
      </c>
      <c r="G141">
        <v>256</v>
      </c>
      <c r="H141">
        <v>-2.6762331195720902E-3</v>
      </c>
      <c r="I141">
        <v>720</v>
      </c>
      <c r="J141">
        <v>-2.2566126972745201E-3</v>
      </c>
      <c r="K141">
        <v>930</v>
      </c>
      <c r="L141">
        <v>-2.2566126972745201E-3</v>
      </c>
      <c r="M141">
        <f>(Table7[[#This Row],[disp_t3]]--0.00354)/-0.00354</f>
        <v>-0.37426315868637577</v>
      </c>
      <c r="N141">
        <f>(Table7[[#This Row],[disp_t6]]--0.00354)/-0.00354</f>
        <v>-0.37188573296446048</v>
      </c>
      <c r="O141">
        <f>(Table7[[#This Row],[disp_q4]]--0.00354)/-0.00354</f>
        <v>-0.24400194362370339</v>
      </c>
      <c r="P141">
        <f>(Table7[[#This Row],[disp_q8]]--0.00354)/-0.00354</f>
        <v>-0.36253878608064405</v>
      </c>
      <c r="Q141">
        <f>(Table7[[#This Row],[disp_q9]]--0.00354)/-0.00354</f>
        <v>-0.36253878608064405</v>
      </c>
    </row>
    <row r="142" spans="1:17" x14ac:dyDescent="0.3">
      <c r="A142">
        <v>12</v>
      </c>
      <c r="B142">
        <v>7</v>
      </c>
      <c r="C142">
        <v>208</v>
      </c>
      <c r="D142">
        <v>-1.43134446974314E-3</v>
      </c>
      <c r="E142">
        <v>750</v>
      </c>
      <c r="F142">
        <v>-2.0590176477594002E-3</v>
      </c>
      <c r="G142">
        <v>208</v>
      </c>
      <c r="H142">
        <v>-1.7891467024593499E-3</v>
      </c>
      <c r="I142">
        <v>582</v>
      </c>
      <c r="J142">
        <v>-2.0805031265834798E-3</v>
      </c>
      <c r="K142">
        <v>750</v>
      </c>
      <c r="L142">
        <v>-2.0805031265834798E-3</v>
      </c>
      <c r="M142">
        <f>(Table7[[#This Row],[disp_t3]]--0.00354)/-0.00354</f>
        <v>-0.59566540402736157</v>
      </c>
      <c r="N142">
        <f>(Table7[[#This Row],[disp_t6]]--0.00354)/-0.00354</f>
        <v>-0.41835659667813557</v>
      </c>
      <c r="O142">
        <f>(Table7[[#This Row],[disp_q4]]--0.00354)/-0.00354</f>
        <v>-0.49459132698888425</v>
      </c>
      <c r="P142">
        <f>(Table7[[#This Row],[disp_q8]]--0.00354)/-0.00354</f>
        <v>-0.4122872523775481</v>
      </c>
      <c r="Q142">
        <f>(Table7[[#This Row],[disp_q9]]--0.00354)/-0.00354</f>
        <v>-0.4122872523775481</v>
      </c>
    </row>
    <row r="143" spans="1:17" x14ac:dyDescent="0.3">
      <c r="A143">
        <v>10</v>
      </c>
      <c r="B143">
        <v>7</v>
      </c>
      <c r="C143">
        <v>176</v>
      </c>
      <c r="D143">
        <v>-1.16577710483689E-3</v>
      </c>
      <c r="E143">
        <v>630</v>
      </c>
      <c r="F143">
        <v>-1.83039908873249E-3</v>
      </c>
      <c r="G143">
        <v>176</v>
      </c>
      <c r="H143">
        <v>-1.5253498819984201E-3</v>
      </c>
      <c r="I143">
        <v>490</v>
      </c>
      <c r="J143">
        <v>-1.85538893538786E-3</v>
      </c>
      <c r="K143">
        <v>630</v>
      </c>
      <c r="L143">
        <v>-1.85538893538786E-3</v>
      </c>
      <c r="M143">
        <f>(Table7[[#This Row],[disp_t3]]--0.00354)/-0.00354</f>
        <v>-0.67068443366189545</v>
      </c>
      <c r="N143">
        <f>(Table7[[#This Row],[disp_t6]]--0.00354)/-0.00354</f>
        <v>-0.48293811052754521</v>
      </c>
      <c r="O143">
        <f>(Table7[[#This Row],[disp_q4]]--0.00354)/-0.00354</f>
        <v>-0.56911020282530511</v>
      </c>
      <c r="P143">
        <f>(Table7[[#This Row],[disp_q8]]--0.00354)/-0.00354</f>
        <v>-0.475878831811339</v>
      </c>
      <c r="Q143">
        <f>(Table7[[#This Row],[disp_q9]]--0.00354)/-0.00354</f>
        <v>-0.475878831811339</v>
      </c>
    </row>
    <row r="144" spans="1:17" x14ac:dyDescent="0.3">
      <c r="A144">
        <v>8</v>
      </c>
      <c r="B144">
        <v>7</v>
      </c>
      <c r="C144">
        <v>144</v>
      </c>
      <c r="D144">
        <v>-8.55759583926922E-4</v>
      </c>
      <c r="E144">
        <v>510</v>
      </c>
      <c r="F144">
        <v>-1.53409597605935E-3</v>
      </c>
      <c r="G144">
        <v>144</v>
      </c>
      <c r="H144">
        <v>-1.1937950757775801E-3</v>
      </c>
      <c r="I144">
        <v>398</v>
      </c>
      <c r="J144">
        <v>-1.56464225300497E-3</v>
      </c>
      <c r="K144">
        <v>510</v>
      </c>
      <c r="L144">
        <v>-1.56464225300497E-3</v>
      </c>
      <c r="M144">
        <f>(Table7[[#This Row],[disp_t3]]--0.00354)/-0.00354</f>
        <v>-0.75826000454041742</v>
      </c>
      <c r="N144">
        <f>(Table7[[#This Row],[disp_t6]]--0.00354)/-0.00354</f>
        <v>-0.56663955478549433</v>
      </c>
      <c r="O144">
        <f>(Table7[[#This Row],[disp_q4]]--0.00354)/-0.00354</f>
        <v>-0.66276975260520343</v>
      </c>
      <c r="P144">
        <f>(Table7[[#This Row],[disp_q8]]--0.00354)/-0.00354</f>
        <v>-0.55801066299294633</v>
      </c>
      <c r="Q144">
        <f>(Table7[[#This Row],[disp_q9]]--0.00354)/-0.00354</f>
        <v>-0.55801066299294633</v>
      </c>
    </row>
    <row r="145" spans="1:17" x14ac:dyDescent="0.3">
      <c r="A145">
        <v>7</v>
      </c>
      <c r="B145">
        <v>7</v>
      </c>
      <c r="C145">
        <v>128</v>
      </c>
      <c r="D145">
        <v>-1.0705352327947399E-3</v>
      </c>
      <c r="E145">
        <v>450</v>
      </c>
      <c r="F145">
        <v>-1.2646516114744699E-3</v>
      </c>
      <c r="G145">
        <v>128</v>
      </c>
      <c r="H145">
        <v>-1.5774464562712399E-3</v>
      </c>
      <c r="I145">
        <v>352</v>
      </c>
      <c r="J145">
        <v>-1.2933167913891199E-3</v>
      </c>
      <c r="K145">
        <v>450</v>
      </c>
      <c r="L145">
        <v>-1.2933167913891199E-3</v>
      </c>
      <c r="M145">
        <f>(Table7[[#This Row],[disp_t3]]--0.00354)/-0.00354</f>
        <v>-0.69758891728962158</v>
      </c>
      <c r="N145">
        <f>(Table7[[#This Row],[disp_t6]]--0.00354)/-0.00354</f>
        <v>-0.64275378206935885</v>
      </c>
      <c r="O145">
        <f>(Table7[[#This Row],[disp_q4]]--0.00354)/-0.00354</f>
        <v>-0.55439365642055383</v>
      </c>
      <c r="P145">
        <f>(Table7[[#This Row],[disp_q8]]--0.00354)/-0.00354</f>
        <v>-0.63465627361889276</v>
      </c>
      <c r="Q145">
        <f>(Table7[[#This Row],[disp_q9]]--0.00354)/-0.00354</f>
        <v>-0.63465627361889276</v>
      </c>
    </row>
    <row r="146" spans="1:17" x14ac:dyDescent="0.3">
      <c r="A146">
        <v>6</v>
      </c>
      <c r="B146">
        <v>7</v>
      </c>
      <c r="C146">
        <v>112</v>
      </c>
      <c r="D146">
        <v>-5.1242444992292795E-4</v>
      </c>
      <c r="E146">
        <v>390</v>
      </c>
      <c r="F146">
        <v>-1.11970808879999E-3</v>
      </c>
      <c r="G146">
        <v>112</v>
      </c>
      <c r="H146">
        <v>-7.7391644501970396E-4</v>
      </c>
      <c r="I146">
        <v>306</v>
      </c>
      <c r="J146">
        <v>-1.1586160698775099E-3</v>
      </c>
      <c r="K146">
        <v>390</v>
      </c>
      <c r="L146">
        <v>-1.1586160698775099E-3</v>
      </c>
      <c r="M146">
        <f>(Table7[[#This Row],[disp_t3]]--0.00354)/-0.00354</f>
        <v>-0.85524733053024637</v>
      </c>
      <c r="N146">
        <f>(Table7[[#This Row],[disp_t6]]--0.00354)/-0.00354</f>
        <v>-0.68369828000000288</v>
      </c>
      <c r="O146">
        <f>(Table7[[#This Row],[disp_q4]]--0.00354)/-0.00354</f>
        <v>-0.78137953530516835</v>
      </c>
      <c r="P146">
        <f>(Table7[[#This Row],[disp_q8]]--0.00354)/-0.00354</f>
        <v>-0.67270732489335883</v>
      </c>
      <c r="Q146">
        <f>(Table7[[#This Row],[disp_q9]]--0.00354)/-0.00354</f>
        <v>-0.67270732489335883</v>
      </c>
    </row>
    <row r="147" spans="1:17" x14ac:dyDescent="0.3">
      <c r="A147">
        <v>5</v>
      </c>
      <c r="B147">
        <v>7</v>
      </c>
      <c r="C147">
        <v>96</v>
      </c>
      <c r="D147">
        <v>-6.5651983007513097E-4</v>
      </c>
      <c r="E147">
        <v>330</v>
      </c>
      <c r="F147">
        <v>-7.9518251594267201E-4</v>
      </c>
      <c r="G147">
        <v>96</v>
      </c>
      <c r="H147">
        <v>-1.0582837721676501E-3</v>
      </c>
      <c r="I147">
        <v>260</v>
      </c>
      <c r="J147">
        <v>-8.2298787909624303E-4</v>
      </c>
      <c r="K147">
        <v>330</v>
      </c>
      <c r="L147">
        <v>-8.2298787909624303E-4</v>
      </c>
      <c r="M147">
        <f>(Table7[[#This Row],[disp_t3]]--0.00354)/-0.00354</f>
        <v>-0.81454242088273132</v>
      </c>
      <c r="N147">
        <f>(Table7[[#This Row],[disp_t6]]--0.00354)/-0.00354</f>
        <v>-0.77537217063766328</v>
      </c>
      <c r="O147">
        <f>(Table7[[#This Row],[disp_q4]]--0.00354)/-0.00354</f>
        <v>-0.70104978187354527</v>
      </c>
      <c r="P147">
        <f>(Table7[[#This Row],[disp_q8]]--0.00354)/-0.00354</f>
        <v>-0.76751754827789742</v>
      </c>
      <c r="Q147">
        <f>(Table7[[#This Row],[disp_q9]]--0.00354)/-0.00354</f>
        <v>-0.76751754827789742</v>
      </c>
    </row>
    <row r="148" spans="1:17" x14ac:dyDescent="0.3">
      <c r="A148">
        <v>4</v>
      </c>
      <c r="B148">
        <v>7</v>
      </c>
      <c r="C148">
        <v>80</v>
      </c>
      <c r="D148">
        <v>-1.8875205332146599E-4</v>
      </c>
      <c r="E148">
        <v>270</v>
      </c>
      <c r="F148">
        <v>-5.1753304513728999E-4</v>
      </c>
      <c r="G148">
        <v>80</v>
      </c>
      <c r="H148">
        <v>-2.93314957042465E-4</v>
      </c>
      <c r="I148">
        <v>214</v>
      </c>
      <c r="J148">
        <v>-5.7035592102855901E-4</v>
      </c>
      <c r="K148">
        <v>270</v>
      </c>
      <c r="L148">
        <v>-5.7035592102855901E-4</v>
      </c>
      <c r="M148">
        <f>(Table7[[#This Row],[disp_t3]]--0.00354)/-0.00354</f>
        <v>-0.94668021092613952</v>
      </c>
      <c r="N148">
        <f>(Table7[[#This Row],[disp_t6]]--0.00354)/-0.00354</f>
        <v>-0.85380422453748872</v>
      </c>
      <c r="O148">
        <f>(Table7[[#This Row],[disp_q4]]--0.00354)/-0.00354</f>
        <v>-0.91714266750212847</v>
      </c>
      <c r="P148">
        <f>(Table7[[#This Row],[disp_q8]]--0.00354)/-0.00354</f>
        <v>-0.83888250818402288</v>
      </c>
      <c r="Q148">
        <f>(Table7[[#This Row],[disp_q9]]--0.00354)/-0.00354</f>
        <v>-0.83888250818402288</v>
      </c>
    </row>
    <row r="149" spans="1:17" x14ac:dyDescent="0.3">
      <c r="A149">
        <v>3</v>
      </c>
      <c r="B149">
        <v>7</v>
      </c>
      <c r="C149">
        <v>64</v>
      </c>
      <c r="D149">
        <v>-2.5704926481712003E-4</v>
      </c>
      <c r="E149">
        <v>210</v>
      </c>
      <c r="F149">
        <v>-1.78348747783661E-4</v>
      </c>
      <c r="G149">
        <v>64</v>
      </c>
      <c r="H149">
        <v>-4.2164225383683497E-4</v>
      </c>
      <c r="I149">
        <v>168</v>
      </c>
      <c r="J149">
        <v>-1.88574232468718E-4</v>
      </c>
      <c r="K149">
        <v>210</v>
      </c>
      <c r="L149">
        <v>-1.88574232468718E-4</v>
      </c>
      <c r="M149">
        <f>(Table7[[#This Row],[disp_t3]]--0.00354)/-0.00354</f>
        <v>-0.92738721332849716</v>
      </c>
      <c r="N149">
        <f>(Table7[[#This Row],[disp_t6]]--0.00354)/-0.00354</f>
        <v>-0.94961899780122572</v>
      </c>
      <c r="O149">
        <f>(Table7[[#This Row],[disp_q4]]--0.00354)/-0.00354</f>
        <v>-0.88089201869015954</v>
      </c>
      <c r="P149">
        <f>(Table7[[#This Row],[disp_q8]]--0.00354)/-0.00354</f>
        <v>-0.94673044280544694</v>
      </c>
      <c r="Q149">
        <f>(Table7[[#This Row],[disp_q9]]--0.00354)/-0.00354</f>
        <v>-0.94673044280544694</v>
      </c>
    </row>
    <row r="150" spans="1:17" x14ac:dyDescent="0.3">
      <c r="A150">
        <v>2</v>
      </c>
      <c r="B150">
        <v>7</v>
      </c>
      <c r="C150">
        <v>48</v>
      </c>
      <c r="D150" s="7">
        <v>-4.6905751785594398E-6</v>
      </c>
      <c r="E150">
        <v>150</v>
      </c>
      <c r="F150" s="7">
        <v>-2.07396174396056E-5</v>
      </c>
      <c r="G150">
        <v>48</v>
      </c>
      <c r="H150" s="7">
        <v>-7.8708675901713199E-6</v>
      </c>
      <c r="I150">
        <v>122</v>
      </c>
      <c r="J150" s="7">
        <v>-1.7616093848949301E-5</v>
      </c>
      <c r="K150">
        <v>150</v>
      </c>
      <c r="L150" s="7">
        <v>-1.7616093848949301E-5</v>
      </c>
      <c r="M150">
        <f>(Table7[[#This Row],[disp_t3]]--0.00354)/-0.00354</f>
        <v>-0.99867497876311873</v>
      </c>
      <c r="N150">
        <f>(Table7[[#This Row],[disp_t6]]--0.00354)/-0.00354</f>
        <v>-0.99414135100576118</v>
      </c>
      <c r="O150">
        <f>(Table7[[#This Row],[disp_q4]]--0.00354)/-0.00354</f>
        <v>-0.99777659107622285</v>
      </c>
      <c r="P150">
        <f>(Table7[[#This Row],[disp_q8]]--0.00354)/-0.00354</f>
        <v>-0.99502370230255666</v>
      </c>
      <c r="Q150">
        <f>(Table7[[#This Row],[disp_q9]]--0.00354)/-0.00354</f>
        <v>-0.99502370230255666</v>
      </c>
    </row>
    <row r="151" spans="1:17" x14ac:dyDescent="0.3">
      <c r="A151">
        <v>1</v>
      </c>
      <c r="B151">
        <v>7</v>
      </c>
      <c r="C151">
        <v>32</v>
      </c>
      <c r="D151" s="7">
        <v>-3.1516746206481599E-6</v>
      </c>
      <c r="E151">
        <v>90</v>
      </c>
      <c r="F151" s="7">
        <v>-7.0801838385539702E-6</v>
      </c>
      <c r="G151">
        <v>32</v>
      </c>
      <c r="H151" s="7">
        <v>-4.7388394830705303E-6</v>
      </c>
      <c r="I151">
        <v>76</v>
      </c>
      <c r="J151" s="7">
        <v>-9.3587476720044808E-6</v>
      </c>
      <c r="K151">
        <v>90</v>
      </c>
      <c r="L151" s="7">
        <v>-9.3587476720044808E-6</v>
      </c>
      <c r="M151">
        <f>(Table7[[#This Row],[disp_t3]]--0.00354)/-0.00354</f>
        <v>-0.99910969643484515</v>
      </c>
      <c r="N151">
        <f>(Table7[[#This Row],[disp_t6]]--0.00354)/-0.00354</f>
        <v>-0.99799994806820513</v>
      </c>
      <c r="O151">
        <f>(Table7[[#This Row],[disp_q4]]--0.00354)/-0.00354</f>
        <v>-0.99866134477879365</v>
      </c>
      <c r="P151">
        <f>(Table7[[#This Row],[disp_q8]]--0.00354)/-0.00354</f>
        <v>-0.99735628596836035</v>
      </c>
      <c r="Q151">
        <f>(Table7[[#This Row],[disp_q9]]--0.00354)/-0.00354</f>
        <v>-0.99735628596836035</v>
      </c>
    </row>
    <row r="152" spans="1:17" x14ac:dyDescent="0.3">
      <c r="A152">
        <v>200</v>
      </c>
      <c r="B152">
        <v>6</v>
      </c>
      <c r="C152">
        <v>2814</v>
      </c>
      <c r="D152">
        <v>-3.3714871549781998E-3</v>
      </c>
      <c r="E152">
        <v>10426</v>
      </c>
      <c r="F152">
        <v>-3.6166499843782898E-3</v>
      </c>
      <c r="G152">
        <v>2814</v>
      </c>
      <c r="H152">
        <v>-3.5765746087851398E-3</v>
      </c>
      <c r="I152">
        <v>8026</v>
      </c>
      <c r="J152">
        <v>-3.6298535466923998E-3</v>
      </c>
      <c r="K152">
        <v>10426</v>
      </c>
      <c r="L152">
        <v>-3.6298535466923998E-3</v>
      </c>
      <c r="M152">
        <f>(Table7[[#This Row],[disp_t3]]--0.00354)/-0.00354</f>
        <v>-4.7602498593728913E-2</v>
      </c>
      <c r="N152">
        <f>(Table7[[#This Row],[disp_t6]]--0.00354)/-0.00354</f>
        <v>2.1652537959968823E-2</v>
      </c>
      <c r="O152">
        <f>(Table7[[#This Row],[disp_q4]]--0.00354)/-0.00354</f>
        <v>1.0331810391282384E-2</v>
      </c>
      <c r="P152">
        <f>(Table7[[#This Row],[disp_q8]]--0.00354)/-0.00354</f>
        <v>2.5382357822711768E-2</v>
      </c>
      <c r="Q152">
        <f>(Table7[[#This Row],[disp_q9]]--0.00354)/-0.00354</f>
        <v>2.5382357822711768E-2</v>
      </c>
    </row>
    <row r="153" spans="1:17" x14ac:dyDescent="0.3">
      <c r="A153">
        <v>166</v>
      </c>
      <c r="B153">
        <v>6</v>
      </c>
      <c r="C153">
        <v>2338</v>
      </c>
      <c r="D153">
        <v>-3.3518376443291398E-3</v>
      </c>
      <c r="E153">
        <v>8658</v>
      </c>
      <c r="F153">
        <v>-3.60015336935183E-3</v>
      </c>
      <c r="G153">
        <v>2338</v>
      </c>
      <c r="H153">
        <v>-3.5587423372414398E-3</v>
      </c>
      <c r="I153">
        <v>6666</v>
      </c>
      <c r="J153">
        <v>-3.6074969888254798E-3</v>
      </c>
      <c r="K153">
        <v>8658</v>
      </c>
      <c r="L153">
        <v>-3.6074969888254798E-3</v>
      </c>
      <c r="M153">
        <f>(Table7[[#This Row],[disp_t3]]--0.00354)/-0.00354</f>
        <v>-5.3153207816627218E-2</v>
      </c>
      <c r="N153">
        <f>(Table7[[#This Row],[disp_t6]]--0.00354)/-0.00354</f>
        <v>1.6992477218031016E-2</v>
      </c>
      <c r="O153">
        <f>(Table7[[#This Row],[disp_q4]]--0.00354)/-0.00354</f>
        <v>5.2944455484292691E-3</v>
      </c>
      <c r="P153">
        <f>(Table7[[#This Row],[disp_q8]]--0.00354)/-0.00354</f>
        <v>1.9066945995898196E-2</v>
      </c>
      <c r="Q153">
        <f>(Table7[[#This Row],[disp_q9]]--0.00354)/-0.00354</f>
        <v>1.9066945995898196E-2</v>
      </c>
    </row>
    <row r="154" spans="1:17" x14ac:dyDescent="0.3">
      <c r="A154">
        <v>138</v>
      </c>
      <c r="B154">
        <v>6</v>
      </c>
      <c r="C154">
        <v>1946</v>
      </c>
      <c r="D154">
        <v>-3.3271750704917998E-3</v>
      </c>
      <c r="E154">
        <v>7202</v>
      </c>
      <c r="F154">
        <v>-3.58556071025175E-3</v>
      </c>
      <c r="G154">
        <v>1946</v>
      </c>
      <c r="H154">
        <v>-3.5366445709199899E-3</v>
      </c>
      <c r="I154">
        <v>5546</v>
      </c>
      <c r="J154">
        <v>-3.5869491123704102E-3</v>
      </c>
      <c r="K154">
        <v>7202</v>
      </c>
      <c r="L154">
        <v>-3.5869491123704102E-3</v>
      </c>
      <c r="M154">
        <f>(Table7[[#This Row],[disp_t3]]--0.00354)/-0.00354</f>
        <v>-6.0120036584237382E-2</v>
      </c>
      <c r="N154">
        <f>(Table7[[#This Row],[disp_t6]]--0.00354)/-0.00354</f>
        <v>1.2870257133262661E-2</v>
      </c>
      <c r="O154">
        <f>(Table7[[#This Row],[disp_q4]]--0.00354)/-0.00354</f>
        <v>-9.4786132203679722E-4</v>
      </c>
      <c r="P154">
        <f>(Table7[[#This Row],[disp_q8]]--0.00354)/-0.00354</f>
        <v>1.3262461121584738E-2</v>
      </c>
      <c r="Q154">
        <f>(Table7[[#This Row],[disp_q9]]--0.00354)/-0.00354</f>
        <v>1.3262461121584738E-2</v>
      </c>
    </row>
    <row r="155" spans="1:17" x14ac:dyDescent="0.3">
      <c r="A155">
        <v>115</v>
      </c>
      <c r="B155">
        <v>6</v>
      </c>
      <c r="C155">
        <v>1624</v>
      </c>
      <c r="D155">
        <v>-3.3766258707237499E-3</v>
      </c>
      <c r="E155">
        <v>6006</v>
      </c>
      <c r="F155">
        <v>-3.5348402999044802E-3</v>
      </c>
      <c r="G155">
        <v>1624</v>
      </c>
      <c r="H155">
        <v>-3.5867990145642299E-3</v>
      </c>
      <c r="I155">
        <v>4626</v>
      </c>
      <c r="J155">
        <v>-3.5584033700063701E-3</v>
      </c>
      <c r="K155">
        <v>6006</v>
      </c>
      <c r="L155">
        <v>-3.5584033700063701E-3</v>
      </c>
      <c r="M155">
        <f>(Table7[[#This Row],[disp_t3]]--0.00354)/-0.00354</f>
        <v>-4.6150883976341886E-2</v>
      </c>
      <c r="N155">
        <f>(Table7[[#This Row],[disp_t6]]--0.00354)/-0.00354</f>
        <v>-1.4575423998644042E-3</v>
      </c>
      <c r="O155">
        <f>(Table7[[#This Row],[disp_q4]]--0.00354)/-0.00354</f>
        <v>1.3220060611364333E-2</v>
      </c>
      <c r="P155">
        <f>(Table7[[#This Row],[disp_q8]]--0.00354)/-0.00354</f>
        <v>5.1986920921948858E-3</v>
      </c>
      <c r="Q155">
        <f>(Table7[[#This Row],[disp_q9]]--0.00354)/-0.00354</f>
        <v>5.1986920921948858E-3</v>
      </c>
    </row>
    <row r="156" spans="1:17" x14ac:dyDescent="0.3">
      <c r="A156">
        <v>96</v>
      </c>
      <c r="B156">
        <v>6</v>
      </c>
      <c r="C156">
        <v>1358</v>
      </c>
      <c r="D156">
        <v>-3.25711622249785E-3</v>
      </c>
      <c r="E156">
        <v>5018</v>
      </c>
      <c r="F156">
        <v>-3.5432875897321802E-3</v>
      </c>
      <c r="G156">
        <v>1358</v>
      </c>
      <c r="H156">
        <v>-3.4747495492490101E-3</v>
      </c>
      <c r="I156">
        <v>3866</v>
      </c>
      <c r="J156">
        <v>-3.53640996672563E-3</v>
      </c>
      <c r="K156">
        <v>5018</v>
      </c>
      <c r="L156">
        <v>-3.53640996672563E-3</v>
      </c>
      <c r="M156">
        <f>(Table7[[#This Row],[disp_t3]]--0.00354)/-0.00354</f>
        <v>-7.9910671610776876E-2</v>
      </c>
      <c r="N156">
        <f>(Table7[[#This Row],[disp_t6]]--0.00354)/-0.00354</f>
        <v>9.2869766445763033E-4</v>
      </c>
      <c r="O156">
        <f>(Table7[[#This Row],[disp_q4]]--0.00354)/-0.00354</f>
        <v>-1.8432330720618676E-2</v>
      </c>
      <c r="P156">
        <f>(Table7[[#This Row],[disp_q8]]--0.00354)/-0.00354</f>
        <v>-1.0141336933249063E-3</v>
      </c>
      <c r="Q156">
        <f>(Table7[[#This Row],[disp_q9]]--0.00354)/-0.00354</f>
        <v>-1.0141336933249063E-3</v>
      </c>
    </row>
    <row r="157" spans="1:17" x14ac:dyDescent="0.3">
      <c r="A157">
        <v>80</v>
      </c>
      <c r="B157">
        <v>6</v>
      </c>
      <c r="C157">
        <v>1134</v>
      </c>
      <c r="D157">
        <v>-3.20653353132437E-3</v>
      </c>
      <c r="E157">
        <v>4186</v>
      </c>
      <c r="F157">
        <v>-3.5052556352354698E-3</v>
      </c>
      <c r="G157">
        <v>1134</v>
      </c>
      <c r="H157">
        <v>-3.4304034094094901E-3</v>
      </c>
      <c r="I157">
        <v>3226</v>
      </c>
      <c r="J157">
        <v>-3.4972935381762998E-3</v>
      </c>
      <c r="K157">
        <v>4186</v>
      </c>
      <c r="L157">
        <v>-3.4972935381762998E-3</v>
      </c>
      <c r="M157">
        <f>(Table7[[#This Row],[disp_t3]]--0.00354)/-0.00354</f>
        <v>-9.4199567422494385E-2</v>
      </c>
      <c r="N157">
        <f>(Table7[[#This Row],[disp_t6]]--0.00354)/-0.00354</f>
        <v>-9.8147923063645181E-3</v>
      </c>
      <c r="O157">
        <f>(Table7[[#This Row],[disp_q4]]--0.00354)/-0.00354</f>
        <v>-3.0959488867375731E-2</v>
      </c>
      <c r="P157">
        <f>(Table7[[#This Row],[disp_q8]]--0.00354)/-0.00354</f>
        <v>-1.2063972266582025E-2</v>
      </c>
      <c r="Q157">
        <f>(Table7[[#This Row],[disp_q9]]--0.00354)/-0.00354</f>
        <v>-1.2063972266582025E-2</v>
      </c>
    </row>
    <row r="158" spans="1:17" x14ac:dyDescent="0.3">
      <c r="A158">
        <v>66</v>
      </c>
      <c r="B158">
        <v>6</v>
      </c>
      <c r="C158">
        <v>938</v>
      </c>
      <c r="D158">
        <v>-3.1375328601783502E-3</v>
      </c>
      <c r="E158">
        <v>3458</v>
      </c>
      <c r="F158">
        <v>-3.4368159799455602E-3</v>
      </c>
      <c r="G158">
        <v>938</v>
      </c>
      <c r="H158">
        <v>-3.37001587973047E-3</v>
      </c>
      <c r="I158">
        <v>2666</v>
      </c>
      <c r="J158">
        <v>-3.4394713118944E-3</v>
      </c>
      <c r="K158">
        <v>3458</v>
      </c>
      <c r="L158">
        <v>-3.4394713118944E-3</v>
      </c>
      <c r="M158">
        <f>(Table7[[#This Row],[disp_t3]]--0.00354)/-0.00354</f>
        <v>-0.11369128243549435</v>
      </c>
      <c r="N158">
        <f>(Table7[[#This Row],[disp_t6]]--0.00354)/-0.00354</f>
        <v>-2.9148028263966091E-2</v>
      </c>
      <c r="O158">
        <f>(Table7[[#This Row],[disp_q4]]--0.00354)/-0.00354</f>
        <v>-4.8018113070488755E-2</v>
      </c>
      <c r="P158">
        <f>(Table7[[#This Row],[disp_q8]]--0.00354)/-0.00354</f>
        <v>-2.8397934493107395E-2</v>
      </c>
      <c r="Q158">
        <f>(Table7[[#This Row],[disp_q9]]--0.00354)/-0.00354</f>
        <v>-2.8397934493107395E-2</v>
      </c>
    </row>
    <row r="159" spans="1:17" x14ac:dyDescent="0.3">
      <c r="A159">
        <v>55</v>
      </c>
      <c r="B159">
        <v>6</v>
      </c>
      <c r="C159">
        <v>784</v>
      </c>
      <c r="D159">
        <v>-3.2348504449013701E-3</v>
      </c>
      <c r="E159">
        <v>2886</v>
      </c>
      <c r="F159">
        <v>-3.3244728699737998E-3</v>
      </c>
      <c r="G159">
        <v>784</v>
      </c>
      <c r="H159">
        <v>-3.4764614789918498E-3</v>
      </c>
      <c r="I159">
        <v>2226</v>
      </c>
      <c r="J159">
        <v>-3.3382664126216902E-3</v>
      </c>
      <c r="K159">
        <v>2886</v>
      </c>
      <c r="L159">
        <v>-3.3382664126216902E-3</v>
      </c>
      <c r="M159">
        <f>(Table7[[#This Row],[disp_t3]]--0.00354)/-0.00354</f>
        <v>-8.6200439293398309E-2</v>
      </c>
      <c r="N159">
        <f>(Table7[[#This Row],[disp_t6]]--0.00354)/-0.00354</f>
        <v>-6.0883370063898413E-2</v>
      </c>
      <c r="O159">
        <f>(Table7[[#This Row],[disp_q4]]--0.00354)/-0.00354</f>
        <v>-1.794873474806508E-2</v>
      </c>
      <c r="P159">
        <f>(Table7[[#This Row],[disp_q8]]--0.00354)/-0.00354</f>
        <v>-5.6986889089918079E-2</v>
      </c>
      <c r="Q159">
        <f>(Table7[[#This Row],[disp_q9]]--0.00354)/-0.00354</f>
        <v>-5.6986889089918079E-2</v>
      </c>
    </row>
    <row r="160" spans="1:17" x14ac:dyDescent="0.3">
      <c r="A160">
        <v>46</v>
      </c>
      <c r="B160">
        <v>6</v>
      </c>
      <c r="C160">
        <v>658</v>
      </c>
      <c r="D160">
        <v>-2.94930630987564E-3</v>
      </c>
      <c r="E160">
        <v>2418</v>
      </c>
      <c r="F160">
        <v>-3.2962282472862401E-3</v>
      </c>
      <c r="G160">
        <v>658</v>
      </c>
      <c r="H160">
        <v>-3.20471364918454E-3</v>
      </c>
      <c r="I160">
        <v>1866</v>
      </c>
      <c r="J160">
        <v>-3.2968977776824601E-3</v>
      </c>
      <c r="K160">
        <v>2418</v>
      </c>
      <c r="L160">
        <v>-3.2968977776824601E-3</v>
      </c>
      <c r="M160">
        <f>(Table7[[#This Row],[disp_t3]]--0.00354)/-0.00354</f>
        <v>-0.1668626243289153</v>
      </c>
      <c r="N160">
        <f>(Table7[[#This Row],[disp_t6]]--0.00354)/-0.00354</f>
        <v>-6.8862077037785324E-2</v>
      </c>
      <c r="O160">
        <f>(Table7[[#This Row],[disp_q4]]--0.00354)/-0.00354</f>
        <v>-9.4713658422446376E-2</v>
      </c>
      <c r="P160">
        <f>(Table7[[#This Row],[disp_q8]]--0.00354)/-0.00354</f>
        <v>-6.8672944157497195E-2</v>
      </c>
      <c r="Q160">
        <f>(Table7[[#This Row],[disp_q9]]--0.00354)/-0.00354</f>
        <v>-6.8672944157497195E-2</v>
      </c>
    </row>
    <row r="161" spans="1:17" x14ac:dyDescent="0.3">
      <c r="A161">
        <v>38</v>
      </c>
      <c r="B161">
        <v>6</v>
      </c>
      <c r="C161">
        <v>546</v>
      </c>
      <c r="D161">
        <v>-2.81056910210121E-3</v>
      </c>
      <c r="E161">
        <v>2002</v>
      </c>
      <c r="F161">
        <v>-3.19077824199346E-3</v>
      </c>
      <c r="G161">
        <v>546</v>
      </c>
      <c r="H161">
        <v>-3.0817468411686198E-3</v>
      </c>
      <c r="I161">
        <v>1546</v>
      </c>
      <c r="J161">
        <v>-3.1914926394919101E-3</v>
      </c>
      <c r="K161">
        <v>2002</v>
      </c>
      <c r="L161">
        <v>-3.1914926394919101E-3</v>
      </c>
      <c r="M161">
        <f>(Table7[[#This Row],[disp_t3]]--0.00354)/-0.00354</f>
        <v>-0.20605392596011018</v>
      </c>
      <c r="N161">
        <f>(Table7[[#This Row],[disp_t6]]--0.00354)/-0.00354</f>
        <v>-9.8650214126141292E-2</v>
      </c>
      <c r="O161">
        <f>(Table7[[#This Row],[disp_q4]]--0.00354)/-0.00354</f>
        <v>-0.12945004486762157</v>
      </c>
      <c r="P161">
        <f>(Table7[[#This Row],[disp_q8]]--0.00354)/-0.00354</f>
        <v>-9.8448406923189263E-2</v>
      </c>
      <c r="Q161">
        <f>(Table7[[#This Row],[disp_q9]]--0.00354)/-0.00354</f>
        <v>-9.8448406923189263E-2</v>
      </c>
    </row>
    <row r="162" spans="1:17" x14ac:dyDescent="0.3">
      <c r="A162">
        <v>32</v>
      </c>
      <c r="B162">
        <v>6</v>
      </c>
      <c r="C162">
        <v>462</v>
      </c>
      <c r="D162">
        <v>-2.6595104589186699E-3</v>
      </c>
      <c r="E162">
        <v>1690</v>
      </c>
      <c r="F162">
        <v>-3.0906938533719801E-3</v>
      </c>
      <c r="G162">
        <v>462</v>
      </c>
      <c r="H162">
        <v>-2.9465094649265902E-3</v>
      </c>
      <c r="I162">
        <v>1306</v>
      </c>
      <c r="J162">
        <v>-3.0809036074595599E-3</v>
      </c>
      <c r="K162">
        <v>1690</v>
      </c>
      <c r="L162">
        <v>-3.0809036074595599E-3</v>
      </c>
      <c r="M162">
        <f>(Table7[[#This Row],[disp_t3]]--0.00354)/-0.00354</f>
        <v>-0.24872585906252268</v>
      </c>
      <c r="N162">
        <f>(Table7[[#This Row],[disp_t6]]--0.00354)/-0.00354</f>
        <v>-0.12692264029040115</v>
      </c>
      <c r="O162">
        <f>(Table7[[#This Row],[disp_q4]]--0.00354)/-0.00354</f>
        <v>-0.16765269352356213</v>
      </c>
      <c r="P162">
        <f>(Table7[[#This Row],[disp_q8]]--0.00354)/-0.00354</f>
        <v>-0.12968824648035035</v>
      </c>
      <c r="Q162">
        <f>(Table7[[#This Row],[disp_q9]]--0.00354)/-0.00354</f>
        <v>-0.12968824648035035</v>
      </c>
    </row>
    <row r="163" spans="1:17" x14ac:dyDescent="0.3">
      <c r="A163">
        <v>26</v>
      </c>
      <c r="B163">
        <v>6</v>
      </c>
      <c r="C163">
        <v>378</v>
      </c>
      <c r="D163">
        <v>-2.4439423061128002E-3</v>
      </c>
      <c r="E163">
        <v>1378</v>
      </c>
      <c r="F163">
        <v>-2.9080937263215E-3</v>
      </c>
      <c r="G163">
        <v>378</v>
      </c>
      <c r="H163">
        <v>-2.75102929377651E-3</v>
      </c>
      <c r="I163">
        <v>1066</v>
      </c>
      <c r="J163">
        <v>-2.90752360259155E-3</v>
      </c>
      <c r="K163">
        <v>1378</v>
      </c>
      <c r="L163">
        <v>-2.90752360259155E-3</v>
      </c>
      <c r="M163">
        <f>(Table7[[#This Row],[disp_t3]]--0.00354)/-0.00354</f>
        <v>-0.30962081748225989</v>
      </c>
      <c r="N163">
        <f>(Table7[[#This Row],[disp_t6]]--0.00354)/-0.00354</f>
        <v>-0.17850459708432209</v>
      </c>
      <c r="O163">
        <f>(Table7[[#This Row],[disp_q4]]--0.00354)/-0.00354</f>
        <v>-0.22287308085409327</v>
      </c>
      <c r="P163">
        <f>(Table7[[#This Row],[disp_q8]]--0.00354)/-0.00354</f>
        <v>-0.17866564898543791</v>
      </c>
      <c r="Q163">
        <f>(Table7[[#This Row],[disp_q9]]--0.00354)/-0.00354</f>
        <v>-0.17866564898543791</v>
      </c>
    </row>
    <row r="164" spans="1:17" x14ac:dyDescent="0.3">
      <c r="A164">
        <v>22</v>
      </c>
      <c r="B164">
        <v>6</v>
      </c>
      <c r="C164">
        <v>322</v>
      </c>
      <c r="D164">
        <v>-2.2467629828437701E-3</v>
      </c>
      <c r="E164">
        <v>1170</v>
      </c>
      <c r="F164">
        <v>-2.7432486239990098E-3</v>
      </c>
      <c r="G164">
        <v>322</v>
      </c>
      <c r="H164">
        <v>-2.5698568640972002E-3</v>
      </c>
      <c r="I164">
        <v>906</v>
      </c>
      <c r="J164">
        <v>-2.7511070769081899E-3</v>
      </c>
      <c r="K164">
        <v>1170</v>
      </c>
      <c r="L164">
        <v>-2.7511070769081899E-3</v>
      </c>
      <c r="M164">
        <f>(Table7[[#This Row],[disp_t3]]--0.00354)/-0.00354</f>
        <v>-0.36532119128707063</v>
      </c>
      <c r="N164">
        <f>(Table7[[#This Row],[disp_t6]]--0.00354)/-0.00354</f>
        <v>-0.2250710101697713</v>
      </c>
      <c r="O164">
        <f>(Table7[[#This Row],[disp_q4]]--0.00354)/-0.00354</f>
        <v>-0.27405173330587568</v>
      </c>
      <c r="P164">
        <f>(Table7[[#This Row],[disp_q8]]--0.00354)/-0.00354</f>
        <v>-0.22285110821802548</v>
      </c>
      <c r="Q164">
        <f>(Table7[[#This Row],[disp_q9]]--0.00354)/-0.00354</f>
        <v>-0.22285110821802548</v>
      </c>
    </row>
    <row r="165" spans="1:17" x14ac:dyDescent="0.3">
      <c r="A165">
        <v>18</v>
      </c>
      <c r="B165">
        <v>6</v>
      </c>
      <c r="C165">
        <v>266</v>
      </c>
      <c r="D165">
        <v>-1.9873006952253898E-3</v>
      </c>
      <c r="E165">
        <v>962</v>
      </c>
      <c r="F165">
        <v>-2.5302707931537899E-3</v>
      </c>
      <c r="G165">
        <v>266</v>
      </c>
      <c r="H165">
        <v>-2.32848209626384E-3</v>
      </c>
      <c r="I165">
        <v>746</v>
      </c>
      <c r="J165">
        <v>-2.5423203909574702E-3</v>
      </c>
      <c r="K165">
        <v>962</v>
      </c>
      <c r="L165">
        <v>-2.5423203909574702E-3</v>
      </c>
      <c r="M165">
        <f>(Table7[[#This Row],[disp_t3]]--0.00354)/-0.00354</f>
        <v>-0.43861562281768651</v>
      </c>
      <c r="N165">
        <f>(Table7[[#This Row],[disp_t6]]--0.00354)/-0.00354</f>
        <v>-0.28523423922209329</v>
      </c>
      <c r="O165">
        <f>(Table7[[#This Row],[disp_q4]]--0.00354)/-0.00354</f>
        <v>-0.34223669597066669</v>
      </c>
      <c r="P165">
        <f>(Table7[[#This Row],[disp_q8]]--0.00354)/-0.00354</f>
        <v>-0.28183039803461296</v>
      </c>
      <c r="Q165">
        <f>(Table7[[#This Row],[disp_q9]]--0.00354)/-0.00354</f>
        <v>-0.28183039803461296</v>
      </c>
    </row>
    <row r="166" spans="1:17" x14ac:dyDescent="0.3">
      <c r="A166">
        <v>15</v>
      </c>
      <c r="B166">
        <v>6</v>
      </c>
      <c r="C166">
        <v>224</v>
      </c>
      <c r="D166">
        <v>-2.1901582645468E-3</v>
      </c>
      <c r="E166">
        <v>806</v>
      </c>
      <c r="F166">
        <v>-2.2169082291569699E-3</v>
      </c>
      <c r="G166">
        <v>224</v>
      </c>
      <c r="H166">
        <v>-2.66891704571968E-3</v>
      </c>
      <c r="I166">
        <v>626</v>
      </c>
      <c r="J166">
        <v>-2.23883602432041E-3</v>
      </c>
      <c r="K166">
        <v>806</v>
      </c>
      <c r="L166">
        <v>-2.23883602432041E-3</v>
      </c>
      <c r="M166">
        <f>(Table7[[#This Row],[disp_t3]]--0.00354)/-0.00354</f>
        <v>-0.38131122470429379</v>
      </c>
      <c r="N166">
        <f>(Table7[[#This Row],[disp_t6]]--0.00354)/-0.00354</f>
        <v>-0.37375473752627969</v>
      </c>
      <c r="O166">
        <f>(Table7[[#This Row],[disp_q4]]--0.00354)/-0.00354</f>
        <v>-0.24606863115263281</v>
      </c>
      <c r="P166">
        <f>(Table7[[#This Row],[disp_q8]]--0.00354)/-0.00354</f>
        <v>-0.36756044510722885</v>
      </c>
      <c r="Q166">
        <f>(Table7[[#This Row],[disp_q9]]--0.00354)/-0.00354</f>
        <v>-0.36756044510722885</v>
      </c>
    </row>
    <row r="167" spans="1:17" x14ac:dyDescent="0.3">
      <c r="A167">
        <v>12</v>
      </c>
      <c r="B167">
        <v>6</v>
      </c>
      <c r="C167">
        <v>182</v>
      </c>
      <c r="D167">
        <v>-1.4259597368548301E-3</v>
      </c>
      <c r="E167">
        <v>650</v>
      </c>
      <c r="F167">
        <v>-2.0547826925095001E-3</v>
      </c>
      <c r="G167">
        <v>182</v>
      </c>
      <c r="H167">
        <v>-1.79777126630126E-3</v>
      </c>
      <c r="I167">
        <v>506</v>
      </c>
      <c r="J167">
        <v>-2.07483712348192E-3</v>
      </c>
      <c r="K167">
        <v>650</v>
      </c>
      <c r="L167">
        <v>-2.07483712348192E-3</v>
      </c>
      <c r="M167">
        <f>(Table7[[#This Row],[disp_t3]]--0.00354)/-0.00354</f>
        <v>-0.59718651501275988</v>
      </c>
      <c r="N167">
        <f>(Table7[[#This Row],[disp_t6]]--0.00354)/-0.00354</f>
        <v>-0.41955291172048026</v>
      </c>
      <c r="O167">
        <f>(Table7[[#This Row],[disp_q4]]--0.00354)/-0.00354</f>
        <v>-0.4921550095194181</v>
      </c>
      <c r="P167">
        <f>(Table7[[#This Row],[disp_q8]]--0.00354)/-0.00354</f>
        <v>-0.41388781822544635</v>
      </c>
      <c r="Q167">
        <f>(Table7[[#This Row],[disp_q9]]--0.00354)/-0.00354</f>
        <v>-0.41388781822544635</v>
      </c>
    </row>
    <row r="168" spans="1:17" x14ac:dyDescent="0.3">
      <c r="A168">
        <v>10</v>
      </c>
      <c r="B168">
        <v>6</v>
      </c>
      <c r="C168">
        <v>154</v>
      </c>
      <c r="D168">
        <v>-1.1552939771105001E-3</v>
      </c>
      <c r="E168">
        <v>546</v>
      </c>
      <c r="F168">
        <v>-1.8327005820300401E-3</v>
      </c>
      <c r="G168">
        <v>154</v>
      </c>
      <c r="H168">
        <v>-1.52102226250613E-3</v>
      </c>
      <c r="I168">
        <v>426</v>
      </c>
      <c r="J168">
        <v>-1.85020960279529E-3</v>
      </c>
      <c r="K168">
        <v>546</v>
      </c>
      <c r="L168">
        <v>-1.85020960279529E-3</v>
      </c>
      <c r="M168">
        <f>(Table7[[#This Row],[disp_t3]]--0.00354)/-0.00354</f>
        <v>-0.67364576917782482</v>
      </c>
      <c r="N168">
        <f>(Table7[[#This Row],[disp_t6]]--0.00354)/-0.00354</f>
        <v>-0.4822879711779548</v>
      </c>
      <c r="O168">
        <f>(Table7[[#This Row],[disp_q4]]--0.00354)/-0.00354</f>
        <v>-0.57033269420730792</v>
      </c>
      <c r="P168">
        <f>(Table7[[#This Row],[disp_q8]]--0.00354)/-0.00354</f>
        <v>-0.47734192011432486</v>
      </c>
      <c r="Q168">
        <f>(Table7[[#This Row],[disp_q9]]--0.00354)/-0.00354</f>
        <v>-0.47734192011432486</v>
      </c>
    </row>
    <row r="169" spans="1:17" x14ac:dyDescent="0.3">
      <c r="A169">
        <v>8</v>
      </c>
      <c r="B169">
        <v>6</v>
      </c>
      <c r="C169">
        <v>126</v>
      </c>
      <c r="D169">
        <v>-8.4924978063400302E-4</v>
      </c>
      <c r="E169">
        <v>442</v>
      </c>
      <c r="F169">
        <v>-1.53022749626574E-3</v>
      </c>
      <c r="G169">
        <v>126</v>
      </c>
      <c r="H169">
        <v>-1.19021591402574E-3</v>
      </c>
      <c r="I169">
        <v>346</v>
      </c>
      <c r="J169">
        <v>-1.56603525265258E-3</v>
      </c>
      <c r="K169">
        <v>442</v>
      </c>
      <c r="L169">
        <v>-1.56603525265258E-3</v>
      </c>
      <c r="M169">
        <f>(Table7[[#This Row],[disp_t3]]--0.00354)/-0.00354</f>
        <v>-0.76009893202429291</v>
      </c>
      <c r="N169">
        <f>(Table7[[#This Row],[disp_t6]]--0.00354)/-0.00354</f>
        <v>-0.56773234568764408</v>
      </c>
      <c r="O169">
        <f>(Table7[[#This Row],[disp_q4]]--0.00354)/-0.00354</f>
        <v>-0.66378081524696619</v>
      </c>
      <c r="P169">
        <f>(Table7[[#This Row],[disp_q8]]--0.00354)/-0.00354</f>
        <v>-0.55761716026763275</v>
      </c>
      <c r="Q169">
        <f>(Table7[[#This Row],[disp_q9]]--0.00354)/-0.00354</f>
        <v>-0.55761716026763275</v>
      </c>
    </row>
    <row r="170" spans="1:17" x14ac:dyDescent="0.3">
      <c r="A170">
        <v>7</v>
      </c>
      <c r="B170">
        <v>6</v>
      </c>
      <c r="C170">
        <v>112</v>
      </c>
      <c r="D170">
        <v>-1.0637580488163101E-3</v>
      </c>
      <c r="E170">
        <v>390</v>
      </c>
      <c r="F170">
        <v>-1.2612808323699499E-3</v>
      </c>
      <c r="G170">
        <v>112</v>
      </c>
      <c r="H170">
        <v>-1.5739558638354599E-3</v>
      </c>
      <c r="I170">
        <v>306</v>
      </c>
      <c r="J170">
        <v>-1.2895979456663E-3</v>
      </c>
      <c r="K170">
        <v>390</v>
      </c>
      <c r="L170">
        <v>-1.2895979456663E-3</v>
      </c>
      <c r="M170">
        <f>(Table7[[#This Row],[disp_t3]]--0.00354)/-0.00354</f>
        <v>-0.69950337604059043</v>
      </c>
      <c r="N170">
        <f>(Table7[[#This Row],[disp_t6]]--0.00354)/-0.00354</f>
        <v>-0.64370597955651132</v>
      </c>
      <c r="O170">
        <f>(Table7[[#This Row],[disp_q4]]--0.00354)/-0.00354</f>
        <v>-0.55537969948150856</v>
      </c>
      <c r="P170">
        <f>(Table7[[#This Row],[disp_q8]]--0.00354)/-0.00354</f>
        <v>-0.63570679500951977</v>
      </c>
      <c r="Q170">
        <f>(Table7[[#This Row],[disp_q9]]--0.00354)/-0.00354</f>
        <v>-0.63570679500951977</v>
      </c>
    </row>
    <row r="171" spans="1:17" x14ac:dyDescent="0.3">
      <c r="A171">
        <v>6</v>
      </c>
      <c r="B171">
        <v>6</v>
      </c>
      <c r="C171">
        <v>98</v>
      </c>
      <c r="D171">
        <v>-5.0930689159605204E-4</v>
      </c>
      <c r="E171">
        <v>338</v>
      </c>
      <c r="F171">
        <v>-1.11622798346185E-3</v>
      </c>
      <c r="G171">
        <v>98</v>
      </c>
      <c r="H171">
        <v>-7.7143027080445799E-4</v>
      </c>
      <c r="I171">
        <v>266</v>
      </c>
      <c r="J171">
        <v>-1.1547037532119301E-3</v>
      </c>
      <c r="K171">
        <v>338</v>
      </c>
      <c r="L171">
        <v>-1.1547037532119301E-3</v>
      </c>
      <c r="M171">
        <f>(Table7[[#This Row],[disp_t3]]--0.00354)/-0.00354</f>
        <v>-0.85612799672427908</v>
      </c>
      <c r="N171">
        <f>(Table7[[#This Row],[disp_t6]]--0.00354)/-0.00354</f>
        <v>-0.68468136060399731</v>
      </c>
      <c r="O171">
        <f>(Table7[[#This Row],[disp_q4]]--0.00354)/-0.00354</f>
        <v>-0.78208184440552042</v>
      </c>
      <c r="P171">
        <f>(Table7[[#This Row],[disp_q8]]--0.00354)/-0.00354</f>
        <v>-0.67381249909267515</v>
      </c>
      <c r="Q171">
        <f>(Table7[[#This Row],[disp_q9]]--0.00354)/-0.00354</f>
        <v>-0.67381249909267515</v>
      </c>
    </row>
    <row r="172" spans="1:17" x14ac:dyDescent="0.3">
      <c r="A172">
        <v>5</v>
      </c>
      <c r="B172">
        <v>6</v>
      </c>
      <c r="C172">
        <v>84</v>
      </c>
      <c r="D172">
        <v>-6.5354836764484501E-4</v>
      </c>
      <c r="E172">
        <v>286</v>
      </c>
      <c r="F172">
        <v>-7.9479453567569199E-4</v>
      </c>
      <c r="G172">
        <v>84</v>
      </c>
      <c r="H172">
        <v>-1.0559301543655599E-3</v>
      </c>
      <c r="I172">
        <v>226</v>
      </c>
      <c r="J172">
        <v>-8.1942356668346004E-4</v>
      </c>
      <c r="K172">
        <v>286</v>
      </c>
      <c r="L172">
        <v>-8.1942356668346004E-4</v>
      </c>
      <c r="M172">
        <f>(Table7[[#This Row],[disp_t3]]--0.00354)/-0.00354</f>
        <v>-0.81538181704947887</v>
      </c>
      <c r="N172">
        <f>(Table7[[#This Row],[disp_t6]]--0.00354)/-0.00354</f>
        <v>-0.77548176958313786</v>
      </c>
      <c r="O172">
        <f>(Table7[[#This Row],[disp_q4]]--0.00354)/-0.00354</f>
        <v>-0.70171464565944641</v>
      </c>
      <c r="P172">
        <f>(Table7[[#This Row],[disp_q8]]--0.00354)/-0.00354</f>
        <v>-0.768524416191113</v>
      </c>
      <c r="Q172">
        <f>(Table7[[#This Row],[disp_q9]]--0.00354)/-0.00354</f>
        <v>-0.768524416191113</v>
      </c>
    </row>
    <row r="173" spans="1:17" x14ac:dyDescent="0.3">
      <c r="A173">
        <v>4</v>
      </c>
      <c r="B173">
        <v>6</v>
      </c>
      <c r="C173">
        <v>70</v>
      </c>
      <c r="D173">
        <v>-1.9088859364439E-4</v>
      </c>
      <c r="E173">
        <v>234</v>
      </c>
      <c r="F173">
        <v>-5.1548332109755096E-4</v>
      </c>
      <c r="G173">
        <v>70</v>
      </c>
      <c r="H173">
        <v>-2.95977228797681E-4</v>
      </c>
      <c r="I173">
        <v>186</v>
      </c>
      <c r="J173">
        <v>-5.6382799129992098E-4</v>
      </c>
      <c r="K173">
        <v>234</v>
      </c>
      <c r="L173">
        <v>-5.6382799129992098E-4</v>
      </c>
      <c r="M173">
        <f>(Table7[[#This Row],[disp_t3]]--0.00354)/-0.00354</f>
        <v>-0.94607666846203675</v>
      </c>
      <c r="N173">
        <f>(Table7[[#This Row],[disp_t6]]--0.00354)/-0.00354</f>
        <v>-0.8543832426278104</v>
      </c>
      <c r="O173">
        <f>(Table7[[#This Row],[disp_q4]]--0.00354)/-0.00354</f>
        <v>-0.91639061333398841</v>
      </c>
      <c r="P173">
        <f>(Table7[[#This Row],[disp_q8]]--0.00354)/-0.00354</f>
        <v>-0.84072655612996583</v>
      </c>
      <c r="Q173">
        <f>(Table7[[#This Row],[disp_q9]]--0.00354)/-0.00354</f>
        <v>-0.84072655612996583</v>
      </c>
    </row>
    <row r="174" spans="1:17" x14ac:dyDescent="0.3">
      <c r="A174">
        <v>3</v>
      </c>
      <c r="B174">
        <v>6</v>
      </c>
      <c r="C174">
        <v>56</v>
      </c>
      <c r="D174">
        <v>-2.57107535239844E-4</v>
      </c>
      <c r="E174">
        <v>182</v>
      </c>
      <c r="F174">
        <v>-1.7651001563101599E-4</v>
      </c>
      <c r="G174">
        <v>56</v>
      </c>
      <c r="H174">
        <v>-4.2173718686580098E-4</v>
      </c>
      <c r="I174">
        <v>146</v>
      </c>
      <c r="J174">
        <v>-1.95215643768046E-4</v>
      </c>
      <c r="K174">
        <v>182</v>
      </c>
      <c r="L174">
        <v>-1.95215643768046E-4</v>
      </c>
      <c r="M174">
        <f>(Table7[[#This Row],[disp_t3]]--0.00354)/-0.00354</f>
        <v>-0.92737075275710623</v>
      </c>
      <c r="N174">
        <f>(Table7[[#This Row],[disp_t6]]--0.00354)/-0.00354</f>
        <v>-0.95013841366355478</v>
      </c>
      <c r="O174">
        <f>(Table7[[#This Row],[disp_q4]]--0.00354)/-0.00354</f>
        <v>-0.88086520145033864</v>
      </c>
      <c r="P174">
        <f>(Table7[[#This Row],[disp_q8]]--0.00354)/-0.00354</f>
        <v>-0.94485433791863105</v>
      </c>
      <c r="Q174">
        <f>(Table7[[#This Row],[disp_q9]]--0.00354)/-0.00354</f>
        <v>-0.94485433791863105</v>
      </c>
    </row>
    <row r="175" spans="1:17" x14ac:dyDescent="0.3">
      <c r="A175">
        <v>2</v>
      </c>
      <c r="B175">
        <v>6</v>
      </c>
      <c r="C175">
        <v>42</v>
      </c>
      <c r="D175" s="7">
        <v>-3.6456641235371702E-6</v>
      </c>
      <c r="E175">
        <v>130</v>
      </c>
      <c r="F175" s="7">
        <v>-1.06858584335599E-5</v>
      </c>
      <c r="G175">
        <v>42</v>
      </c>
      <c r="H175" s="7">
        <v>-6.1148617932960502E-6</v>
      </c>
      <c r="I175">
        <v>106</v>
      </c>
      <c r="J175" s="7">
        <v>-1.36291615739442E-5</v>
      </c>
      <c r="K175">
        <v>130</v>
      </c>
      <c r="L175" s="7">
        <v>-1.36291615739442E-5</v>
      </c>
      <c r="M175">
        <f>(Table7[[#This Row],[disp_t3]]--0.00354)/-0.00354</f>
        <v>-0.99897015137753187</v>
      </c>
      <c r="N175">
        <f>(Table7[[#This Row],[disp_t6]]--0.00354)/-0.00354</f>
        <v>-0.99698139592272328</v>
      </c>
      <c r="O175">
        <f>(Table7[[#This Row],[disp_q4]]--0.00354)/-0.00354</f>
        <v>-0.99827263791149823</v>
      </c>
      <c r="P175">
        <f>(Table7[[#This Row],[disp_q8]]--0.00354)/-0.00354</f>
        <v>-0.99614995435764286</v>
      </c>
      <c r="Q175">
        <f>(Table7[[#This Row],[disp_q9]]--0.00354)/-0.00354</f>
        <v>-0.99614995435764286</v>
      </c>
    </row>
    <row r="176" spans="1:17" x14ac:dyDescent="0.3">
      <c r="A176">
        <v>1</v>
      </c>
      <c r="B176">
        <v>6</v>
      </c>
      <c r="C176">
        <v>28</v>
      </c>
      <c r="D176" s="7">
        <v>-3.6773073889316999E-6</v>
      </c>
      <c r="E176">
        <v>78</v>
      </c>
      <c r="F176" s="7">
        <v>-5.5046344602619202E-6</v>
      </c>
      <c r="G176">
        <v>28</v>
      </c>
      <c r="H176" s="7">
        <v>-5.5297436582419401E-6</v>
      </c>
      <c r="I176">
        <v>66</v>
      </c>
      <c r="J176" s="7">
        <v>-7.2748126976663803E-6</v>
      </c>
      <c r="K176">
        <v>78</v>
      </c>
      <c r="L176" s="7">
        <v>-7.2748126976663803E-6</v>
      </c>
      <c r="M176">
        <f>(Table7[[#This Row],[disp_t3]]--0.00354)/-0.00354</f>
        <v>-0.99896121260199666</v>
      </c>
      <c r="N176">
        <f>(Table7[[#This Row],[disp_t6]]--0.00354)/-0.00354</f>
        <v>-0.99844501851405032</v>
      </c>
      <c r="O176">
        <f>(Table7[[#This Row],[disp_q4]]--0.00354)/-0.00354</f>
        <v>-0.99843792552027066</v>
      </c>
      <c r="P176">
        <f>(Table7[[#This Row],[disp_q8]]--0.00354)/-0.00354</f>
        <v>-0.99794496816450107</v>
      </c>
      <c r="Q176">
        <f>(Table7[[#This Row],[disp_q9]]--0.00354)/-0.00354</f>
        <v>-0.99794496816450107</v>
      </c>
    </row>
    <row r="177" spans="1:17" x14ac:dyDescent="0.3">
      <c r="A177">
        <v>200</v>
      </c>
      <c r="B177">
        <v>5</v>
      </c>
      <c r="C177">
        <v>2412</v>
      </c>
      <c r="D177">
        <v>-3.28897278527698E-3</v>
      </c>
      <c r="E177">
        <v>8822</v>
      </c>
      <c r="F177">
        <v>-3.6114691199394E-3</v>
      </c>
      <c r="G177">
        <v>2412</v>
      </c>
      <c r="H177">
        <v>-3.5643836623801398E-3</v>
      </c>
      <c r="I177">
        <v>6822</v>
      </c>
      <c r="J177">
        <v>-3.6212258192347998E-3</v>
      </c>
      <c r="K177">
        <v>8822</v>
      </c>
      <c r="L177">
        <v>-3.6212258192347998E-3</v>
      </c>
      <c r="M177">
        <f>(Table7[[#This Row],[disp_t3]]--0.00354)/-0.00354</f>
        <v>-7.0911642577124345E-2</v>
      </c>
      <c r="N177">
        <f>(Table7[[#This Row],[disp_t6]]--0.00354)/-0.00354</f>
        <v>2.0189016932033836E-2</v>
      </c>
      <c r="O177">
        <f>(Table7[[#This Row],[disp_q4]]--0.00354)/-0.00354</f>
        <v>6.8880402203784375E-3</v>
      </c>
      <c r="P177">
        <f>(Table7[[#This Row],[disp_q8]]--0.00354)/-0.00354</f>
        <v>2.294514667649708E-2</v>
      </c>
      <c r="Q177">
        <f>(Table7[[#This Row],[disp_q9]]--0.00354)/-0.00354</f>
        <v>2.294514667649708E-2</v>
      </c>
    </row>
    <row r="178" spans="1:17" x14ac:dyDescent="0.3">
      <c r="A178">
        <v>166</v>
      </c>
      <c r="B178">
        <v>5</v>
      </c>
      <c r="C178">
        <v>2004</v>
      </c>
      <c r="D178">
        <v>-3.2692702307286301E-3</v>
      </c>
      <c r="E178">
        <v>7326</v>
      </c>
      <c r="F178">
        <v>-3.5930290160251302E-3</v>
      </c>
      <c r="G178">
        <v>2004</v>
      </c>
      <c r="H178">
        <v>-3.5462817816382798E-3</v>
      </c>
      <c r="I178">
        <v>5666</v>
      </c>
      <c r="J178">
        <v>-3.6042754914343998E-3</v>
      </c>
      <c r="K178">
        <v>7326</v>
      </c>
      <c r="L178">
        <v>-3.6042754914343998E-3</v>
      </c>
      <c r="M178">
        <f>(Table7[[#This Row],[disp_t3]]--0.00354)/-0.00354</f>
        <v>-7.6477335952364417E-2</v>
      </c>
      <c r="N178">
        <f>(Table7[[#This Row],[disp_t6]]--0.00354)/-0.00354</f>
        <v>1.4979948029697744E-2</v>
      </c>
      <c r="O178">
        <f>(Table7[[#This Row],[disp_q4]]--0.00354)/-0.00354</f>
        <v>1.7745145870846375E-3</v>
      </c>
      <c r="P178">
        <f>(Table7[[#This Row],[disp_q8]]--0.00354)/-0.00354</f>
        <v>1.8156918484293672E-2</v>
      </c>
      <c r="Q178">
        <f>(Table7[[#This Row],[disp_q9]]--0.00354)/-0.00354</f>
        <v>1.8156918484293672E-2</v>
      </c>
    </row>
    <row r="179" spans="1:17" x14ac:dyDescent="0.3">
      <c r="A179">
        <v>138</v>
      </c>
      <c r="B179">
        <v>5</v>
      </c>
      <c r="C179">
        <v>1668</v>
      </c>
      <c r="D179">
        <v>-3.24464547177915E-3</v>
      </c>
      <c r="E179">
        <v>6094</v>
      </c>
      <c r="F179">
        <v>-3.5939361636088398E-3</v>
      </c>
      <c r="G179">
        <v>1668</v>
      </c>
      <c r="H179">
        <v>-3.52382838901379E-3</v>
      </c>
      <c r="I179">
        <v>4714</v>
      </c>
      <c r="J179">
        <v>-3.5837891607904699E-3</v>
      </c>
      <c r="K179">
        <v>6094</v>
      </c>
      <c r="L179">
        <v>-3.5837891607904699E-3</v>
      </c>
      <c r="M179">
        <f>(Table7[[#This Row],[disp_t3]]--0.00354)/-0.00354</f>
        <v>-8.3433482548262744E-2</v>
      </c>
      <c r="N179">
        <f>(Table7[[#This Row],[disp_t6]]--0.00354)/-0.00354</f>
        <v>1.5236204409276742E-2</v>
      </c>
      <c r="O179">
        <f>(Table7[[#This Row],[disp_q4]]--0.00354)/-0.00354</f>
        <v>-4.5682516910198106E-3</v>
      </c>
      <c r="P179">
        <f>(Table7[[#This Row],[disp_q8]]--0.00354)/-0.00354</f>
        <v>1.2369819432336079E-2</v>
      </c>
      <c r="Q179">
        <f>(Table7[[#This Row],[disp_q9]]--0.00354)/-0.00354</f>
        <v>1.2369819432336079E-2</v>
      </c>
    </row>
    <row r="180" spans="1:17" x14ac:dyDescent="0.3">
      <c r="A180">
        <v>115</v>
      </c>
      <c r="B180">
        <v>5</v>
      </c>
      <c r="C180">
        <v>1392</v>
      </c>
      <c r="D180">
        <v>-3.2902020666314901E-3</v>
      </c>
      <c r="E180">
        <v>5082</v>
      </c>
      <c r="F180">
        <v>-3.53869305255199E-3</v>
      </c>
      <c r="G180">
        <v>1392</v>
      </c>
      <c r="H180">
        <v>-3.5701425996363602E-3</v>
      </c>
      <c r="I180">
        <v>3932</v>
      </c>
      <c r="J180">
        <v>-3.5354579701908201E-3</v>
      </c>
      <c r="K180">
        <v>5082</v>
      </c>
      <c r="L180">
        <v>-3.5354579701908201E-3</v>
      </c>
      <c r="M180">
        <f>(Table7[[#This Row],[disp_t3]]--0.00354)/-0.00354</f>
        <v>-7.0564387957206223E-2</v>
      </c>
      <c r="N180">
        <f>(Table7[[#This Row],[disp_t6]]--0.00354)/-0.00354</f>
        <v>-3.6919419435316414E-4</v>
      </c>
      <c r="O180">
        <f>(Table7[[#This Row],[disp_q4]]--0.00354)/-0.00354</f>
        <v>8.5148586543389894E-3</v>
      </c>
      <c r="P180">
        <f>(Table7[[#This Row],[disp_q8]]--0.00354)/-0.00354</f>
        <v>-1.2830592681299542E-3</v>
      </c>
      <c r="Q180">
        <f>(Table7[[#This Row],[disp_q9]]--0.00354)/-0.00354</f>
        <v>-1.2830592681299542E-3</v>
      </c>
    </row>
    <row r="181" spans="1:17" x14ac:dyDescent="0.3">
      <c r="A181">
        <v>96</v>
      </c>
      <c r="B181">
        <v>5</v>
      </c>
      <c r="C181">
        <v>1164</v>
      </c>
      <c r="D181">
        <v>-3.1753018884803801E-3</v>
      </c>
      <c r="E181">
        <v>4246</v>
      </c>
      <c r="F181">
        <v>-3.5244773678155001E-3</v>
      </c>
      <c r="G181">
        <v>1164</v>
      </c>
      <c r="H181">
        <v>-3.46103805774184E-3</v>
      </c>
      <c r="I181">
        <v>3286</v>
      </c>
      <c r="J181">
        <v>-3.5260146004302E-3</v>
      </c>
      <c r="K181">
        <v>4246</v>
      </c>
      <c r="L181">
        <v>-3.5260146004302E-3</v>
      </c>
      <c r="M181">
        <f>(Table7[[#This Row],[disp_t3]]--0.00354)/-0.00354</f>
        <v>-0.1030220654010226</v>
      </c>
      <c r="N181">
        <f>(Table7[[#This Row],[disp_t6]]--0.00354)/-0.00354</f>
        <v>-4.3849243459039774E-3</v>
      </c>
      <c r="O181">
        <f>(Table7[[#This Row],[disp_q4]]--0.00354)/-0.00354</f>
        <v>-2.2305633406259934E-2</v>
      </c>
      <c r="P181">
        <f>(Table7[[#This Row],[disp_q8]]--0.00354)/-0.00354</f>
        <v>-3.9506778445763278E-3</v>
      </c>
      <c r="Q181">
        <f>(Table7[[#This Row],[disp_q9]]--0.00354)/-0.00354</f>
        <v>-3.9506778445763278E-3</v>
      </c>
    </row>
    <row r="182" spans="1:17" x14ac:dyDescent="0.3">
      <c r="A182">
        <v>80</v>
      </c>
      <c r="B182">
        <v>5</v>
      </c>
      <c r="C182">
        <v>972</v>
      </c>
      <c r="D182">
        <v>-3.1257107260396501E-3</v>
      </c>
      <c r="E182">
        <v>3542</v>
      </c>
      <c r="F182">
        <v>-3.48619649263091E-3</v>
      </c>
      <c r="G182">
        <v>972</v>
      </c>
      <c r="H182">
        <v>-3.41622656800084E-3</v>
      </c>
      <c r="I182">
        <v>2742</v>
      </c>
      <c r="J182">
        <v>-3.4885743615190902E-3</v>
      </c>
      <c r="K182">
        <v>3542</v>
      </c>
      <c r="L182">
        <v>-3.4885743615190902E-3</v>
      </c>
      <c r="M182">
        <f>(Table7[[#This Row],[disp_t3]]--0.00354)/-0.00354</f>
        <v>-0.11703086835038136</v>
      </c>
      <c r="N182">
        <f>(Table7[[#This Row],[disp_t6]]--0.00354)/-0.00354</f>
        <v>-1.5198730895223207E-2</v>
      </c>
      <c r="O182">
        <f>(Table7[[#This Row],[disp_q4]]--0.00354)/-0.00354</f>
        <v>-3.4964246327446373E-2</v>
      </c>
      <c r="P182">
        <f>(Table7[[#This Row],[disp_q8]]--0.00354)/-0.00354</f>
        <v>-1.4527016520031067E-2</v>
      </c>
      <c r="Q182">
        <f>(Table7[[#This Row],[disp_q9]]--0.00354)/-0.00354</f>
        <v>-1.4527016520031067E-2</v>
      </c>
    </row>
    <row r="183" spans="1:17" x14ac:dyDescent="0.3">
      <c r="A183">
        <v>66</v>
      </c>
      <c r="B183">
        <v>5</v>
      </c>
      <c r="C183">
        <v>804</v>
      </c>
      <c r="D183">
        <v>-3.0585453090438901E-3</v>
      </c>
      <c r="E183">
        <v>2926</v>
      </c>
      <c r="F183">
        <v>-3.4306066648941099E-3</v>
      </c>
      <c r="G183">
        <v>804</v>
      </c>
      <c r="H183">
        <v>-3.3554501283648199E-3</v>
      </c>
      <c r="I183">
        <v>2266</v>
      </c>
      <c r="J183">
        <v>-3.4354230448216901E-3</v>
      </c>
      <c r="K183">
        <v>2926</v>
      </c>
      <c r="L183">
        <v>-3.4354230448216901E-3</v>
      </c>
      <c r="M183">
        <f>(Table7[[#This Row],[disp_t3]]--0.00354)/-0.00354</f>
        <v>-0.13600414998760171</v>
      </c>
      <c r="N183">
        <f>(Table7[[#This Row],[disp_t6]]--0.00354)/-0.00354</f>
        <v>-3.0902072063810803E-2</v>
      </c>
      <c r="O183">
        <f>(Table7[[#This Row],[disp_q4]]--0.00354)/-0.00354</f>
        <v>-5.2132732100333402E-2</v>
      </c>
      <c r="P183">
        <f>(Table7[[#This Row],[disp_q8]]--0.00354)/-0.00354</f>
        <v>-2.9541512762234472E-2</v>
      </c>
      <c r="Q183">
        <f>(Table7[[#This Row],[disp_q9]]--0.00354)/-0.00354</f>
        <v>-2.9541512762234472E-2</v>
      </c>
    </row>
    <row r="184" spans="1:17" x14ac:dyDescent="0.3">
      <c r="A184">
        <v>55</v>
      </c>
      <c r="B184">
        <v>5</v>
      </c>
      <c r="C184">
        <v>672</v>
      </c>
      <c r="D184">
        <v>-3.1577267779354101E-3</v>
      </c>
      <c r="E184">
        <v>2442</v>
      </c>
      <c r="F184">
        <v>-3.31671772456735E-3</v>
      </c>
      <c r="G184">
        <v>672</v>
      </c>
      <c r="H184">
        <v>-3.46491049131598E-3</v>
      </c>
      <c r="I184">
        <v>1892</v>
      </c>
      <c r="J184">
        <v>-3.3306189769555E-3</v>
      </c>
      <c r="K184">
        <v>2442</v>
      </c>
      <c r="L184">
        <v>-3.3306189769555E-3</v>
      </c>
      <c r="M184">
        <f>(Table7[[#This Row],[disp_t3]]--0.00354)/-0.00354</f>
        <v>-0.10798678589395198</v>
      </c>
      <c r="N184">
        <f>(Table7[[#This Row],[disp_t6]]--0.00354)/-0.00354</f>
        <v>-6.3074089105268419E-2</v>
      </c>
      <c r="O184">
        <f>(Table7[[#This Row],[disp_q4]]--0.00354)/-0.00354</f>
        <v>-2.1211725616954866E-2</v>
      </c>
      <c r="P184">
        <f>(Table7[[#This Row],[disp_q8]]--0.00354)/-0.00354</f>
        <v>-5.9147181650988735E-2</v>
      </c>
      <c r="Q184">
        <f>(Table7[[#This Row],[disp_q9]]--0.00354)/-0.00354</f>
        <v>-5.9147181650988735E-2</v>
      </c>
    </row>
    <row r="185" spans="1:17" x14ac:dyDescent="0.3">
      <c r="A185">
        <v>46</v>
      </c>
      <c r="B185">
        <v>5</v>
      </c>
      <c r="C185">
        <v>564</v>
      </c>
      <c r="D185">
        <v>-2.87702733163368E-3</v>
      </c>
      <c r="E185">
        <v>2046</v>
      </c>
      <c r="F185">
        <v>-3.2897449961293598E-3</v>
      </c>
      <c r="G185">
        <v>564</v>
      </c>
      <c r="H185">
        <v>-3.1901878767057702E-3</v>
      </c>
      <c r="I185">
        <v>1586</v>
      </c>
      <c r="J185">
        <v>-3.2915083071902002E-3</v>
      </c>
      <c r="K185">
        <v>2046</v>
      </c>
      <c r="L185">
        <v>-3.2915083071902002E-3</v>
      </c>
      <c r="M185">
        <f>(Table7[[#This Row],[disp_t3]]--0.00354)/-0.00354</f>
        <v>-0.18728041479274579</v>
      </c>
      <c r="N185">
        <f>(Table7[[#This Row],[disp_t6]]--0.00354)/-0.00354</f>
        <v>-7.0693503918259987E-2</v>
      </c>
      <c r="O185">
        <f>(Table7[[#This Row],[disp_q4]]--0.00354)/-0.00354</f>
        <v>-9.88169839814209E-2</v>
      </c>
      <c r="P185">
        <f>(Table7[[#This Row],[disp_q8]]--0.00354)/-0.00354</f>
        <v>-7.0195393449096033E-2</v>
      </c>
      <c r="Q185">
        <f>(Table7[[#This Row],[disp_q9]]--0.00354)/-0.00354</f>
        <v>-7.0195393449096033E-2</v>
      </c>
    </row>
    <row r="186" spans="1:17" x14ac:dyDescent="0.3">
      <c r="A186">
        <v>38</v>
      </c>
      <c r="B186">
        <v>5</v>
      </c>
      <c r="C186">
        <v>468</v>
      </c>
      <c r="D186">
        <v>-2.74396454604509E-3</v>
      </c>
      <c r="E186">
        <v>1694</v>
      </c>
      <c r="F186">
        <v>-3.1825789206210799E-3</v>
      </c>
      <c r="G186">
        <v>468</v>
      </c>
      <c r="H186">
        <v>-3.0679257984518602E-3</v>
      </c>
      <c r="I186">
        <v>1314</v>
      </c>
      <c r="J186">
        <v>-3.1853419123132401E-3</v>
      </c>
      <c r="K186">
        <v>1694</v>
      </c>
      <c r="L186">
        <v>-3.1853419123132401E-3</v>
      </c>
      <c r="M186">
        <f>(Table7[[#This Row],[disp_t3]]--0.00354)/-0.00354</f>
        <v>-0.22486877230364694</v>
      </c>
      <c r="N186">
        <f>(Table7[[#This Row],[disp_t6]]--0.00354)/-0.00354</f>
        <v>-0.10096640660421476</v>
      </c>
      <c r="O186">
        <f>(Table7[[#This Row],[disp_q4]]--0.00354)/-0.00354</f>
        <v>-0.13335429422263842</v>
      </c>
      <c r="P186">
        <f>(Table7[[#This Row],[disp_q8]]--0.00354)/-0.00354</f>
        <v>-0.10018590047648589</v>
      </c>
      <c r="Q186">
        <f>(Table7[[#This Row],[disp_q9]]--0.00354)/-0.00354</f>
        <v>-0.10018590047648589</v>
      </c>
    </row>
    <row r="187" spans="1:17" x14ac:dyDescent="0.3">
      <c r="A187">
        <v>32</v>
      </c>
      <c r="B187">
        <v>5</v>
      </c>
      <c r="C187">
        <v>396</v>
      </c>
      <c r="D187">
        <v>-2.5992190216332801E-3</v>
      </c>
      <c r="E187">
        <v>1430</v>
      </c>
      <c r="F187">
        <v>-3.0718468832973099E-3</v>
      </c>
      <c r="G187">
        <v>396</v>
      </c>
      <c r="H187">
        <v>-2.9338217687240398E-3</v>
      </c>
      <c r="I187">
        <v>1110</v>
      </c>
      <c r="J187">
        <v>-3.0669705290155402E-3</v>
      </c>
      <c r="K187">
        <v>1430</v>
      </c>
      <c r="L187">
        <v>-3.0669705290155402E-3</v>
      </c>
      <c r="M187">
        <f>(Table7[[#This Row],[disp_t3]]--0.00354)/-0.00354</f>
        <v>-0.26575733852167233</v>
      </c>
      <c r="N187">
        <f>(Table7[[#This Row],[disp_t6]]--0.00354)/-0.00354</f>
        <v>-0.13224664313635318</v>
      </c>
      <c r="O187">
        <f>(Table7[[#This Row],[disp_q4]]--0.00354)/-0.00354</f>
        <v>-0.17123678849603399</v>
      </c>
      <c r="P187">
        <f>(Table7[[#This Row],[disp_q8]]--0.00354)/-0.00354</f>
        <v>-0.13362414434589265</v>
      </c>
      <c r="Q187">
        <f>(Table7[[#This Row],[disp_q9]]--0.00354)/-0.00354</f>
        <v>-0.13362414434589265</v>
      </c>
    </row>
    <row r="188" spans="1:17" x14ac:dyDescent="0.3">
      <c r="A188">
        <v>26</v>
      </c>
      <c r="B188">
        <v>5</v>
      </c>
      <c r="C188">
        <v>324</v>
      </c>
      <c r="D188">
        <v>-2.3923780768953101E-3</v>
      </c>
      <c r="E188">
        <v>1166</v>
      </c>
      <c r="F188">
        <v>-2.9180567530920501E-3</v>
      </c>
      <c r="G188">
        <v>324</v>
      </c>
      <c r="H188">
        <v>-2.7402775654545601E-3</v>
      </c>
      <c r="I188">
        <v>906</v>
      </c>
      <c r="J188">
        <v>-2.9192175469171201E-3</v>
      </c>
      <c r="K188">
        <v>1166</v>
      </c>
      <c r="L188">
        <v>-2.9192175469171201E-3</v>
      </c>
      <c r="M188">
        <f>(Table7[[#This Row],[disp_t3]]--0.00354)/-0.00354</f>
        <v>-0.32418698392787854</v>
      </c>
      <c r="N188">
        <f>(Table7[[#This Row],[disp_t6]]--0.00354)/-0.00354</f>
        <v>-0.17569018274235876</v>
      </c>
      <c r="O188">
        <f>(Table7[[#This Row],[disp_q4]]--0.00354)/-0.00354</f>
        <v>-0.22591029224447459</v>
      </c>
      <c r="P188">
        <f>(Table7[[#This Row],[disp_q8]]--0.00354)/-0.00354</f>
        <v>-0.17536227488216952</v>
      </c>
      <c r="Q188">
        <f>(Table7[[#This Row],[disp_q9]]--0.00354)/-0.00354</f>
        <v>-0.17536227488216952</v>
      </c>
    </row>
    <row r="189" spans="1:17" x14ac:dyDescent="0.3">
      <c r="A189">
        <v>22</v>
      </c>
      <c r="B189">
        <v>5</v>
      </c>
      <c r="C189">
        <v>276</v>
      </c>
      <c r="D189">
        <v>-2.2026153873363902E-3</v>
      </c>
      <c r="E189">
        <v>990</v>
      </c>
      <c r="F189">
        <v>-2.7375300426874202E-3</v>
      </c>
      <c r="G189">
        <v>276</v>
      </c>
      <c r="H189">
        <v>-2.5609460710920499E-3</v>
      </c>
      <c r="I189">
        <v>770</v>
      </c>
      <c r="J189">
        <v>-2.7447385981947199E-3</v>
      </c>
      <c r="K189">
        <v>990</v>
      </c>
      <c r="L189">
        <v>-2.7447385981947199E-3</v>
      </c>
      <c r="M189">
        <f>(Table7[[#This Row],[disp_t3]]--0.00354)/-0.00354</f>
        <v>-0.37779226346429662</v>
      </c>
      <c r="N189">
        <f>(Table7[[#This Row],[disp_t6]]--0.00354)/-0.00354</f>
        <v>-0.22668642861937288</v>
      </c>
      <c r="O189">
        <f>(Table7[[#This Row],[disp_q4]]--0.00354)/-0.00354</f>
        <v>-0.27656890647117238</v>
      </c>
      <c r="P189">
        <f>(Table7[[#This Row],[disp_q8]]--0.00354)/-0.00354</f>
        <v>-0.22465011350431643</v>
      </c>
      <c r="Q189">
        <f>(Table7[[#This Row],[disp_q9]]--0.00354)/-0.00354</f>
        <v>-0.22465011350431643</v>
      </c>
    </row>
    <row r="190" spans="1:17" x14ac:dyDescent="0.3">
      <c r="A190">
        <v>18</v>
      </c>
      <c r="B190">
        <v>5</v>
      </c>
      <c r="C190">
        <v>228</v>
      </c>
      <c r="D190">
        <v>-1.9519555246807899E-3</v>
      </c>
      <c r="E190">
        <v>814</v>
      </c>
      <c r="F190">
        <v>-2.52779331839585E-3</v>
      </c>
      <c r="G190">
        <v>228</v>
      </c>
      <c r="H190">
        <v>-2.32182387213064E-3</v>
      </c>
      <c r="I190">
        <v>634</v>
      </c>
      <c r="J190">
        <v>-2.53686012566132E-3</v>
      </c>
      <c r="K190">
        <v>814</v>
      </c>
      <c r="L190">
        <v>-2.53686012566132E-3</v>
      </c>
      <c r="M190">
        <f>(Table7[[#This Row],[disp_t3]]--0.00354)/-0.00354</f>
        <v>-0.44860013427096335</v>
      </c>
      <c r="N190">
        <f>(Table7[[#This Row],[disp_t6]]--0.00354)/-0.00354</f>
        <v>-0.28593409084862997</v>
      </c>
      <c r="O190">
        <f>(Table7[[#This Row],[disp_q4]]--0.00354)/-0.00354</f>
        <v>-0.34411755024558194</v>
      </c>
      <c r="P190">
        <f>(Table7[[#This Row],[disp_q8]]--0.00354)/-0.00354</f>
        <v>-0.28337284585838418</v>
      </c>
      <c r="Q190">
        <f>(Table7[[#This Row],[disp_q9]]--0.00354)/-0.00354</f>
        <v>-0.28337284585838418</v>
      </c>
    </row>
    <row r="191" spans="1:17" x14ac:dyDescent="0.3">
      <c r="A191">
        <v>15</v>
      </c>
      <c r="B191">
        <v>5</v>
      </c>
      <c r="C191">
        <v>192</v>
      </c>
      <c r="D191">
        <v>-2.1544654865777099E-3</v>
      </c>
      <c r="E191">
        <v>682</v>
      </c>
      <c r="F191">
        <v>-2.20928674286052E-3</v>
      </c>
      <c r="G191">
        <v>192</v>
      </c>
      <c r="H191">
        <v>-2.6628972033328302E-3</v>
      </c>
      <c r="I191">
        <v>532</v>
      </c>
      <c r="J191">
        <v>-2.2472096944513298E-3</v>
      </c>
      <c r="K191">
        <v>682</v>
      </c>
      <c r="L191">
        <v>-2.2472096944513298E-3</v>
      </c>
      <c r="M191">
        <f>(Table7[[#This Row],[disp_t3]]--0.00354)/-0.00354</f>
        <v>-0.39139393034527969</v>
      </c>
      <c r="N191">
        <f>(Table7[[#This Row],[disp_t6]]--0.00354)/-0.00354</f>
        <v>-0.37590769975691529</v>
      </c>
      <c r="O191">
        <f>(Table7[[#This Row],[disp_q4]]--0.00354)/-0.00354</f>
        <v>-0.24776915160089547</v>
      </c>
      <c r="P191">
        <f>(Table7[[#This Row],[disp_q8]]--0.00354)/-0.00354</f>
        <v>-0.36519500156742102</v>
      </c>
      <c r="Q191">
        <f>(Table7[[#This Row],[disp_q9]]--0.00354)/-0.00354</f>
        <v>-0.36519500156742102</v>
      </c>
    </row>
    <row r="192" spans="1:17" x14ac:dyDescent="0.3">
      <c r="A192">
        <v>12</v>
      </c>
      <c r="B192">
        <v>5</v>
      </c>
      <c r="C192">
        <v>156</v>
      </c>
      <c r="D192">
        <v>-1.3974093276009499E-3</v>
      </c>
      <c r="E192">
        <v>550</v>
      </c>
      <c r="F192">
        <v>-2.0544326614968201E-3</v>
      </c>
      <c r="G192">
        <v>156</v>
      </c>
      <c r="H192">
        <v>-1.78090311241611E-3</v>
      </c>
      <c r="I192">
        <v>430</v>
      </c>
      <c r="J192">
        <v>-2.0717902098269202E-3</v>
      </c>
      <c r="K192">
        <v>550</v>
      </c>
      <c r="L192">
        <v>-2.0717902098269202E-3</v>
      </c>
      <c r="M192">
        <f>(Table7[[#This Row],[disp_t3]]--0.00354)/-0.00354</f>
        <v>-0.605251602372613</v>
      </c>
      <c r="N192">
        <f>(Table7[[#This Row],[disp_t6]]--0.00354)/-0.00354</f>
        <v>-0.41965179053762147</v>
      </c>
      <c r="O192">
        <f>(Table7[[#This Row],[disp_q4]]--0.00354)/-0.00354</f>
        <v>-0.49692002474121189</v>
      </c>
      <c r="P192">
        <f>(Table7[[#This Row],[disp_q8]]--0.00354)/-0.00354</f>
        <v>-0.41474852829748021</v>
      </c>
      <c r="Q192">
        <f>(Table7[[#This Row],[disp_q9]]--0.00354)/-0.00354</f>
        <v>-0.41474852829748021</v>
      </c>
    </row>
    <row r="193" spans="1:17" x14ac:dyDescent="0.3">
      <c r="A193">
        <v>10</v>
      </c>
      <c r="B193">
        <v>5</v>
      </c>
      <c r="C193">
        <v>132</v>
      </c>
      <c r="D193">
        <v>-1.14174817460853E-3</v>
      </c>
      <c r="E193">
        <v>462</v>
      </c>
      <c r="F193">
        <v>-1.84687663480156E-3</v>
      </c>
      <c r="G193">
        <v>132</v>
      </c>
      <c r="H193">
        <v>-1.5191386126454101E-3</v>
      </c>
      <c r="I193">
        <v>362</v>
      </c>
      <c r="J193">
        <v>-1.8481349353347001E-3</v>
      </c>
      <c r="K193">
        <v>462</v>
      </c>
      <c r="L193">
        <v>-1.8481349353347001E-3</v>
      </c>
      <c r="M193">
        <f>(Table7[[#This Row],[disp_t3]]--0.00354)/-0.00354</f>
        <v>-0.67747226705973729</v>
      </c>
      <c r="N193">
        <f>(Table7[[#This Row],[disp_t6]]--0.00354)/-0.00354</f>
        <v>-0.47828343649673449</v>
      </c>
      <c r="O193">
        <f>(Table7[[#This Row],[disp_q4]]--0.00354)/-0.00354</f>
        <v>-0.57086479868773721</v>
      </c>
      <c r="P193">
        <f>(Table7[[#This Row],[disp_q8]]--0.00354)/-0.00354</f>
        <v>-0.4779279843687288</v>
      </c>
      <c r="Q193">
        <f>(Table7[[#This Row],[disp_q9]]--0.00354)/-0.00354</f>
        <v>-0.4779279843687288</v>
      </c>
    </row>
    <row r="194" spans="1:17" x14ac:dyDescent="0.3">
      <c r="A194">
        <v>8</v>
      </c>
      <c r="B194">
        <v>5</v>
      </c>
      <c r="C194">
        <v>108</v>
      </c>
      <c r="D194">
        <v>-8.4147919089483305E-4</v>
      </c>
      <c r="E194">
        <v>374</v>
      </c>
      <c r="F194">
        <v>-1.53077021427276E-3</v>
      </c>
      <c r="G194">
        <v>108</v>
      </c>
      <c r="H194">
        <v>-1.18945529732227E-3</v>
      </c>
      <c r="I194">
        <v>294</v>
      </c>
      <c r="J194">
        <v>-1.55887153863988E-3</v>
      </c>
      <c r="K194">
        <v>374</v>
      </c>
      <c r="L194">
        <v>-1.55887153863988E-3</v>
      </c>
      <c r="M194">
        <f>(Table7[[#This Row],[disp_t3]]--0.00354)/-0.00354</f>
        <v>-0.76229401387151619</v>
      </c>
      <c r="N194">
        <f>(Table7[[#This Row],[disp_t6]]--0.00354)/-0.00354</f>
        <v>-0.56757903551616951</v>
      </c>
      <c r="O194">
        <f>(Table7[[#This Row],[disp_q4]]--0.00354)/-0.00354</f>
        <v>-0.66399567872252263</v>
      </c>
      <c r="P194">
        <f>(Table7[[#This Row],[disp_q8]]--0.00354)/-0.00354</f>
        <v>-0.55964080829381924</v>
      </c>
      <c r="Q194">
        <f>(Table7[[#This Row],[disp_q9]]--0.00354)/-0.00354</f>
        <v>-0.55964080829381924</v>
      </c>
    </row>
    <row r="195" spans="1:17" x14ac:dyDescent="0.3">
      <c r="A195">
        <v>7</v>
      </c>
      <c r="B195">
        <v>5</v>
      </c>
      <c r="C195">
        <v>96</v>
      </c>
      <c r="D195">
        <v>-1.05522770066053E-3</v>
      </c>
      <c r="E195">
        <v>330</v>
      </c>
      <c r="F195">
        <v>-1.26234876551572E-3</v>
      </c>
      <c r="G195">
        <v>96</v>
      </c>
      <c r="H195">
        <v>-1.5729390075789401E-3</v>
      </c>
      <c r="I195">
        <v>260</v>
      </c>
      <c r="J195">
        <v>-1.29008906888167E-3</v>
      </c>
      <c r="K195">
        <v>330</v>
      </c>
      <c r="L195">
        <v>-1.29008906888167E-3</v>
      </c>
      <c r="M195">
        <f>(Table7[[#This Row],[disp_t3]]--0.00354)/-0.00354</f>
        <v>-0.70191307890945487</v>
      </c>
      <c r="N195">
        <f>(Table7[[#This Row],[disp_t6]]--0.00354)/-0.00354</f>
        <v>-0.6434043035266328</v>
      </c>
      <c r="O195">
        <f>(Table7[[#This Row],[disp_q4]]--0.00354)/-0.00354</f>
        <v>-0.5556669470115988</v>
      </c>
      <c r="P195">
        <f>(Table7[[#This Row],[disp_q8]]--0.00354)/-0.00354</f>
        <v>-0.63556805963794627</v>
      </c>
      <c r="Q195">
        <f>(Table7[[#This Row],[disp_q9]]--0.00354)/-0.00354</f>
        <v>-0.63556805963794627</v>
      </c>
    </row>
    <row r="196" spans="1:17" x14ac:dyDescent="0.3">
      <c r="A196">
        <v>6</v>
      </c>
      <c r="B196">
        <v>5</v>
      </c>
      <c r="C196">
        <v>84</v>
      </c>
      <c r="D196">
        <v>-5.0630703977284301E-4</v>
      </c>
      <c r="E196">
        <v>286</v>
      </c>
      <c r="F196">
        <v>-1.11453073951788E-3</v>
      </c>
      <c r="G196">
        <v>84</v>
      </c>
      <c r="H196">
        <v>-7.7146014275575998E-4</v>
      </c>
      <c r="I196">
        <v>226</v>
      </c>
      <c r="J196">
        <v>-1.1544200528272399E-3</v>
      </c>
      <c r="K196">
        <v>286</v>
      </c>
      <c r="L196">
        <v>-1.1544200528272399E-3</v>
      </c>
      <c r="M196">
        <f>(Table7[[#This Row],[disp_t3]]--0.00354)/-0.00354</f>
        <v>-0.85697541249354714</v>
      </c>
      <c r="N196">
        <f>(Table7[[#This Row],[disp_t6]]--0.00354)/-0.00354</f>
        <v>-0.6851608080457966</v>
      </c>
      <c r="O196">
        <f>(Table7[[#This Row],[disp_q4]]--0.00354)/-0.00354</f>
        <v>-0.78207340600119779</v>
      </c>
      <c r="P196">
        <f>(Table7[[#This Row],[disp_q8]]--0.00354)/-0.00354</f>
        <v>-0.67389264044428243</v>
      </c>
      <c r="Q196">
        <f>(Table7[[#This Row],[disp_q9]]--0.00354)/-0.00354</f>
        <v>-0.67389264044428243</v>
      </c>
    </row>
    <row r="197" spans="1:17" x14ac:dyDescent="0.3">
      <c r="A197">
        <v>5</v>
      </c>
      <c r="B197">
        <v>5</v>
      </c>
      <c r="C197">
        <v>72</v>
      </c>
      <c r="D197">
        <v>-6.5046698767238999E-4</v>
      </c>
      <c r="E197">
        <v>242</v>
      </c>
      <c r="F197">
        <v>-7.9389850833919303E-4</v>
      </c>
      <c r="G197">
        <v>72</v>
      </c>
      <c r="H197">
        <v>-1.0559716338435299E-3</v>
      </c>
      <c r="I197">
        <v>192</v>
      </c>
      <c r="J197">
        <v>-8.2052277279778504E-4</v>
      </c>
      <c r="K197">
        <v>242</v>
      </c>
      <c r="L197">
        <v>-8.2052277279778504E-4</v>
      </c>
      <c r="M197">
        <f>(Table7[[#This Row],[disp_t3]]--0.00354)/-0.00354</f>
        <v>-0.81625226336938128</v>
      </c>
      <c r="N197">
        <f>(Table7[[#This Row],[disp_t6]]--0.00354)/-0.00354</f>
        <v>-0.77573488464994544</v>
      </c>
      <c r="O197">
        <f>(Table7[[#This Row],[disp_q4]]--0.00354)/-0.00354</f>
        <v>-0.70170292829278813</v>
      </c>
      <c r="P197">
        <f>(Table7[[#This Row],[disp_q8]]--0.00354)/-0.00354</f>
        <v>-0.76821390598932626</v>
      </c>
      <c r="Q197">
        <f>(Table7[[#This Row],[disp_q9]]--0.00354)/-0.00354</f>
        <v>-0.76821390598932626</v>
      </c>
    </row>
    <row r="198" spans="1:17" x14ac:dyDescent="0.3">
      <c r="A198">
        <v>4</v>
      </c>
      <c r="B198">
        <v>5</v>
      </c>
      <c r="C198">
        <v>60</v>
      </c>
      <c r="D198">
        <v>-1.87259224487466E-4</v>
      </c>
      <c r="E198">
        <v>198</v>
      </c>
      <c r="F198">
        <v>-5.1602288241281002E-4</v>
      </c>
      <c r="G198">
        <v>60</v>
      </c>
      <c r="H198">
        <v>-2.9249654615416399E-4</v>
      </c>
      <c r="I198">
        <v>158</v>
      </c>
      <c r="J198">
        <v>-5.6506908140982796E-4</v>
      </c>
      <c r="K198">
        <v>198</v>
      </c>
      <c r="L198">
        <v>-5.6506908140982796E-4</v>
      </c>
      <c r="M198">
        <f>(Table7[[#This Row],[disp_t3]]--0.00354)/-0.00354</f>
        <v>-0.9471019139865916</v>
      </c>
      <c r="N198">
        <f>(Table7[[#This Row],[disp_t6]]--0.00354)/-0.00354</f>
        <v>-0.85423082417717233</v>
      </c>
      <c r="O198">
        <f>(Table7[[#This Row],[disp_q4]]--0.00354)/-0.00354</f>
        <v>-0.91737385701859775</v>
      </c>
      <c r="P198">
        <f>(Table7[[#This Row],[disp_q8]]--0.00354)/-0.00354</f>
        <v>-0.84037596570343853</v>
      </c>
      <c r="Q198">
        <f>(Table7[[#This Row],[disp_q9]]--0.00354)/-0.00354</f>
        <v>-0.84037596570343853</v>
      </c>
    </row>
    <row r="199" spans="1:17" x14ac:dyDescent="0.3">
      <c r="A199">
        <v>3</v>
      </c>
      <c r="B199">
        <v>5</v>
      </c>
      <c r="C199">
        <v>48</v>
      </c>
      <c r="D199">
        <v>-2.5581976008442499E-4</v>
      </c>
      <c r="E199">
        <v>154</v>
      </c>
      <c r="F199">
        <v>-1.8253451707733899E-4</v>
      </c>
      <c r="G199">
        <v>48</v>
      </c>
      <c r="H199">
        <v>-4.2107476011668998E-4</v>
      </c>
      <c r="I199">
        <v>124</v>
      </c>
      <c r="J199">
        <v>-1.8741985141839201E-4</v>
      </c>
      <c r="K199">
        <v>154</v>
      </c>
      <c r="L199">
        <v>-1.8741985141839201E-4</v>
      </c>
      <c r="M199">
        <f>(Table7[[#This Row],[disp_t3]]--0.00354)/-0.00354</f>
        <v>-0.92773453104959747</v>
      </c>
      <c r="N199">
        <f>(Table7[[#This Row],[disp_t6]]--0.00354)/-0.00354</f>
        <v>-0.94843657709679685</v>
      </c>
      <c r="O199">
        <f>(Table7[[#This Row],[disp_q4]]--0.00354)/-0.00354</f>
        <v>-0.88105232765065256</v>
      </c>
      <c r="P199">
        <f>(Table7[[#This Row],[disp_q8]]--0.00354)/-0.00354</f>
        <v>-0.947056539147347</v>
      </c>
      <c r="Q199">
        <f>(Table7[[#This Row],[disp_q9]]--0.00354)/-0.00354</f>
        <v>-0.947056539147347</v>
      </c>
    </row>
    <row r="200" spans="1:17" x14ac:dyDescent="0.3">
      <c r="A200">
        <v>2</v>
      </c>
      <c r="B200">
        <v>5</v>
      </c>
      <c r="C200">
        <v>36</v>
      </c>
      <c r="D200" s="7">
        <v>-4.37360387199467E-6</v>
      </c>
      <c r="E200">
        <v>110</v>
      </c>
      <c r="F200" s="7">
        <v>-1.2833151111816799E-5</v>
      </c>
      <c r="G200">
        <v>36</v>
      </c>
      <c r="H200" s="7">
        <v>-7.3411575291499703E-6</v>
      </c>
      <c r="I200">
        <v>90</v>
      </c>
      <c r="J200" s="7">
        <v>-1.6408071987260099E-5</v>
      </c>
      <c r="K200">
        <v>110</v>
      </c>
      <c r="L200" s="7">
        <v>-1.6408071987260099E-5</v>
      </c>
      <c r="M200">
        <f>(Table7[[#This Row],[disp_t3]]--0.00354)/-0.00354</f>
        <v>-0.99876451868022753</v>
      </c>
      <c r="N200">
        <f>(Table7[[#This Row],[disp_t6]]--0.00354)/-0.00354</f>
        <v>-0.99637481607010825</v>
      </c>
      <c r="O200">
        <f>(Table7[[#This Row],[disp_q4]]--0.00354)/-0.00354</f>
        <v>-0.99792622668668074</v>
      </c>
      <c r="P200">
        <f>(Table7[[#This Row],[disp_q8]]--0.00354)/-0.00354</f>
        <v>-0.99536495141602821</v>
      </c>
      <c r="Q200">
        <f>(Table7[[#This Row],[disp_q9]]--0.00354)/-0.00354</f>
        <v>-0.99536495141602821</v>
      </c>
    </row>
    <row r="201" spans="1:17" x14ac:dyDescent="0.3">
      <c r="A201">
        <v>1</v>
      </c>
      <c r="B201">
        <v>5</v>
      </c>
      <c r="C201">
        <v>24</v>
      </c>
      <c r="D201" s="7">
        <v>-2.20434489205562E-6</v>
      </c>
      <c r="E201">
        <v>66</v>
      </c>
      <c r="F201" s="7">
        <v>-6.6052421900902503E-6</v>
      </c>
      <c r="G201">
        <v>24</v>
      </c>
      <c r="H201" s="7">
        <v>-3.3159978087914301E-6</v>
      </c>
      <c r="I201">
        <v>56</v>
      </c>
      <c r="J201" s="7">
        <v>-8.7328225567153597E-6</v>
      </c>
      <c r="K201">
        <v>66</v>
      </c>
      <c r="L201" s="7">
        <v>-8.7328225567153597E-6</v>
      </c>
      <c r="M201">
        <f>(Table7[[#This Row],[disp_t3]]--0.00354)/-0.00354</f>
        <v>-0.99937730370280919</v>
      </c>
      <c r="N201">
        <f>(Table7[[#This Row],[disp_t6]]--0.00354)/-0.00354</f>
        <v>-0.99813411237568073</v>
      </c>
      <c r="O201">
        <f>(Table7[[#This Row],[disp_q4]]--0.00354)/-0.00354</f>
        <v>-0.99906327745514367</v>
      </c>
      <c r="P201">
        <f>(Table7[[#This Row],[disp_q8]]--0.00354)/-0.00354</f>
        <v>-0.99753310097267922</v>
      </c>
      <c r="Q201">
        <f>(Table7[[#This Row],[disp_q9]]--0.00354)/-0.00354</f>
        <v>-0.99753310097267922</v>
      </c>
    </row>
    <row r="202" spans="1:17" x14ac:dyDescent="0.3">
      <c r="A202">
        <v>200</v>
      </c>
      <c r="B202">
        <v>3</v>
      </c>
      <c r="C202">
        <v>1608</v>
      </c>
      <c r="D202">
        <v>-2.89620018213503E-3</v>
      </c>
      <c r="E202">
        <v>5614</v>
      </c>
      <c r="F202">
        <v>-3.5842834034694902E-3</v>
      </c>
      <c r="G202">
        <v>1608</v>
      </c>
      <c r="H202">
        <v>-3.5079754490443199E-3</v>
      </c>
      <c r="I202">
        <v>4414</v>
      </c>
      <c r="J202">
        <v>-3.600428633424E-3</v>
      </c>
      <c r="K202">
        <v>5614</v>
      </c>
      <c r="L202">
        <v>-3.600428633424E-3</v>
      </c>
      <c r="M202">
        <f>(Table7[[#This Row],[disp_t3]]--0.00354)/-0.00354</f>
        <v>-0.18186435532908762</v>
      </c>
      <c r="N202">
        <f>(Table7[[#This Row],[disp_t6]]--0.00354)/-0.00354</f>
        <v>1.2509436008330514E-2</v>
      </c>
      <c r="O202">
        <f>(Table7[[#This Row],[disp_q4]]--0.00354)/-0.00354</f>
        <v>-9.0464833208136267E-3</v>
      </c>
      <c r="P202">
        <f>(Table7[[#This Row],[disp_q8]]--0.00354)/-0.00354</f>
        <v>1.7070235430508431E-2</v>
      </c>
      <c r="Q202">
        <f>(Table7[[#This Row],[disp_q9]]--0.00354)/-0.00354</f>
        <v>1.7070235430508431E-2</v>
      </c>
    </row>
    <row r="203" spans="1:17" x14ac:dyDescent="0.3">
      <c r="A203">
        <v>166</v>
      </c>
      <c r="B203">
        <v>3</v>
      </c>
      <c r="C203">
        <v>1336</v>
      </c>
      <c r="D203">
        <v>-2.8770084387736501E-3</v>
      </c>
      <c r="E203">
        <v>4662</v>
      </c>
      <c r="F203">
        <v>-3.5673394012387901E-3</v>
      </c>
      <c r="G203">
        <v>1336</v>
      </c>
      <c r="H203">
        <v>-3.4881545021457701E-3</v>
      </c>
      <c r="I203">
        <v>3666</v>
      </c>
      <c r="J203">
        <v>-3.5825059548360298E-3</v>
      </c>
      <c r="K203">
        <v>4662</v>
      </c>
      <c r="L203">
        <v>-3.5825059548360298E-3</v>
      </c>
      <c r="M203">
        <f>(Table7[[#This Row],[disp_t3]]--0.00354)/-0.00354</f>
        <v>-0.18728575175885592</v>
      </c>
      <c r="N203">
        <f>(Table7[[#This Row],[disp_t6]]--0.00354)/-0.00354</f>
        <v>7.7229947002231481E-3</v>
      </c>
      <c r="O203">
        <f>(Table7[[#This Row],[disp_q4]]--0.00354)/-0.00354</f>
        <v>-1.4645620862776858E-2</v>
      </c>
      <c r="P203">
        <f>(Table7[[#This Row],[disp_q8]]--0.00354)/-0.00354</f>
        <v>1.2007331874584649E-2</v>
      </c>
      <c r="Q203">
        <f>(Table7[[#This Row],[disp_q9]]--0.00354)/-0.00354</f>
        <v>1.2007331874584649E-2</v>
      </c>
    </row>
    <row r="204" spans="1:17" x14ac:dyDescent="0.3">
      <c r="A204">
        <v>138</v>
      </c>
      <c r="B204">
        <v>3</v>
      </c>
      <c r="C204">
        <v>1112</v>
      </c>
      <c r="D204">
        <v>-2.8534048168446301E-3</v>
      </c>
      <c r="E204">
        <v>3878</v>
      </c>
      <c r="F204">
        <v>-3.5465888383508998E-3</v>
      </c>
      <c r="G204">
        <v>1112</v>
      </c>
      <c r="H204">
        <v>-3.4636578014108801E-3</v>
      </c>
      <c r="I204">
        <v>3050</v>
      </c>
      <c r="J204">
        <v>-3.56318341581678E-3</v>
      </c>
      <c r="K204">
        <v>3878</v>
      </c>
      <c r="L204">
        <v>-3.56318341581678E-3</v>
      </c>
      <c r="M204">
        <f>(Table7[[#This Row],[disp_t3]]--0.00354)/-0.00354</f>
        <v>-0.19395344156931357</v>
      </c>
      <c r="N204">
        <f>(Table7[[#This Row],[disp_t6]]--0.00354)/-0.00354</f>
        <v>1.861253771440574E-3</v>
      </c>
      <c r="O204">
        <f>(Table7[[#This Row],[disp_q4]]--0.00354)/-0.00354</f>
        <v>-2.1565592821785325E-2</v>
      </c>
      <c r="P204">
        <f>(Table7[[#This Row],[disp_q8]]--0.00354)/-0.00354</f>
        <v>6.5489875188643647E-3</v>
      </c>
      <c r="Q204">
        <f>(Table7[[#This Row],[disp_q9]]--0.00354)/-0.00354</f>
        <v>6.5489875188643647E-3</v>
      </c>
    </row>
    <row r="205" spans="1:17" x14ac:dyDescent="0.3">
      <c r="A205">
        <v>115</v>
      </c>
      <c r="B205">
        <v>3</v>
      </c>
      <c r="C205">
        <v>928</v>
      </c>
      <c r="D205">
        <v>-2.90069263157741E-3</v>
      </c>
      <c r="E205">
        <v>3234</v>
      </c>
      <c r="F205">
        <v>-3.49699598341626E-3</v>
      </c>
      <c r="G205">
        <v>928</v>
      </c>
      <c r="H205">
        <v>-3.5159062470231598E-3</v>
      </c>
      <c r="I205">
        <v>2544</v>
      </c>
      <c r="J205">
        <v>-3.5082879726556901E-3</v>
      </c>
      <c r="K205">
        <v>3234</v>
      </c>
      <c r="L205">
        <v>-3.5082879726556901E-3</v>
      </c>
      <c r="M205">
        <f>(Table7[[#This Row],[disp_t3]]--0.00354)/-0.00354</f>
        <v>-0.18059530181429101</v>
      </c>
      <c r="N205">
        <f>(Table7[[#This Row],[disp_t6]]--0.00354)/-0.00354</f>
        <v>-1.2148027283542416E-2</v>
      </c>
      <c r="O205">
        <f>(Table7[[#This Row],[disp_q4]]--0.00354)/-0.00354</f>
        <v>-6.8061449087119695E-3</v>
      </c>
      <c r="P205">
        <f>(Table7[[#This Row],[disp_q8]]--0.00354)/-0.00354</f>
        <v>-8.958199814776871E-3</v>
      </c>
      <c r="Q205">
        <f>(Table7[[#This Row],[disp_q9]]--0.00354)/-0.00354</f>
        <v>-8.958199814776871E-3</v>
      </c>
    </row>
    <row r="206" spans="1:17" x14ac:dyDescent="0.3">
      <c r="A206">
        <v>96</v>
      </c>
      <c r="B206">
        <v>3</v>
      </c>
      <c r="C206">
        <v>776</v>
      </c>
      <c r="D206">
        <v>-2.78891541523564E-3</v>
      </c>
      <c r="E206">
        <v>2702</v>
      </c>
      <c r="F206">
        <v>-3.49500579949329E-3</v>
      </c>
      <c r="G206">
        <v>776</v>
      </c>
      <c r="H206">
        <v>-3.3960447943170999E-3</v>
      </c>
      <c r="I206">
        <v>2126</v>
      </c>
      <c r="J206">
        <v>-3.5224730597808399E-3</v>
      </c>
      <c r="K206">
        <v>2702</v>
      </c>
      <c r="L206">
        <v>-3.5224730597808399E-3</v>
      </c>
      <c r="M206">
        <f>(Table7[[#This Row],[disp_t3]]--0.00354)/-0.00354</f>
        <v>-0.21217078665659891</v>
      </c>
      <c r="N206">
        <f>(Table7[[#This Row],[disp_t6]]--0.00354)/-0.00354</f>
        <v>-1.2710226131839043E-2</v>
      </c>
      <c r="O206">
        <f>(Table7[[#This Row],[disp_q4]]--0.00354)/-0.00354</f>
        <v>-4.0665312339802334E-2</v>
      </c>
      <c r="P206">
        <f>(Table7[[#This Row],[disp_q8]]--0.00354)/-0.00354</f>
        <v>-4.9511130562599585E-3</v>
      </c>
      <c r="Q206">
        <f>(Table7[[#This Row],[disp_q9]]--0.00354)/-0.00354</f>
        <v>-4.9511130562599585E-3</v>
      </c>
    </row>
    <row r="207" spans="1:17" x14ac:dyDescent="0.3">
      <c r="A207">
        <v>80</v>
      </c>
      <c r="B207">
        <v>3</v>
      </c>
      <c r="C207">
        <v>648</v>
      </c>
      <c r="D207">
        <v>-2.7442552581955402E-3</v>
      </c>
      <c r="E207">
        <v>2254</v>
      </c>
      <c r="F207">
        <v>-3.4551406485957398E-3</v>
      </c>
      <c r="G207">
        <v>648</v>
      </c>
      <c r="H207">
        <v>-3.34867983453069E-3</v>
      </c>
      <c r="I207">
        <v>1774</v>
      </c>
      <c r="J207">
        <v>-3.4668561022935399E-3</v>
      </c>
      <c r="K207">
        <v>2254</v>
      </c>
      <c r="L207">
        <v>-3.4668561022935399E-3</v>
      </c>
      <c r="M207">
        <f>(Table7[[#This Row],[disp_t3]]--0.00354)/-0.00354</f>
        <v>-0.22478665022724859</v>
      </c>
      <c r="N207">
        <f>(Table7[[#This Row],[disp_t6]]--0.00354)/-0.00354</f>
        <v>-2.3971568193293883E-2</v>
      </c>
      <c r="O207">
        <f>(Table7[[#This Row],[disp_q4]]--0.00354)/-0.00354</f>
        <v>-5.4045244482855977E-2</v>
      </c>
      <c r="P207">
        <f>(Table7[[#This Row],[disp_q8]]--0.00354)/-0.00354</f>
        <v>-2.0662117996175223E-2</v>
      </c>
      <c r="Q207">
        <f>(Table7[[#This Row],[disp_q9]]--0.00354)/-0.00354</f>
        <v>-2.0662117996175223E-2</v>
      </c>
    </row>
    <row r="208" spans="1:17" x14ac:dyDescent="0.3">
      <c r="A208">
        <v>66</v>
      </c>
      <c r="B208">
        <v>3</v>
      </c>
      <c r="C208">
        <v>536</v>
      </c>
      <c r="D208">
        <v>-2.6852352090540499E-3</v>
      </c>
      <c r="E208">
        <v>1862</v>
      </c>
      <c r="F208">
        <v>-3.4408760676984799E-3</v>
      </c>
      <c r="G208">
        <v>536</v>
      </c>
      <c r="H208">
        <v>-3.28551501966833E-3</v>
      </c>
      <c r="I208">
        <v>1466</v>
      </c>
      <c r="J208">
        <v>-3.41283761365631E-3</v>
      </c>
      <c r="K208">
        <v>1862</v>
      </c>
      <c r="L208">
        <v>-3.41283761365631E-3</v>
      </c>
      <c r="M208">
        <f>(Table7[[#This Row],[disp_t3]]--0.00354)/-0.00354</f>
        <v>-0.24145898049320627</v>
      </c>
      <c r="N208">
        <f>(Table7[[#This Row],[disp_t6]]--0.00354)/-0.00354</f>
        <v>-2.8001110819638495E-2</v>
      </c>
      <c r="O208">
        <f>(Table7[[#This Row],[disp_q4]]--0.00354)/-0.00354</f>
        <v>-7.1888412523070655E-2</v>
      </c>
      <c r="P208">
        <f>(Table7[[#This Row],[disp_q8]]--0.00354)/-0.00354</f>
        <v>-3.5921578063189324E-2</v>
      </c>
      <c r="Q208">
        <f>(Table7[[#This Row],[disp_q9]]--0.00354)/-0.00354</f>
        <v>-3.5921578063189324E-2</v>
      </c>
    </row>
    <row r="209" spans="1:17" x14ac:dyDescent="0.3">
      <c r="A209">
        <v>55</v>
      </c>
      <c r="B209">
        <v>3</v>
      </c>
      <c r="C209">
        <v>448</v>
      </c>
      <c r="D209">
        <v>-2.78409481122529E-3</v>
      </c>
      <c r="E209">
        <v>1554</v>
      </c>
      <c r="F209">
        <v>-3.29156996909492E-3</v>
      </c>
      <c r="G209">
        <v>448</v>
      </c>
      <c r="H209">
        <v>-3.4061160120629598E-3</v>
      </c>
      <c r="I209">
        <v>1224</v>
      </c>
      <c r="J209">
        <v>-3.33657114508756E-3</v>
      </c>
      <c r="K209">
        <v>1554</v>
      </c>
      <c r="L209">
        <v>-3.33657114508756E-3</v>
      </c>
      <c r="M209">
        <f>(Table7[[#This Row],[disp_t3]]--0.00354)/-0.00354</f>
        <v>-0.21353253920189549</v>
      </c>
      <c r="N209">
        <f>(Table7[[#This Row],[disp_t6]]--0.00354)/-0.00354</f>
        <v>-7.0177974831943546E-2</v>
      </c>
      <c r="O209">
        <f>(Table7[[#This Row],[disp_q4]]--0.00354)/-0.00354</f>
        <v>-3.782033557543512E-2</v>
      </c>
      <c r="P209">
        <f>(Table7[[#This Row],[disp_q8]]--0.00354)/-0.00354</f>
        <v>-5.7465778223853153E-2</v>
      </c>
      <c r="Q209">
        <f>(Table7[[#This Row],[disp_q9]]--0.00354)/-0.00354</f>
        <v>-5.7465778223853153E-2</v>
      </c>
    </row>
    <row r="210" spans="1:17" x14ac:dyDescent="0.3">
      <c r="A210">
        <v>46</v>
      </c>
      <c r="B210">
        <v>3</v>
      </c>
      <c r="C210">
        <v>376</v>
      </c>
      <c r="D210">
        <v>-2.53119462929015E-3</v>
      </c>
      <c r="E210">
        <v>1302</v>
      </c>
      <c r="F210">
        <v>-3.2521146181780699E-3</v>
      </c>
      <c r="G210">
        <v>376</v>
      </c>
      <c r="H210">
        <v>-3.11847404542232E-3</v>
      </c>
      <c r="I210">
        <v>1026</v>
      </c>
      <c r="J210">
        <v>-3.2661898145316401E-3</v>
      </c>
      <c r="K210">
        <v>1302</v>
      </c>
      <c r="L210">
        <v>-3.2661898145316401E-3</v>
      </c>
      <c r="M210">
        <f>(Table7[[#This Row],[disp_t3]]--0.00354)/-0.00354</f>
        <v>-0.28497326856210453</v>
      </c>
      <c r="N210">
        <f>(Table7[[#This Row],[disp_t6]]--0.00354)/-0.00354</f>
        <v>-8.1323554186985947E-2</v>
      </c>
      <c r="O210">
        <f>(Table7[[#This Row],[disp_q4]]--0.00354)/-0.00354</f>
        <v>-0.11907512841177406</v>
      </c>
      <c r="P210">
        <f>(Table7[[#This Row],[disp_q8]]--0.00354)/-0.00354</f>
        <v>-7.7347510019310742E-2</v>
      </c>
      <c r="Q210">
        <f>(Table7[[#This Row],[disp_q9]]--0.00354)/-0.00354</f>
        <v>-7.7347510019310742E-2</v>
      </c>
    </row>
    <row r="211" spans="1:17" x14ac:dyDescent="0.3">
      <c r="A211">
        <v>38</v>
      </c>
      <c r="B211">
        <v>3</v>
      </c>
      <c r="C211">
        <v>312</v>
      </c>
      <c r="D211">
        <v>-2.42104582333318E-3</v>
      </c>
      <c r="E211">
        <v>1078</v>
      </c>
      <c r="F211">
        <v>-3.1480702987353301E-3</v>
      </c>
      <c r="G211">
        <v>312</v>
      </c>
      <c r="H211">
        <v>-2.9978609096061701E-3</v>
      </c>
      <c r="I211">
        <v>850</v>
      </c>
      <c r="J211">
        <v>-3.15609977031313E-3</v>
      </c>
      <c r="K211">
        <v>1078</v>
      </c>
      <c r="L211">
        <v>-3.15609977031313E-3</v>
      </c>
      <c r="M211">
        <f>(Table7[[#This Row],[disp_t3]]--0.00354)/-0.00354</f>
        <v>-0.31608875047085316</v>
      </c>
      <c r="N211">
        <f>(Table7[[#This Row],[disp_t6]]--0.00354)/-0.00354</f>
        <v>-0.11071460487702545</v>
      </c>
      <c r="O211">
        <f>(Table7[[#This Row],[disp_q4]]--0.00354)/-0.00354</f>
        <v>-0.15314663570447176</v>
      </c>
      <c r="P211">
        <f>(Table7[[#This Row],[disp_q8]]--0.00354)/-0.00354</f>
        <v>-0.10844639256691248</v>
      </c>
      <c r="Q211">
        <f>(Table7[[#This Row],[disp_q9]]--0.00354)/-0.00354</f>
        <v>-0.10844639256691248</v>
      </c>
    </row>
    <row r="212" spans="1:17" x14ac:dyDescent="0.3">
      <c r="A212">
        <v>32</v>
      </c>
      <c r="B212">
        <v>3</v>
      </c>
      <c r="C212">
        <v>264</v>
      </c>
      <c r="D212">
        <v>-2.3022567040766502E-3</v>
      </c>
      <c r="E212">
        <v>910</v>
      </c>
      <c r="F212">
        <v>-3.0381301986042901E-3</v>
      </c>
      <c r="G212">
        <v>264</v>
      </c>
      <c r="H212">
        <v>-2.8672921782858002E-3</v>
      </c>
      <c r="I212">
        <v>718</v>
      </c>
      <c r="J212">
        <v>-3.0527540973234999E-3</v>
      </c>
      <c r="K212">
        <v>910</v>
      </c>
      <c r="L212">
        <v>-3.0527540973234999E-3</v>
      </c>
      <c r="M212">
        <f>(Table7[[#This Row],[disp_t3]]--0.00354)/-0.00354</f>
        <v>-0.34964499884840394</v>
      </c>
      <c r="N212">
        <f>(Table7[[#This Row],[disp_t6]]--0.00354)/-0.00354</f>
        <v>-0.1417711303377712</v>
      </c>
      <c r="O212">
        <f>(Table7[[#This Row],[disp_q4]]--0.00354)/-0.00354</f>
        <v>-0.19003045811135591</v>
      </c>
      <c r="P212">
        <f>(Table7[[#This Row],[disp_q8]]--0.00354)/-0.00354</f>
        <v>-0.13764008550183623</v>
      </c>
      <c r="Q212">
        <f>(Table7[[#This Row],[disp_q9]]--0.00354)/-0.00354</f>
        <v>-0.13764008550183623</v>
      </c>
    </row>
    <row r="213" spans="1:17" x14ac:dyDescent="0.3">
      <c r="A213">
        <v>26</v>
      </c>
      <c r="B213">
        <v>3</v>
      </c>
      <c r="C213">
        <v>216</v>
      </c>
      <c r="D213">
        <v>-2.1325954480512599E-3</v>
      </c>
      <c r="E213">
        <v>742</v>
      </c>
      <c r="F213">
        <v>-2.8660472282487901E-3</v>
      </c>
      <c r="G213">
        <v>216</v>
      </c>
      <c r="H213">
        <v>-2.6806138718893902E-3</v>
      </c>
      <c r="I213">
        <v>586</v>
      </c>
      <c r="J213">
        <v>-2.8736134552960302E-3</v>
      </c>
      <c r="K213">
        <v>742</v>
      </c>
      <c r="L213">
        <v>-2.8736134552960302E-3</v>
      </c>
      <c r="M213">
        <f>(Table7[[#This Row],[disp_t3]]--0.00354)/-0.00354</f>
        <v>-0.39757190733015263</v>
      </c>
      <c r="N213">
        <f>(Table7[[#This Row],[disp_t6]]--0.00354)/-0.00354</f>
        <v>-0.1903821389127712</v>
      </c>
      <c r="O213">
        <f>(Table7[[#This Row],[disp_q4]]--0.00354)/-0.00354</f>
        <v>-0.24276444296909885</v>
      </c>
      <c r="P213">
        <f>(Table7[[#This Row],[disp_q8]]--0.00354)/-0.00354</f>
        <v>-0.18824478663953953</v>
      </c>
      <c r="Q213">
        <f>(Table7[[#This Row],[disp_q9]]--0.00354)/-0.00354</f>
        <v>-0.18824478663953953</v>
      </c>
    </row>
    <row r="214" spans="1:17" x14ac:dyDescent="0.3">
      <c r="A214">
        <v>22</v>
      </c>
      <c r="B214">
        <v>3</v>
      </c>
      <c r="C214">
        <v>184</v>
      </c>
      <c r="D214">
        <v>-1.9758418179164098E-3</v>
      </c>
      <c r="E214">
        <v>630</v>
      </c>
      <c r="F214">
        <v>-2.7111758734851602E-3</v>
      </c>
      <c r="G214">
        <v>184</v>
      </c>
      <c r="H214">
        <v>-2.5084104066537198E-3</v>
      </c>
      <c r="I214">
        <v>498</v>
      </c>
      <c r="J214">
        <v>-2.7141817866936598E-3</v>
      </c>
      <c r="K214">
        <v>630</v>
      </c>
      <c r="L214">
        <v>-2.7141817866936598E-3</v>
      </c>
      <c r="M214">
        <f>(Table7[[#This Row],[disp_t3]]--0.00354)/-0.00354</f>
        <v>-0.44185259380892383</v>
      </c>
      <c r="N214">
        <f>(Table7[[#This Row],[disp_t6]]--0.00354)/-0.00354</f>
        <v>-0.23413110918498303</v>
      </c>
      <c r="O214">
        <f>(Table7[[#This Row],[disp_q4]]--0.00354)/-0.00354</f>
        <v>-0.2914094896458419</v>
      </c>
      <c r="P214">
        <f>(Table7[[#This Row],[disp_q8]]--0.00354)/-0.00354</f>
        <v>-0.23328198115998314</v>
      </c>
      <c r="Q214">
        <f>(Table7[[#This Row],[disp_q9]]--0.00354)/-0.00354</f>
        <v>-0.23328198115998314</v>
      </c>
    </row>
    <row r="215" spans="1:17" x14ac:dyDescent="0.3">
      <c r="A215">
        <v>18</v>
      </c>
      <c r="B215">
        <v>3</v>
      </c>
      <c r="C215">
        <v>152</v>
      </c>
      <c r="D215">
        <v>-1.7661449439066001E-3</v>
      </c>
      <c r="E215">
        <v>518</v>
      </c>
      <c r="F215">
        <v>-2.5483980894425899E-3</v>
      </c>
      <c r="G215">
        <v>152</v>
      </c>
      <c r="H215">
        <v>-2.2787212491769899E-3</v>
      </c>
      <c r="I215">
        <v>410</v>
      </c>
      <c r="J215">
        <v>-2.5080082677388098E-3</v>
      </c>
      <c r="K215">
        <v>518</v>
      </c>
      <c r="L215">
        <v>-2.5080082677388098E-3</v>
      </c>
      <c r="M215">
        <f>(Table7[[#This Row],[disp_t3]]--0.00354)/-0.00354</f>
        <v>-0.50108899889644065</v>
      </c>
      <c r="N215">
        <f>(Table7[[#This Row],[disp_t6]]--0.00354)/-0.00354</f>
        <v>-0.28011353405576561</v>
      </c>
      <c r="O215">
        <f>(Table7[[#This Row],[disp_q4]]--0.00354)/-0.00354</f>
        <v>-0.35629343243587863</v>
      </c>
      <c r="P215">
        <f>(Table7[[#This Row],[disp_q8]]--0.00354)/-0.00354</f>
        <v>-0.29152308820937578</v>
      </c>
      <c r="Q215">
        <f>(Table7[[#This Row],[disp_q9]]--0.00354)/-0.00354</f>
        <v>-0.29152308820937578</v>
      </c>
    </row>
    <row r="216" spans="1:17" x14ac:dyDescent="0.3">
      <c r="A216">
        <v>15</v>
      </c>
      <c r="B216">
        <v>3</v>
      </c>
      <c r="C216">
        <v>128</v>
      </c>
      <c r="D216">
        <v>-1.9635330064527198E-3</v>
      </c>
      <c r="E216">
        <v>434</v>
      </c>
      <c r="F216">
        <v>-2.1894274605434101E-3</v>
      </c>
      <c r="G216">
        <v>128</v>
      </c>
      <c r="H216">
        <v>-2.62183101656552E-3</v>
      </c>
      <c r="I216">
        <v>344</v>
      </c>
      <c r="J216">
        <v>-2.2200539495509501E-3</v>
      </c>
      <c r="K216">
        <v>434</v>
      </c>
      <c r="L216">
        <v>-2.2200539495509501E-3</v>
      </c>
      <c r="M216">
        <f>(Table7[[#This Row],[disp_t3]]--0.00354)/-0.00354</f>
        <v>-0.44532965919414697</v>
      </c>
      <c r="N216">
        <f>(Table7[[#This Row],[disp_t6]]--0.00354)/-0.00354</f>
        <v>-0.38151766651316099</v>
      </c>
      <c r="O216">
        <f>(Table7[[#This Row],[disp_q4]]--0.00354)/-0.00354</f>
        <v>-0.25936976933177402</v>
      </c>
      <c r="P216">
        <f>(Table7[[#This Row],[disp_q8]]--0.00354)/-0.00354</f>
        <v>-0.37286611594605934</v>
      </c>
      <c r="Q216">
        <f>(Table7[[#This Row],[disp_q9]]--0.00354)/-0.00354</f>
        <v>-0.37286611594605934</v>
      </c>
    </row>
    <row r="217" spans="1:17" x14ac:dyDescent="0.3">
      <c r="A217">
        <v>12</v>
      </c>
      <c r="B217">
        <v>3</v>
      </c>
      <c r="C217">
        <v>104</v>
      </c>
      <c r="D217">
        <v>-1.2901152777109401E-3</v>
      </c>
      <c r="E217">
        <v>350</v>
      </c>
      <c r="F217">
        <v>-2.0399451295459899E-3</v>
      </c>
      <c r="G217">
        <v>104</v>
      </c>
      <c r="H217">
        <v>-1.7552721259573799E-3</v>
      </c>
      <c r="I217">
        <v>278</v>
      </c>
      <c r="J217">
        <v>-2.0494608896184699E-3</v>
      </c>
      <c r="K217">
        <v>350</v>
      </c>
      <c r="L217">
        <v>-2.0494608896184699E-3</v>
      </c>
      <c r="M217">
        <f>(Table7[[#This Row],[disp_t3]]--0.00354)/-0.00354</f>
        <v>-0.63556065601385869</v>
      </c>
      <c r="N217">
        <f>(Table7[[#This Row],[disp_t6]]--0.00354)/-0.00354</f>
        <v>-0.42374431368757354</v>
      </c>
      <c r="O217">
        <f>(Table7[[#This Row],[disp_q4]]--0.00354)/-0.00354</f>
        <v>-0.50416041639622033</v>
      </c>
      <c r="P217">
        <f>(Table7[[#This Row],[disp_q8]]--0.00354)/-0.00354</f>
        <v>-0.42105624587048873</v>
      </c>
      <c r="Q217">
        <f>(Table7[[#This Row],[disp_q9]]--0.00354)/-0.00354</f>
        <v>-0.42105624587048873</v>
      </c>
    </row>
    <row r="218" spans="1:17" x14ac:dyDescent="0.3">
      <c r="A218">
        <v>10</v>
      </c>
      <c r="B218">
        <v>3</v>
      </c>
      <c r="C218">
        <v>88</v>
      </c>
      <c r="D218">
        <v>-1.0649630454653101E-3</v>
      </c>
      <c r="E218">
        <v>294</v>
      </c>
      <c r="F218">
        <v>-1.81453238572264E-3</v>
      </c>
      <c r="G218">
        <v>88</v>
      </c>
      <c r="H218">
        <v>-1.4997463278720901E-3</v>
      </c>
      <c r="I218">
        <v>234</v>
      </c>
      <c r="J218">
        <v>-1.8287072073523299E-3</v>
      </c>
      <c r="K218">
        <v>294</v>
      </c>
      <c r="L218">
        <v>-1.8287072073523299E-3</v>
      </c>
      <c r="M218">
        <f>(Table7[[#This Row],[disp_t3]]--0.00354)/-0.00354</f>
        <v>-0.69916298150697453</v>
      </c>
      <c r="N218">
        <f>(Table7[[#This Row],[disp_t6]]--0.00354)/-0.00354</f>
        <v>-0.48742023002185314</v>
      </c>
      <c r="O218">
        <f>(Table7[[#This Row],[disp_q4]]--0.00354)/-0.00354</f>
        <v>-0.57634284523387291</v>
      </c>
      <c r="P218">
        <f>(Table7[[#This Row],[disp_q8]]--0.00354)/-0.00354</f>
        <v>-0.48341604312081077</v>
      </c>
      <c r="Q218">
        <f>(Table7[[#This Row],[disp_q9]]--0.00354)/-0.00354</f>
        <v>-0.48341604312081077</v>
      </c>
    </row>
    <row r="219" spans="1:17" x14ac:dyDescent="0.3">
      <c r="A219">
        <v>8</v>
      </c>
      <c r="B219">
        <v>3</v>
      </c>
      <c r="C219">
        <v>72</v>
      </c>
      <c r="D219">
        <v>-7.9541491724587196E-4</v>
      </c>
      <c r="E219">
        <v>238</v>
      </c>
      <c r="F219">
        <v>-1.5208056739097801E-3</v>
      </c>
      <c r="G219">
        <v>72</v>
      </c>
      <c r="H219">
        <v>-1.1759291141832601E-3</v>
      </c>
      <c r="I219">
        <v>190</v>
      </c>
      <c r="J219">
        <v>-1.5428044315794599E-3</v>
      </c>
      <c r="K219">
        <v>238</v>
      </c>
      <c r="L219">
        <v>-1.5428044315794599E-3</v>
      </c>
      <c r="M219">
        <f>(Table7[[#This Row],[disp_t3]]--0.00354)/-0.00354</f>
        <v>-0.77530652055201355</v>
      </c>
      <c r="N219">
        <f>(Table7[[#This Row],[disp_t6]]--0.00354)/-0.00354</f>
        <v>-0.57039387742661585</v>
      </c>
      <c r="O219">
        <f>(Table7[[#This Row],[disp_q4]]--0.00354)/-0.00354</f>
        <v>-0.66781663441150851</v>
      </c>
      <c r="P219">
        <f>(Table7[[#This Row],[disp_q8]]--0.00354)/-0.00354</f>
        <v>-0.56417953910184748</v>
      </c>
      <c r="Q219">
        <f>(Table7[[#This Row],[disp_q9]]--0.00354)/-0.00354</f>
        <v>-0.56417953910184748</v>
      </c>
    </row>
    <row r="220" spans="1:17" x14ac:dyDescent="0.3">
      <c r="A220">
        <v>7</v>
      </c>
      <c r="B220">
        <v>3</v>
      </c>
      <c r="C220">
        <v>64</v>
      </c>
      <c r="D220">
        <v>-1.0049852825615301E-3</v>
      </c>
      <c r="E220">
        <v>210</v>
      </c>
      <c r="F220">
        <v>-1.2713838126215599E-3</v>
      </c>
      <c r="G220">
        <v>64</v>
      </c>
      <c r="H220">
        <v>-1.5586218612975301E-3</v>
      </c>
      <c r="I220">
        <v>168</v>
      </c>
      <c r="J220">
        <v>-1.2810882033264801E-3</v>
      </c>
      <c r="K220">
        <v>210</v>
      </c>
      <c r="L220">
        <v>-1.2810882033264801E-3</v>
      </c>
      <c r="M220">
        <f>(Table7[[#This Row],[disp_t3]]--0.00354)/-0.00354</f>
        <v>-0.71610585238374858</v>
      </c>
      <c r="N220">
        <f>(Table7[[#This Row],[disp_t6]]--0.00354)/-0.00354</f>
        <v>-0.64085203033289273</v>
      </c>
      <c r="O220">
        <f>(Table7[[#This Row],[disp_q4]]--0.00354)/-0.00354</f>
        <v>-0.55971133861651701</v>
      </c>
      <c r="P220">
        <f>(Table7[[#This Row],[disp_q8]]--0.00354)/-0.00354</f>
        <v>-0.6381106770264181</v>
      </c>
      <c r="Q220">
        <f>(Table7[[#This Row],[disp_q9]]--0.00354)/-0.00354</f>
        <v>-0.6381106770264181</v>
      </c>
    </row>
    <row r="221" spans="1:17" x14ac:dyDescent="0.3">
      <c r="A221">
        <v>6</v>
      </c>
      <c r="B221">
        <v>3</v>
      </c>
      <c r="C221">
        <v>56</v>
      </c>
      <c r="D221">
        <v>-4.8669650159531103E-4</v>
      </c>
      <c r="E221">
        <v>182</v>
      </c>
      <c r="F221">
        <v>-1.10892932073842E-3</v>
      </c>
      <c r="G221">
        <v>56</v>
      </c>
      <c r="H221">
        <v>-7.6394906594025498E-4</v>
      </c>
      <c r="I221">
        <v>146</v>
      </c>
      <c r="J221">
        <v>-1.14029894893785E-3</v>
      </c>
      <c r="K221">
        <v>182</v>
      </c>
      <c r="L221">
        <v>-1.14029894893785E-3</v>
      </c>
      <c r="M221">
        <f>(Table7[[#This Row],[disp_t3]]--0.00354)/-0.00354</f>
        <v>-0.8625151125436975</v>
      </c>
      <c r="N221">
        <f>(Table7[[#This Row],[disp_t6]]--0.00354)/-0.00354</f>
        <v>-0.68674312973490959</v>
      </c>
      <c r="O221">
        <f>(Table7[[#This Row],[disp_q4]]--0.00354)/-0.00354</f>
        <v>-0.78419517911292236</v>
      </c>
      <c r="P221">
        <f>(Table7[[#This Row],[disp_q8]]--0.00354)/-0.00354</f>
        <v>-0.67788165284241519</v>
      </c>
      <c r="Q221">
        <f>(Table7[[#This Row],[disp_q9]]--0.00354)/-0.00354</f>
        <v>-0.67788165284241519</v>
      </c>
    </row>
    <row r="222" spans="1:17" x14ac:dyDescent="0.3">
      <c r="A222">
        <v>5</v>
      </c>
      <c r="B222">
        <v>3</v>
      </c>
      <c r="C222">
        <v>48</v>
      </c>
      <c r="D222">
        <v>-6.3067346090374095E-4</v>
      </c>
      <c r="E222">
        <v>154</v>
      </c>
      <c r="F222">
        <v>-7.8940052494799002E-4</v>
      </c>
      <c r="G222">
        <v>48</v>
      </c>
      <c r="H222">
        <v>-1.0488035974390499E-3</v>
      </c>
      <c r="I222">
        <v>124</v>
      </c>
      <c r="J222">
        <v>-8.1378045770398805E-4</v>
      </c>
      <c r="K222">
        <v>154</v>
      </c>
      <c r="L222">
        <v>-8.1378045770398805E-4</v>
      </c>
      <c r="M222">
        <f>(Table7[[#This Row],[disp_t3]]--0.00354)/-0.00354</f>
        <v>-0.82184365511193758</v>
      </c>
      <c r="N222">
        <f>(Table7[[#This Row],[disp_t6]]--0.00354)/-0.00354</f>
        <v>-0.77700550142712144</v>
      </c>
      <c r="O222">
        <f>(Table7[[#This Row],[disp_q4]]--0.00354)/-0.00354</f>
        <v>-0.70372779733360169</v>
      </c>
      <c r="P222">
        <f>(Table7[[#This Row],[disp_q8]]--0.00354)/-0.00354</f>
        <v>-0.77011851477288473</v>
      </c>
      <c r="Q222">
        <f>(Table7[[#This Row],[disp_q9]]--0.00354)/-0.00354</f>
        <v>-0.77011851477288473</v>
      </c>
    </row>
    <row r="223" spans="1:17" x14ac:dyDescent="0.3">
      <c r="A223">
        <v>4</v>
      </c>
      <c r="B223">
        <v>3</v>
      </c>
      <c r="C223">
        <v>40</v>
      </c>
      <c r="D223">
        <v>-1.8299678931194401E-4</v>
      </c>
      <c r="E223">
        <v>126</v>
      </c>
      <c r="F223">
        <v>-5.1175004199482304E-4</v>
      </c>
      <c r="G223">
        <v>40</v>
      </c>
      <c r="H223">
        <v>-2.8998021536598097E-4</v>
      </c>
      <c r="I223">
        <v>102</v>
      </c>
      <c r="J223">
        <v>-5.5869946018231495E-4</v>
      </c>
      <c r="K223">
        <v>126</v>
      </c>
      <c r="L223">
        <v>-5.5869946018231495E-4</v>
      </c>
      <c r="M223">
        <f>(Table7[[#This Row],[disp_t3]]--0.00354)/-0.00354</f>
        <v>-0.94830599171978991</v>
      </c>
      <c r="N223">
        <f>(Table7[[#This Row],[disp_t6]]--0.00354)/-0.00354</f>
        <v>-0.85543784124440025</v>
      </c>
      <c r="O223">
        <f>(Table7[[#This Row],[disp_q4]]--0.00354)/-0.00354</f>
        <v>-0.91808468492486406</v>
      </c>
      <c r="P223">
        <f>(Table7[[#This Row],[disp_q8]]--0.00354)/-0.00354</f>
        <v>-0.84217529373380939</v>
      </c>
      <c r="Q223">
        <f>(Table7[[#This Row],[disp_q9]]--0.00354)/-0.00354</f>
        <v>-0.84217529373380939</v>
      </c>
    </row>
    <row r="224" spans="1:17" x14ac:dyDescent="0.3">
      <c r="A224">
        <v>3</v>
      </c>
      <c r="B224">
        <v>3</v>
      </c>
      <c r="C224">
        <v>32</v>
      </c>
      <c r="D224">
        <v>-2.5224876042732902E-4</v>
      </c>
      <c r="E224">
        <v>98</v>
      </c>
      <c r="F224">
        <v>-1.7471860082983199E-4</v>
      </c>
      <c r="G224">
        <v>32</v>
      </c>
      <c r="H224">
        <v>-4.1929919434130399E-4</v>
      </c>
      <c r="I224">
        <v>80</v>
      </c>
      <c r="J224">
        <v>-1.86904311327933E-4</v>
      </c>
      <c r="K224">
        <v>98</v>
      </c>
      <c r="L224">
        <v>-1.86904311327933E-4</v>
      </c>
      <c r="M224">
        <f>(Table7[[#This Row],[disp_t3]]--0.00354)/-0.00354</f>
        <v>-0.92874328801487871</v>
      </c>
      <c r="N224">
        <f>(Table7[[#This Row],[disp_t6]]--0.00354)/-0.00354</f>
        <v>-0.95064446304242034</v>
      </c>
      <c r="O224">
        <f>(Table7[[#This Row],[disp_q4]]--0.00354)/-0.00354</f>
        <v>-0.88155389990358646</v>
      </c>
      <c r="P224">
        <f>(Table7[[#This Row],[disp_q8]]--0.00354)/-0.00354</f>
        <v>-0.94720217194126188</v>
      </c>
      <c r="Q224">
        <f>(Table7[[#This Row],[disp_q9]]--0.00354)/-0.00354</f>
        <v>-0.94720217194126188</v>
      </c>
    </row>
    <row r="225" spans="1:17" x14ac:dyDescent="0.3">
      <c r="A225">
        <v>2</v>
      </c>
      <c r="B225">
        <v>3</v>
      </c>
      <c r="C225">
        <v>24</v>
      </c>
      <c r="D225" s="7">
        <v>-3.6359107704004099E-6</v>
      </c>
      <c r="E225">
        <v>70</v>
      </c>
      <c r="F225" s="7">
        <v>-2.6965608420236301E-5</v>
      </c>
      <c r="G225">
        <v>24</v>
      </c>
      <c r="H225" s="7">
        <v>-6.1057278927294502E-6</v>
      </c>
      <c r="I225">
        <v>58</v>
      </c>
      <c r="J225" s="7">
        <v>-1.3607977321768001E-5</v>
      </c>
      <c r="K225">
        <v>70</v>
      </c>
      <c r="L225" s="7">
        <v>-1.3607977321768001E-5</v>
      </c>
      <c r="M225">
        <f>(Table7[[#This Row],[disp_t3]]--0.00354)/-0.00354</f>
        <v>-0.99897290656203375</v>
      </c>
      <c r="N225">
        <f>(Table7[[#This Row],[disp_t6]]--0.00354)/-0.00354</f>
        <v>-0.99238259649145866</v>
      </c>
      <c r="O225">
        <f>(Table7[[#This Row],[disp_q4]]--0.00354)/-0.00354</f>
        <v>-0.99827521810939845</v>
      </c>
      <c r="P225">
        <f>(Table7[[#This Row],[disp_q8]]--0.00354)/-0.00354</f>
        <v>-0.99615593860967011</v>
      </c>
      <c r="Q225">
        <f>(Table7[[#This Row],[disp_q9]]--0.00354)/-0.00354</f>
        <v>-0.99615593860967011</v>
      </c>
    </row>
    <row r="226" spans="1:17" x14ac:dyDescent="0.3">
      <c r="A226">
        <v>1</v>
      </c>
      <c r="B226">
        <v>3</v>
      </c>
      <c r="C226">
        <v>16</v>
      </c>
      <c r="D226" s="7">
        <v>-1.83476051724613E-6</v>
      </c>
      <c r="E226">
        <v>42</v>
      </c>
      <c r="F226" s="7">
        <v>-5.4984322671636603E-6</v>
      </c>
      <c r="G226">
        <v>16</v>
      </c>
      <c r="H226" s="7">
        <v>-2.76258209241081E-6</v>
      </c>
      <c r="I226">
        <v>36</v>
      </c>
      <c r="J226" s="7">
        <v>-7.2733703464532798E-6</v>
      </c>
      <c r="K226">
        <v>42</v>
      </c>
      <c r="L226" s="7">
        <v>-7.2733703464532798E-6</v>
      </c>
      <c r="M226">
        <f>(Table7[[#This Row],[disp_t3]]--0.00354)/-0.00354</f>
        <v>-0.99948170606857456</v>
      </c>
      <c r="N226">
        <f>(Table7[[#This Row],[disp_t6]]--0.00354)/-0.00354</f>
        <v>-0.99844677054599895</v>
      </c>
      <c r="O226">
        <f>(Table7[[#This Row],[disp_q4]]--0.00354)/-0.00354</f>
        <v>-0.99921960957841505</v>
      </c>
      <c r="P226">
        <f>(Table7[[#This Row],[disp_q8]]--0.00354)/-0.00354</f>
        <v>-0.99794537560834662</v>
      </c>
      <c r="Q226">
        <f>(Table7[[#This Row],[disp_q9]]--0.00354)/-0.00354</f>
        <v>-0.99794537560834662</v>
      </c>
    </row>
    <row r="227" spans="1:17" x14ac:dyDescent="0.3">
      <c r="A227">
        <v>200</v>
      </c>
      <c r="B227">
        <v>2</v>
      </c>
      <c r="C227">
        <v>1206</v>
      </c>
      <c r="D227">
        <v>-2.3807639972508099E-3</v>
      </c>
      <c r="E227">
        <v>4010</v>
      </c>
      <c r="F227">
        <v>-3.5521914236065402E-3</v>
      </c>
      <c r="G227">
        <v>1206</v>
      </c>
      <c r="H227">
        <v>-3.4385454652331002E-3</v>
      </c>
      <c r="I227">
        <v>3210</v>
      </c>
      <c r="J227">
        <v>-3.5754100535638602E-3</v>
      </c>
      <c r="K227">
        <v>4010</v>
      </c>
      <c r="L227">
        <v>-3.5754100535638602E-3</v>
      </c>
      <c r="M227">
        <f>(Table7[[#This Row],[disp_t3]]--0.00354)/-0.00354</f>
        <v>-0.32746779738677689</v>
      </c>
      <c r="N227">
        <f>(Table7[[#This Row],[disp_t6]]--0.00354)/-0.00354</f>
        <v>3.4439049735988628E-3</v>
      </c>
      <c r="O227">
        <f>(Table7[[#This Row],[disp_q4]]--0.00354)/-0.00354</f>
        <v>-2.8659473097994347E-2</v>
      </c>
      <c r="P227">
        <f>(Table7[[#This Row],[disp_q8]]--0.00354)/-0.00354</f>
        <v>1.0002839989790957E-2</v>
      </c>
      <c r="Q227">
        <f>(Table7[[#This Row],[disp_q9]]--0.00354)/-0.00354</f>
        <v>1.0002839989790957E-2</v>
      </c>
    </row>
    <row r="228" spans="1:17" x14ac:dyDescent="0.3">
      <c r="A228">
        <v>166</v>
      </c>
      <c r="B228">
        <v>2</v>
      </c>
      <c r="C228">
        <v>1002</v>
      </c>
      <c r="D228">
        <v>-2.3638509606618298E-3</v>
      </c>
      <c r="E228">
        <v>3330</v>
      </c>
      <c r="F228">
        <v>-3.53398424208963E-3</v>
      </c>
      <c r="G228">
        <v>1002</v>
      </c>
      <c r="H228">
        <v>-3.41614132110463E-3</v>
      </c>
      <c r="I228">
        <v>2666</v>
      </c>
      <c r="J228">
        <v>-3.5573480543192502E-3</v>
      </c>
      <c r="K228">
        <v>3330</v>
      </c>
      <c r="L228">
        <v>-3.5573480543192502E-3</v>
      </c>
      <c r="M228">
        <f>(Table7[[#This Row],[disp_t3]]--0.00354)/-0.00354</f>
        <v>-0.3322454913384662</v>
      </c>
      <c r="N228">
        <f>(Table7[[#This Row],[disp_t6]]--0.00354)/-0.00354</f>
        <v>-1.699366641347501E-3</v>
      </c>
      <c r="O228">
        <f>(Table7[[#This Row],[disp_q4]]--0.00354)/-0.00354</f>
        <v>-3.4988327371573494E-2</v>
      </c>
      <c r="P228">
        <f>(Table7[[#This Row],[disp_q8]]--0.00354)/-0.00354</f>
        <v>4.9005803161723113E-3</v>
      </c>
      <c r="Q228">
        <f>(Table7[[#This Row],[disp_q9]]--0.00354)/-0.00354</f>
        <v>4.9005803161723113E-3</v>
      </c>
    </row>
    <row r="229" spans="1:17" x14ac:dyDescent="0.3">
      <c r="A229">
        <v>138</v>
      </c>
      <c r="B229">
        <v>2</v>
      </c>
      <c r="C229">
        <v>834</v>
      </c>
      <c r="D229">
        <v>-2.3828770112933801E-3</v>
      </c>
      <c r="E229">
        <v>2770</v>
      </c>
      <c r="F229">
        <v>-3.5153765844912598E-3</v>
      </c>
      <c r="G229">
        <v>834</v>
      </c>
      <c r="H229">
        <v>-3.4473679527431602E-3</v>
      </c>
      <c r="I229">
        <v>2218</v>
      </c>
      <c r="J229">
        <v>-3.5361825218064198E-3</v>
      </c>
      <c r="K229">
        <v>2770</v>
      </c>
      <c r="L229">
        <v>-3.5361825218064198E-3</v>
      </c>
      <c r="M229">
        <f>(Table7[[#This Row],[disp_t3]]--0.00354)/-0.00354</f>
        <v>-0.32687090076458192</v>
      </c>
      <c r="N229">
        <f>(Table7[[#This Row],[disp_t6]]--0.00354)/-0.00354</f>
        <v>-6.9557670928645067E-3</v>
      </c>
      <c r="O229">
        <f>(Table7[[#This Row],[disp_q4]]--0.00354)/-0.00354</f>
        <v>-2.6167244987807901E-2</v>
      </c>
      <c r="P229">
        <f>(Table7[[#This Row],[disp_q8]]--0.00354)/-0.00354</f>
        <v>-1.0783836705029273E-3</v>
      </c>
      <c r="Q229">
        <f>(Table7[[#This Row],[disp_q9]]--0.00354)/-0.00354</f>
        <v>-1.0783836705029273E-3</v>
      </c>
    </row>
    <row r="230" spans="1:17" x14ac:dyDescent="0.3">
      <c r="A230">
        <v>115</v>
      </c>
      <c r="B230">
        <v>2</v>
      </c>
      <c r="C230">
        <v>696</v>
      </c>
      <c r="D230">
        <v>-2.3868145527986902E-3</v>
      </c>
      <c r="E230">
        <v>2310</v>
      </c>
      <c r="F230">
        <v>-3.4884568938596699E-3</v>
      </c>
      <c r="G230">
        <v>696</v>
      </c>
      <c r="H230">
        <v>-3.4486965619369499E-3</v>
      </c>
      <c r="I230">
        <v>1850</v>
      </c>
      <c r="J230">
        <v>-3.47540891696899E-3</v>
      </c>
      <c r="K230">
        <v>2310</v>
      </c>
      <c r="L230">
        <v>-3.47540891696899E-3</v>
      </c>
      <c r="M230">
        <f>(Table7[[#This Row],[disp_t3]]--0.00354)/-0.00354</f>
        <v>-0.32575860090432485</v>
      </c>
      <c r="N230">
        <f>(Table7[[#This Row],[disp_t6]]--0.00354)/-0.00354</f>
        <v>-1.456019947466957E-2</v>
      </c>
      <c r="O230">
        <f>(Table7[[#This Row],[disp_q4]]--0.00354)/-0.00354</f>
        <v>-2.5791931656228895E-2</v>
      </c>
      <c r="P230">
        <f>(Table7[[#This Row],[disp_q8]]--0.00354)/-0.00354</f>
        <v>-1.8246068652827723E-2</v>
      </c>
      <c r="Q230">
        <f>(Table7[[#This Row],[disp_q9]]--0.00354)/-0.00354</f>
        <v>-1.8246068652827723E-2</v>
      </c>
    </row>
    <row r="231" spans="1:17" x14ac:dyDescent="0.3">
      <c r="A231">
        <v>96</v>
      </c>
      <c r="B231">
        <v>2</v>
      </c>
      <c r="C231">
        <v>582</v>
      </c>
      <c r="D231">
        <v>-2.2886946161877302E-3</v>
      </c>
      <c r="E231">
        <v>1930</v>
      </c>
      <c r="F231">
        <v>-3.53207772343333E-3</v>
      </c>
      <c r="G231">
        <v>582</v>
      </c>
      <c r="H231">
        <v>-3.31441365687145E-3</v>
      </c>
      <c r="I231">
        <v>1546</v>
      </c>
      <c r="J231">
        <v>-3.4784366269002601E-3</v>
      </c>
      <c r="K231">
        <v>1930</v>
      </c>
      <c r="L231">
        <v>-3.4784366269002601E-3</v>
      </c>
      <c r="M231">
        <f>(Table7[[#This Row],[disp_t3]]--0.00354)/-0.00354</f>
        <v>-0.35347609712211014</v>
      </c>
      <c r="N231">
        <f>(Table7[[#This Row],[disp_t6]]--0.00354)/-0.00354</f>
        <v>-2.237931233522662E-3</v>
      </c>
      <c r="O231">
        <f>(Table7[[#This Row],[disp_q4]]--0.00354)/-0.00354</f>
        <v>-6.3724955686031121E-2</v>
      </c>
      <c r="P231">
        <f>(Table7[[#This Row],[disp_q8]]--0.00354)/-0.00354</f>
        <v>-1.739078336150849E-2</v>
      </c>
      <c r="Q231">
        <f>(Table7[[#This Row],[disp_q9]]--0.00354)/-0.00354</f>
        <v>-1.739078336150849E-2</v>
      </c>
    </row>
    <row r="232" spans="1:17" x14ac:dyDescent="0.3">
      <c r="A232">
        <v>80</v>
      </c>
      <c r="B232">
        <v>2</v>
      </c>
      <c r="C232">
        <v>486</v>
      </c>
      <c r="D232">
        <v>-2.2518390315082E-3</v>
      </c>
      <c r="E232">
        <v>1610</v>
      </c>
      <c r="F232">
        <v>-3.4895072041527401E-3</v>
      </c>
      <c r="G232">
        <v>486</v>
      </c>
      <c r="H232">
        <v>-3.2635082645281902E-3</v>
      </c>
      <c r="I232">
        <v>1290</v>
      </c>
      <c r="J232">
        <v>-3.4372535704700899E-3</v>
      </c>
      <c r="K232">
        <v>1610</v>
      </c>
      <c r="L232">
        <v>-3.4372535704700899E-3</v>
      </c>
      <c r="M232">
        <f>(Table7[[#This Row],[disp_t3]]--0.00354)/-0.00354</f>
        <v>-0.36388727923497177</v>
      </c>
      <c r="N232">
        <f>(Table7[[#This Row],[disp_t6]]--0.00354)/-0.00354</f>
        <v>-1.4263501651768396E-2</v>
      </c>
      <c r="O232">
        <f>(Table7[[#This Row],[disp_q4]]--0.00354)/-0.00354</f>
        <v>-7.8105010020285304E-2</v>
      </c>
      <c r="P232">
        <f>(Table7[[#This Row],[disp_q8]]--0.00354)/-0.00354</f>
        <v>-2.9024415121443572E-2</v>
      </c>
      <c r="Q232">
        <f>(Table7[[#This Row],[disp_q9]]--0.00354)/-0.00354</f>
        <v>-2.9024415121443572E-2</v>
      </c>
    </row>
    <row r="233" spans="1:17" x14ac:dyDescent="0.3">
      <c r="A233">
        <v>66</v>
      </c>
      <c r="B233">
        <v>2</v>
      </c>
      <c r="C233">
        <v>402</v>
      </c>
      <c r="D233">
        <v>-2.2425511092381899E-3</v>
      </c>
      <c r="E233">
        <v>1330</v>
      </c>
      <c r="F233">
        <v>-3.3525521873998799E-3</v>
      </c>
      <c r="G233">
        <v>402</v>
      </c>
      <c r="H233">
        <v>-3.2548152487589101E-3</v>
      </c>
      <c r="I233">
        <v>1066</v>
      </c>
      <c r="J233">
        <v>-3.3817392401365399E-3</v>
      </c>
      <c r="K233">
        <v>1330</v>
      </c>
      <c r="L233">
        <v>-3.3817392401365399E-3</v>
      </c>
      <c r="M233">
        <f>(Table7[[#This Row],[disp_t3]]--0.00354)/-0.00354</f>
        <v>-0.36651098609090688</v>
      </c>
      <c r="N233">
        <f>(Table7[[#This Row],[disp_t6]]--0.00354)/-0.00354</f>
        <v>-5.2951359491559408E-2</v>
      </c>
      <c r="O233">
        <f>(Table7[[#This Row],[disp_q4]]--0.00354)/-0.00354</f>
        <v>-8.0560664192398337E-2</v>
      </c>
      <c r="P233">
        <f>(Table7[[#This Row],[disp_q8]]--0.00354)/-0.00354</f>
        <v>-4.4706429339960524E-2</v>
      </c>
      <c r="Q233">
        <f>(Table7[[#This Row],[disp_q9]]--0.00354)/-0.00354</f>
        <v>-4.4706429339960524E-2</v>
      </c>
    </row>
    <row r="234" spans="1:17" x14ac:dyDescent="0.3">
      <c r="A234">
        <v>55</v>
      </c>
      <c r="B234">
        <v>2</v>
      </c>
      <c r="C234">
        <v>336</v>
      </c>
      <c r="D234">
        <v>-2.29200737555682E-3</v>
      </c>
      <c r="E234">
        <v>1110</v>
      </c>
      <c r="F234">
        <v>-3.2256723739252798E-3</v>
      </c>
      <c r="G234">
        <v>336</v>
      </c>
      <c r="H234">
        <v>-3.3295657547818599E-3</v>
      </c>
      <c r="I234">
        <v>890</v>
      </c>
      <c r="J234">
        <v>-3.2471795034497699E-3</v>
      </c>
      <c r="K234">
        <v>1110</v>
      </c>
      <c r="L234">
        <v>-3.2471795034497699E-3</v>
      </c>
      <c r="M234">
        <f>(Table7[[#This Row],[disp_t3]]--0.00354)/-0.00354</f>
        <v>-0.35254028939072884</v>
      </c>
      <c r="N234">
        <f>(Table7[[#This Row],[disp_t6]]--0.00354)/-0.00354</f>
        <v>-8.8793114710372989E-2</v>
      </c>
      <c r="O234">
        <f>(Table7[[#This Row],[disp_q4]]--0.00354)/-0.00354</f>
        <v>-5.9444702039022676E-2</v>
      </c>
      <c r="P234">
        <f>(Table7[[#This Row],[disp_q8]]--0.00354)/-0.00354</f>
        <v>-8.2717654392720399E-2</v>
      </c>
      <c r="Q234">
        <f>(Table7[[#This Row],[disp_q9]]--0.00354)/-0.00354</f>
        <v>-8.2717654392720399E-2</v>
      </c>
    </row>
    <row r="235" spans="1:17" x14ac:dyDescent="0.3">
      <c r="A235">
        <v>46</v>
      </c>
      <c r="B235">
        <v>2</v>
      </c>
      <c r="C235">
        <v>282</v>
      </c>
      <c r="D235">
        <v>-2.0832272567858799E-3</v>
      </c>
      <c r="E235">
        <v>930</v>
      </c>
      <c r="F235">
        <v>-3.2053559215278501E-3</v>
      </c>
      <c r="G235">
        <v>282</v>
      </c>
      <c r="H235">
        <v>-3.02596824912882E-3</v>
      </c>
      <c r="I235">
        <v>746</v>
      </c>
      <c r="J235">
        <v>-3.23352825070755E-3</v>
      </c>
      <c r="K235">
        <v>930</v>
      </c>
      <c r="L235">
        <v>-3.23352825070755E-3</v>
      </c>
      <c r="M235">
        <f>(Table7[[#This Row],[disp_t3]]--0.00354)/-0.00354</f>
        <v>-0.41151772407178538</v>
      </c>
      <c r="N235">
        <f>(Table7[[#This Row],[disp_t6]]--0.00354)/-0.00354</f>
        <v>-9.4532225557104527E-2</v>
      </c>
      <c r="O235">
        <f>(Table7[[#This Row],[disp_q4]]--0.00354)/-0.00354</f>
        <v>-0.14520670928564411</v>
      </c>
      <c r="P235">
        <f>(Table7[[#This Row],[disp_q8]]--0.00354)/-0.00354</f>
        <v>-8.6573940478093248E-2</v>
      </c>
      <c r="Q235">
        <f>(Table7[[#This Row],[disp_q9]]--0.00354)/-0.00354</f>
        <v>-8.6573940478093248E-2</v>
      </c>
    </row>
    <row r="236" spans="1:17" x14ac:dyDescent="0.3">
      <c r="A236">
        <v>38</v>
      </c>
      <c r="B236">
        <v>2</v>
      </c>
      <c r="C236">
        <v>234</v>
      </c>
      <c r="D236">
        <v>-1.9988466781514398E-3</v>
      </c>
      <c r="E236">
        <v>770</v>
      </c>
      <c r="F236">
        <v>-3.0993753424912798E-3</v>
      </c>
      <c r="G236">
        <v>234</v>
      </c>
      <c r="H236">
        <v>-2.9059938311605201E-3</v>
      </c>
      <c r="I236">
        <v>618</v>
      </c>
      <c r="J236">
        <v>-3.1249151820841202E-3</v>
      </c>
      <c r="K236">
        <v>770</v>
      </c>
      <c r="L236">
        <v>-3.1249151820841202E-3</v>
      </c>
      <c r="M236">
        <f>(Table7[[#This Row],[disp_t3]]--0.00354)/-0.00354</f>
        <v>-0.4353540457199323</v>
      </c>
      <c r="N236">
        <f>(Table7[[#This Row],[disp_t6]]--0.00354)/-0.00354</f>
        <v>-0.12447024223410179</v>
      </c>
      <c r="O236">
        <f>(Table7[[#This Row],[disp_q4]]--0.00354)/-0.00354</f>
        <v>-0.17909778780776273</v>
      </c>
      <c r="P236">
        <f>(Table7[[#This Row],[disp_q8]]--0.00354)/-0.00354</f>
        <v>-0.11725559828132204</v>
      </c>
      <c r="Q236">
        <f>(Table7[[#This Row],[disp_q9]]--0.00354)/-0.00354</f>
        <v>-0.11725559828132204</v>
      </c>
    </row>
    <row r="237" spans="1:17" x14ac:dyDescent="0.3">
      <c r="A237">
        <v>32</v>
      </c>
      <c r="B237">
        <v>2</v>
      </c>
      <c r="C237">
        <v>198</v>
      </c>
      <c r="D237">
        <v>-1.90883427744671E-3</v>
      </c>
      <c r="E237">
        <v>650</v>
      </c>
      <c r="F237">
        <v>-3.0616719890095398E-3</v>
      </c>
      <c r="G237">
        <v>198</v>
      </c>
      <c r="H237">
        <v>-2.7782645890968298E-3</v>
      </c>
      <c r="I237">
        <v>522</v>
      </c>
      <c r="J237">
        <v>-3.0050851558666302E-3</v>
      </c>
      <c r="K237">
        <v>650</v>
      </c>
      <c r="L237">
        <v>-3.0050851558666302E-3</v>
      </c>
      <c r="M237">
        <f>(Table7[[#This Row],[disp_t3]]--0.00354)/-0.00354</f>
        <v>-0.46078127755742659</v>
      </c>
      <c r="N237">
        <f>(Table7[[#This Row],[disp_t6]]--0.00354)/-0.00354</f>
        <v>-0.13512090705945207</v>
      </c>
      <c r="O237">
        <f>(Table7[[#This Row],[disp_q4]]--0.00354)/-0.00354</f>
        <v>-0.21517949460541536</v>
      </c>
      <c r="P237">
        <f>(Table7[[#This Row],[disp_q8]]--0.00354)/-0.00354</f>
        <v>-0.15110588817326837</v>
      </c>
      <c r="Q237">
        <f>(Table7[[#This Row],[disp_q9]]--0.00354)/-0.00354</f>
        <v>-0.15110588817326837</v>
      </c>
    </row>
    <row r="238" spans="1:17" x14ac:dyDescent="0.3">
      <c r="A238">
        <v>26</v>
      </c>
      <c r="B238">
        <v>2</v>
      </c>
      <c r="C238">
        <v>162</v>
      </c>
      <c r="D238">
        <v>-1.81444187226938E-3</v>
      </c>
      <c r="E238">
        <v>530</v>
      </c>
      <c r="F238">
        <v>-2.8256125852816902E-3</v>
      </c>
      <c r="G238">
        <v>162</v>
      </c>
      <c r="H238">
        <v>-2.6516396394750202E-3</v>
      </c>
      <c r="I238">
        <v>426</v>
      </c>
      <c r="J238">
        <v>-2.8371374487729099E-3</v>
      </c>
      <c r="K238">
        <v>530</v>
      </c>
      <c r="L238">
        <v>-2.8371374487729099E-3</v>
      </c>
      <c r="M238">
        <f>(Table7[[#This Row],[disp_t3]]--0.00354)/-0.00354</f>
        <v>-0.48744579879396049</v>
      </c>
      <c r="N238">
        <f>(Table7[[#This Row],[disp_t6]]--0.00354)/-0.00354</f>
        <v>-0.20180435444020053</v>
      </c>
      <c r="O238">
        <f>(Table7[[#This Row],[disp_q4]]--0.00354)/-0.00354</f>
        <v>-0.25094925438558757</v>
      </c>
      <c r="P238">
        <f>(Table7[[#This Row],[disp_q8]]--0.00354)/-0.00354</f>
        <v>-0.19854874328448877</v>
      </c>
      <c r="Q238">
        <f>(Table7[[#This Row],[disp_q9]]--0.00354)/-0.00354</f>
        <v>-0.19854874328448877</v>
      </c>
    </row>
    <row r="239" spans="1:17" x14ac:dyDescent="0.3">
      <c r="A239">
        <v>22</v>
      </c>
      <c r="B239">
        <v>2</v>
      </c>
      <c r="C239">
        <v>138</v>
      </c>
      <c r="D239">
        <v>-1.66236529912912E-3</v>
      </c>
      <c r="E239">
        <v>450</v>
      </c>
      <c r="F239">
        <v>-2.6695944629440901E-3</v>
      </c>
      <c r="G239">
        <v>138</v>
      </c>
      <c r="H239">
        <v>-2.4334377591373E-3</v>
      </c>
      <c r="I239">
        <v>362</v>
      </c>
      <c r="J239">
        <v>-2.6816641138897399E-3</v>
      </c>
      <c r="K239">
        <v>450</v>
      </c>
      <c r="L239">
        <v>-2.6816641138897399E-3</v>
      </c>
      <c r="M239">
        <f>(Table7[[#This Row],[disp_t3]]--0.00354)/-0.00354</f>
        <v>-0.53040528273188703</v>
      </c>
      <c r="N239">
        <f>(Table7[[#This Row],[disp_t6]]--0.00354)/-0.00354</f>
        <v>-0.24587727035477683</v>
      </c>
      <c r="O239">
        <f>(Table7[[#This Row],[disp_q4]]--0.00354)/-0.00354</f>
        <v>-0.31258820363353113</v>
      </c>
      <c r="P239">
        <f>(Table7[[#This Row],[disp_q8]]--0.00354)/-0.00354</f>
        <v>-0.24246776443792661</v>
      </c>
      <c r="Q239">
        <f>(Table7[[#This Row],[disp_q9]]--0.00354)/-0.00354</f>
        <v>-0.24246776443792661</v>
      </c>
    </row>
    <row r="240" spans="1:17" x14ac:dyDescent="0.3">
      <c r="A240">
        <v>18</v>
      </c>
      <c r="B240">
        <v>2</v>
      </c>
      <c r="C240">
        <v>114</v>
      </c>
      <c r="D240">
        <v>-1.53162758331408E-3</v>
      </c>
      <c r="E240">
        <v>370</v>
      </c>
      <c r="F240">
        <v>-2.4686514730062402E-3</v>
      </c>
      <c r="G240">
        <v>114</v>
      </c>
      <c r="H240">
        <v>-2.26355925602306E-3</v>
      </c>
      <c r="I240">
        <v>298</v>
      </c>
      <c r="J240">
        <v>-2.4767531593281001E-3</v>
      </c>
      <c r="K240">
        <v>370</v>
      </c>
      <c r="L240">
        <v>-2.4767531593281001E-3</v>
      </c>
      <c r="M240">
        <f>(Table7[[#This Row],[disp_t3]]--0.00354)/-0.00354</f>
        <v>-0.56733684087172886</v>
      </c>
      <c r="N240">
        <f>(Table7[[#This Row],[disp_t6]]--0.00354)/-0.00354</f>
        <v>-0.30264082683439547</v>
      </c>
      <c r="O240">
        <f>(Table7[[#This Row],[disp_q4]]--0.00354)/-0.00354</f>
        <v>-0.36057648134941811</v>
      </c>
      <c r="P240">
        <f>(Table7[[#This Row],[disp_q8]]--0.00354)/-0.00354</f>
        <v>-0.30035221487906777</v>
      </c>
      <c r="Q240">
        <f>(Table7[[#This Row],[disp_q9]]--0.00354)/-0.00354</f>
        <v>-0.30035221487906777</v>
      </c>
    </row>
    <row r="241" spans="1:17" x14ac:dyDescent="0.3">
      <c r="A241">
        <v>15</v>
      </c>
      <c r="B241">
        <v>2</v>
      </c>
      <c r="C241">
        <v>96</v>
      </c>
      <c r="D241">
        <v>-1.6836168805034199E-3</v>
      </c>
      <c r="E241">
        <v>310</v>
      </c>
      <c r="F241">
        <v>-2.1581065988992101E-3</v>
      </c>
      <c r="G241">
        <v>96</v>
      </c>
      <c r="H241">
        <v>-2.5578652985720801E-3</v>
      </c>
      <c r="I241">
        <v>250</v>
      </c>
      <c r="J241">
        <v>-2.19225236953956E-3</v>
      </c>
      <c r="K241">
        <v>310</v>
      </c>
      <c r="L241">
        <v>-2.19225236953956E-3</v>
      </c>
      <c r="M241">
        <f>(Table7[[#This Row],[disp_t3]]--0.00354)/-0.00354</f>
        <v>-0.52440201115722607</v>
      </c>
      <c r="N241">
        <f>(Table7[[#This Row],[disp_t6]]--0.00354)/-0.00354</f>
        <v>-0.39036536754259604</v>
      </c>
      <c r="O241">
        <f>(Table7[[#This Row],[disp_q4]]--0.00354)/-0.00354</f>
        <v>-0.2774391811943277</v>
      </c>
      <c r="P241">
        <f>(Table7[[#This Row],[disp_q8]]--0.00354)/-0.00354</f>
        <v>-0.38071966962159326</v>
      </c>
      <c r="Q241">
        <f>(Table7[[#This Row],[disp_q9]]--0.00354)/-0.00354</f>
        <v>-0.38071966962159326</v>
      </c>
    </row>
    <row r="242" spans="1:17" x14ac:dyDescent="0.3">
      <c r="A242">
        <v>12</v>
      </c>
      <c r="B242">
        <v>2</v>
      </c>
      <c r="C242">
        <v>78</v>
      </c>
      <c r="D242">
        <v>-1.12901926883279E-3</v>
      </c>
      <c r="E242">
        <v>250</v>
      </c>
      <c r="F242">
        <v>-2.0152283449393002E-3</v>
      </c>
      <c r="G242">
        <v>78</v>
      </c>
      <c r="H242">
        <v>-1.7138867281453599E-3</v>
      </c>
      <c r="I242">
        <v>202</v>
      </c>
      <c r="J242">
        <v>-2.02108415357576E-3</v>
      </c>
      <c r="K242">
        <v>250</v>
      </c>
      <c r="L242">
        <v>-2.02108415357576E-3</v>
      </c>
      <c r="M242">
        <f>(Table7[[#This Row],[disp_t3]]--0.00354)/-0.00354</f>
        <v>-0.68106800315457916</v>
      </c>
      <c r="N242">
        <f>(Table7[[#This Row],[disp_t6]]--0.00354)/-0.00354</f>
        <v>-0.43072645623183614</v>
      </c>
      <c r="O242">
        <f>(Table7[[#This Row],[disp_q4]]--0.00354)/-0.00354</f>
        <v>-0.51585120673859886</v>
      </c>
      <c r="P242">
        <f>(Table7[[#This Row],[disp_q8]]--0.00354)/-0.00354</f>
        <v>-0.42907227300119777</v>
      </c>
      <c r="Q242">
        <f>(Table7[[#This Row],[disp_q9]]--0.00354)/-0.00354</f>
        <v>-0.42907227300119777</v>
      </c>
    </row>
    <row r="243" spans="1:17" x14ac:dyDescent="0.3">
      <c r="A243">
        <v>10</v>
      </c>
      <c r="B243">
        <v>2</v>
      </c>
      <c r="C243">
        <v>66</v>
      </c>
      <c r="D243">
        <v>-9.6636393480826696E-4</v>
      </c>
      <c r="E243">
        <v>210</v>
      </c>
      <c r="F243">
        <v>-1.8018256374168801E-3</v>
      </c>
      <c r="G243">
        <v>66</v>
      </c>
      <c r="H243">
        <v>-1.50482185197544E-3</v>
      </c>
      <c r="I243">
        <v>170</v>
      </c>
      <c r="J243">
        <v>-1.8034113595337101E-3</v>
      </c>
      <c r="K243">
        <v>210</v>
      </c>
      <c r="L243">
        <v>-1.8034113595337101E-3</v>
      </c>
      <c r="M243">
        <f>(Table7[[#This Row],[disp_t3]]--0.00354)/-0.00354</f>
        <v>-0.72701583762478339</v>
      </c>
      <c r="N243">
        <f>(Table7[[#This Row],[disp_t6]]--0.00354)/-0.00354</f>
        <v>-0.49100970694438417</v>
      </c>
      <c r="O243">
        <f>(Table7[[#This Row],[disp_q4]]--0.00354)/-0.00354</f>
        <v>-0.57490908136287</v>
      </c>
      <c r="P243">
        <f>(Table7[[#This Row],[disp_q8]]--0.00354)/-0.00354</f>
        <v>-0.49056176284358477</v>
      </c>
      <c r="Q243">
        <f>(Table7[[#This Row],[disp_q9]]--0.00354)/-0.00354</f>
        <v>-0.49056176284358477</v>
      </c>
    </row>
    <row r="244" spans="1:17" x14ac:dyDescent="0.3">
      <c r="A244">
        <v>8</v>
      </c>
      <c r="B244">
        <v>2</v>
      </c>
      <c r="C244">
        <v>54</v>
      </c>
      <c r="D244">
        <v>-7.2219163064971296E-4</v>
      </c>
      <c r="E244">
        <v>170</v>
      </c>
      <c r="F244">
        <v>-1.50287846986226E-3</v>
      </c>
      <c r="G244">
        <v>54</v>
      </c>
      <c r="H244">
        <v>-1.1531798359052099E-3</v>
      </c>
      <c r="I244">
        <v>138</v>
      </c>
      <c r="J244">
        <v>-1.52079235153821E-3</v>
      </c>
      <c r="K244">
        <v>170</v>
      </c>
      <c r="L244">
        <v>-1.52079235153821E-3</v>
      </c>
      <c r="M244">
        <f>(Table7[[#This Row],[disp_t3]]--0.00354)/-0.00354</f>
        <v>-0.79599106478821668</v>
      </c>
      <c r="N244">
        <f>(Table7[[#This Row],[disp_t6]]--0.00354)/-0.00354</f>
        <v>-0.57545805936094363</v>
      </c>
      <c r="O244">
        <f>(Table7[[#This Row],[disp_q4]]--0.00354)/-0.00354</f>
        <v>-0.67424298420756779</v>
      </c>
      <c r="P244">
        <f>(Table7[[#This Row],[disp_q8]]--0.00354)/-0.00354</f>
        <v>-0.57039764080841526</v>
      </c>
      <c r="Q244">
        <f>(Table7[[#This Row],[disp_q9]]--0.00354)/-0.00354</f>
        <v>-0.57039764080841526</v>
      </c>
    </row>
    <row r="245" spans="1:17" x14ac:dyDescent="0.3">
      <c r="A245">
        <v>7</v>
      </c>
      <c r="B245">
        <v>2</v>
      </c>
      <c r="C245">
        <v>48</v>
      </c>
      <c r="D245">
        <v>-9.2293916465047002E-4</v>
      </c>
      <c r="E245">
        <v>150</v>
      </c>
      <c r="F245">
        <v>-1.2400978729047499E-3</v>
      </c>
      <c r="G245">
        <v>48</v>
      </c>
      <c r="H245">
        <v>-1.5342525801438399E-3</v>
      </c>
      <c r="I245">
        <v>122</v>
      </c>
      <c r="J245">
        <v>-1.26696783409836E-3</v>
      </c>
      <c r="K245">
        <v>150</v>
      </c>
      <c r="L245">
        <v>-1.26696783409836E-3</v>
      </c>
      <c r="M245">
        <f>(Table7[[#This Row],[disp_t3]]--0.00354)/-0.00354</f>
        <v>-0.73928272185014965</v>
      </c>
      <c r="N245">
        <f>(Table7[[#This Row],[disp_t6]]--0.00354)/-0.00354</f>
        <v>-0.64968986641108772</v>
      </c>
      <c r="O245">
        <f>(Table7[[#This Row],[disp_q4]]--0.00354)/-0.00354</f>
        <v>-0.56659531634354809</v>
      </c>
      <c r="P245">
        <f>(Table7[[#This Row],[disp_q8]]--0.00354)/-0.00354</f>
        <v>-0.64209948189311861</v>
      </c>
      <c r="Q245">
        <f>(Table7[[#This Row],[disp_q9]]--0.00354)/-0.00354</f>
        <v>-0.64209948189311861</v>
      </c>
    </row>
    <row r="246" spans="1:17" x14ac:dyDescent="0.3">
      <c r="A246">
        <v>6</v>
      </c>
      <c r="B246">
        <v>2</v>
      </c>
      <c r="C246">
        <v>42</v>
      </c>
      <c r="D246">
        <v>-4.54624094322258E-4</v>
      </c>
      <c r="E246">
        <v>130</v>
      </c>
      <c r="F246">
        <v>-1.0943154687611499E-3</v>
      </c>
      <c r="G246">
        <v>42</v>
      </c>
      <c r="H246">
        <v>-7.4874804641408398E-4</v>
      </c>
      <c r="I246">
        <v>106</v>
      </c>
      <c r="J246">
        <v>-1.12208849623634E-3</v>
      </c>
      <c r="K246">
        <v>130</v>
      </c>
      <c r="L246">
        <v>-1.12208849623634E-3</v>
      </c>
      <c r="M246">
        <f>(Table7[[#This Row],[disp_t3]]--0.00354)/-0.00354</f>
        <v>-0.87157511459823211</v>
      </c>
      <c r="N246">
        <f>(Table7[[#This Row],[disp_t6]]--0.00354)/-0.00354</f>
        <v>-0.6908713365081498</v>
      </c>
      <c r="O246">
        <f>(Table7[[#This Row],[disp_q4]]--0.00354)/-0.00354</f>
        <v>-0.78848925242540002</v>
      </c>
      <c r="P246">
        <f>(Table7[[#This Row],[disp_q8]]--0.00354)/-0.00354</f>
        <v>-0.68302584852080794</v>
      </c>
      <c r="Q246">
        <f>(Table7[[#This Row],[disp_q9]]--0.00354)/-0.00354</f>
        <v>-0.68302584852080794</v>
      </c>
    </row>
    <row r="247" spans="1:17" x14ac:dyDescent="0.3">
      <c r="A247">
        <v>5</v>
      </c>
      <c r="B247">
        <v>2</v>
      </c>
      <c r="C247">
        <v>36</v>
      </c>
      <c r="D247">
        <v>-5.98655395379961E-4</v>
      </c>
      <c r="E247">
        <v>110</v>
      </c>
      <c r="F247">
        <v>-7.7972703508939398E-4</v>
      </c>
      <c r="G247">
        <v>36</v>
      </c>
      <c r="H247">
        <v>-1.04189330936068E-3</v>
      </c>
      <c r="I247">
        <v>90</v>
      </c>
      <c r="J247">
        <v>-8.0266387245343102E-4</v>
      </c>
      <c r="K247">
        <v>110</v>
      </c>
      <c r="L247">
        <v>-8.0266387245343102E-4</v>
      </c>
      <c r="M247">
        <f>(Table7[[#This Row],[disp_t3]]--0.00354)/-0.00354</f>
        <v>-0.83088830638984157</v>
      </c>
      <c r="N247">
        <f>(Table7[[#This Row],[disp_t6]]--0.00354)/-0.00354</f>
        <v>-0.77973812568096212</v>
      </c>
      <c r="O247">
        <f>(Table7[[#This Row],[disp_q4]]--0.00354)/-0.00354</f>
        <v>-0.70567985611280226</v>
      </c>
      <c r="P247">
        <f>(Table7[[#This Row],[disp_q8]]--0.00354)/-0.00354</f>
        <v>-0.7732587930922511</v>
      </c>
      <c r="Q247">
        <f>(Table7[[#This Row],[disp_q9]]--0.00354)/-0.00354</f>
        <v>-0.7732587930922511</v>
      </c>
    </row>
    <row r="248" spans="1:17" x14ac:dyDescent="0.3">
      <c r="A248">
        <v>4</v>
      </c>
      <c r="B248">
        <v>2</v>
      </c>
      <c r="C248">
        <v>30</v>
      </c>
      <c r="D248">
        <v>-1.7673277518403499E-4</v>
      </c>
      <c r="E248">
        <v>90</v>
      </c>
      <c r="F248">
        <v>-5.0248847651743005E-4</v>
      </c>
      <c r="G248">
        <v>30</v>
      </c>
      <c r="H248">
        <v>-2.8931813710357502E-4</v>
      </c>
      <c r="I248">
        <v>74</v>
      </c>
      <c r="J248">
        <v>-5.4812025731323303E-4</v>
      </c>
      <c r="K248">
        <v>90</v>
      </c>
      <c r="L248">
        <v>-5.4812025731323303E-4</v>
      </c>
      <c r="M248">
        <f>(Table7[[#This Row],[disp_t3]]--0.00354)/-0.00354</f>
        <v>-0.95007548723614821</v>
      </c>
      <c r="N248">
        <f>(Table7[[#This Row],[disp_t6]]--0.00354)/-0.00354</f>
        <v>-0.8580541026786922</v>
      </c>
      <c r="O248">
        <f>(Table7[[#This Row],[disp_q4]]--0.00354)/-0.00354</f>
        <v>-0.91827171268260599</v>
      </c>
      <c r="P248">
        <f>(Table7[[#This Row],[disp_q8]]--0.00354)/-0.00354</f>
        <v>-0.84516376912055569</v>
      </c>
      <c r="Q248">
        <f>(Table7[[#This Row],[disp_q9]]--0.00354)/-0.00354</f>
        <v>-0.84516376912055569</v>
      </c>
    </row>
    <row r="249" spans="1:17" x14ac:dyDescent="0.3">
      <c r="A249">
        <v>3</v>
      </c>
      <c r="B249">
        <v>2</v>
      </c>
      <c r="C249">
        <v>24</v>
      </c>
      <c r="D249">
        <v>-2.4690121522848998E-4</v>
      </c>
      <c r="E249">
        <v>70</v>
      </c>
      <c r="F249">
        <v>-1.8469108818214099E-4</v>
      </c>
      <c r="G249">
        <v>24</v>
      </c>
      <c r="H249">
        <v>-4.1930047472305497E-4</v>
      </c>
      <c r="I249">
        <v>58</v>
      </c>
      <c r="J249">
        <v>-1.84031959013776E-4</v>
      </c>
      <c r="K249">
        <v>70</v>
      </c>
      <c r="L249">
        <v>-1.84031959013776E-4</v>
      </c>
      <c r="M249">
        <f>(Table7[[#This Row],[disp_t3]]--0.00354)/-0.00354</f>
        <v>-0.93025389400325142</v>
      </c>
      <c r="N249">
        <f>(Table7[[#This Row],[disp_t6]]--0.00354)/-0.00354</f>
        <v>-0.94782737621973412</v>
      </c>
      <c r="O249">
        <f>(Table7[[#This Row],[disp_q4]]--0.00354)/-0.00354</f>
        <v>-0.88155353821382632</v>
      </c>
      <c r="P249">
        <f>(Table7[[#This Row],[disp_q8]]--0.00354)/-0.00354</f>
        <v>-0.94801357090006333</v>
      </c>
      <c r="Q249">
        <f>(Table7[[#This Row],[disp_q9]]--0.00354)/-0.00354</f>
        <v>-0.94801357090006333</v>
      </c>
    </row>
    <row r="250" spans="1:17" x14ac:dyDescent="0.3">
      <c r="A250">
        <v>2</v>
      </c>
      <c r="B250">
        <v>2</v>
      </c>
      <c r="C250">
        <v>18</v>
      </c>
      <c r="D250" s="7">
        <v>-1.09198829345506E-5</v>
      </c>
      <c r="E250">
        <v>50</v>
      </c>
      <c r="F250">
        <v>0</v>
      </c>
      <c r="G250">
        <v>18</v>
      </c>
      <c r="H250" s="7">
        <v>-1.84845100516839E-5</v>
      </c>
      <c r="I250">
        <v>42</v>
      </c>
      <c r="J250">
        <v>0</v>
      </c>
      <c r="K250">
        <v>50</v>
      </c>
      <c r="L250">
        <v>0</v>
      </c>
      <c r="M250">
        <f>(Table7[[#This Row],[disp_t3]]--0.00354)/-0.00354</f>
        <v>-0.99691528730662415</v>
      </c>
      <c r="N250">
        <f>(Table7[[#This Row],[disp_t6]]--0.00354)/-0.00354</f>
        <v>-1</v>
      </c>
      <c r="O250">
        <f>(Table7[[#This Row],[disp_q4]]--0.00354)/-0.00354</f>
        <v>-0.9947783869910497</v>
      </c>
      <c r="P250">
        <f>(Table7[[#This Row],[disp_q8]]--0.00354)/-0.00354</f>
        <v>-1</v>
      </c>
      <c r="Q250">
        <f>(Table7[[#This Row],[disp_q9]]--0.00354)/-0.00354</f>
        <v>-1</v>
      </c>
    </row>
    <row r="251" spans="1:17" x14ac:dyDescent="0.3">
      <c r="A251">
        <v>1</v>
      </c>
      <c r="B251">
        <v>2</v>
      </c>
      <c r="C251">
        <v>12</v>
      </c>
      <c r="D251">
        <v>0</v>
      </c>
      <c r="E251">
        <v>30</v>
      </c>
      <c r="F251">
        <v>0</v>
      </c>
      <c r="G251">
        <v>12</v>
      </c>
      <c r="H251">
        <v>0</v>
      </c>
      <c r="I251">
        <v>26</v>
      </c>
      <c r="J251">
        <v>0</v>
      </c>
      <c r="K251">
        <v>30</v>
      </c>
      <c r="L251">
        <v>0</v>
      </c>
      <c r="M251">
        <f>(Table7[[#This Row],[disp_t3]]--0.00354)/-0.00354</f>
        <v>-1</v>
      </c>
      <c r="N251">
        <f>(Table7[[#This Row],[disp_t6]]--0.00354)/-0.00354</f>
        <v>-1</v>
      </c>
      <c r="O251">
        <f>(Table7[[#This Row],[disp_q4]]--0.00354)/-0.00354</f>
        <v>-1</v>
      </c>
      <c r="P251">
        <f>(Table7[[#This Row],[disp_q8]]--0.00354)/-0.00354</f>
        <v>-1</v>
      </c>
      <c r="Q251">
        <f>(Table7[[#This Row],[disp_q9]]--0.00354)/-0.00354</f>
        <v>-1</v>
      </c>
    </row>
    <row r="252" spans="1:17" x14ac:dyDescent="0.3">
      <c r="A252">
        <v>200</v>
      </c>
      <c r="B252">
        <v>1</v>
      </c>
      <c r="C252">
        <v>804</v>
      </c>
      <c r="D252">
        <v>-1.3148499902974401E-3</v>
      </c>
      <c r="E252">
        <v>2406</v>
      </c>
      <c r="F252">
        <v>-3.4447345128182701E-3</v>
      </c>
      <c r="G252">
        <v>804</v>
      </c>
      <c r="H252">
        <v>-3.3619336389690501E-3</v>
      </c>
      <c r="I252">
        <v>2006</v>
      </c>
      <c r="J252">
        <v>-3.48041412620666E-3</v>
      </c>
      <c r="K252">
        <v>2406</v>
      </c>
      <c r="L252">
        <v>-3.48041412620666E-3</v>
      </c>
      <c r="M252">
        <f>(Table7[[#This Row],[disp_t3]]--0.00354)/-0.00354</f>
        <v>-0.62857344906851986</v>
      </c>
      <c r="N252">
        <f>(Table7[[#This Row],[disp_t6]]--0.00354)/-0.00354</f>
        <v>-2.6911154571110183E-2</v>
      </c>
      <c r="O252">
        <f>(Table7[[#This Row],[disp_q4]]--0.00354)/-0.00354</f>
        <v>-5.0301231929646917E-2</v>
      </c>
      <c r="P252">
        <f>(Table7[[#This Row],[disp_q8]]--0.00354)/-0.00354</f>
        <v>-1.68321677382317E-2</v>
      </c>
      <c r="Q252">
        <f>(Table7[[#This Row],[disp_q9]]--0.00354)/-0.00354</f>
        <v>-1.68321677382317E-2</v>
      </c>
    </row>
    <row r="253" spans="1:17" x14ac:dyDescent="0.3">
      <c r="A253">
        <v>166</v>
      </c>
      <c r="B253">
        <v>1</v>
      </c>
      <c r="C253">
        <v>668</v>
      </c>
      <c r="D253">
        <v>-1.3053270536011799E-3</v>
      </c>
      <c r="E253">
        <v>1998</v>
      </c>
      <c r="F253">
        <v>-3.4045838519975499E-3</v>
      </c>
      <c r="G253">
        <v>668</v>
      </c>
      <c r="H253">
        <v>-3.3324341194356602E-3</v>
      </c>
      <c r="I253">
        <v>1666</v>
      </c>
      <c r="J253">
        <v>-3.44675848232044E-3</v>
      </c>
      <c r="K253">
        <v>1998</v>
      </c>
      <c r="L253">
        <v>-3.44675848232044E-3</v>
      </c>
      <c r="M253">
        <f>(Table7[[#This Row],[disp_t3]]--0.00354)/-0.00354</f>
        <v>-0.63126354418045771</v>
      </c>
      <c r="N253">
        <f>(Table7[[#This Row],[disp_t6]]--0.00354)/-0.00354</f>
        <v>-3.825314915323455E-2</v>
      </c>
      <c r="O253">
        <f>(Table7[[#This Row],[disp_q4]]--0.00354)/-0.00354</f>
        <v>-5.8634429537949159E-2</v>
      </c>
      <c r="P253">
        <f>(Table7[[#This Row],[disp_q8]]--0.00354)/-0.00354</f>
        <v>-2.6339411773887069E-2</v>
      </c>
      <c r="Q253">
        <f>(Table7[[#This Row],[disp_q9]]--0.00354)/-0.00354</f>
        <v>-2.6339411773887069E-2</v>
      </c>
    </row>
    <row r="254" spans="1:17" x14ac:dyDescent="0.3">
      <c r="A254">
        <v>138</v>
      </c>
      <c r="B254">
        <v>1</v>
      </c>
      <c r="C254">
        <v>556</v>
      </c>
      <c r="D254">
        <v>-1.2939941006363299E-3</v>
      </c>
      <c r="E254">
        <v>1662</v>
      </c>
      <c r="F254">
        <v>-3.3769706618821198E-3</v>
      </c>
      <c r="G254">
        <v>556</v>
      </c>
      <c r="H254">
        <v>-3.29703459802864E-3</v>
      </c>
      <c r="I254">
        <v>1386</v>
      </c>
      <c r="J254">
        <v>-3.4226685774911198E-3</v>
      </c>
      <c r="K254">
        <v>1662</v>
      </c>
      <c r="L254">
        <v>-3.4226685774911198E-3</v>
      </c>
      <c r="M254">
        <f>(Table7[[#This Row],[disp_t3]]--0.00354)/-0.00354</f>
        <v>-0.63446494332307057</v>
      </c>
      <c r="N254">
        <f>(Table7[[#This Row],[disp_t6]]--0.00354)/-0.00354</f>
        <v>-4.6053485344033994E-2</v>
      </c>
      <c r="O254">
        <f>(Table7[[#This Row],[disp_q4]]--0.00354)/-0.00354</f>
        <v>-6.8634294342192148E-2</v>
      </c>
      <c r="P254">
        <f>(Table7[[#This Row],[disp_q8]]--0.00354)/-0.00354</f>
        <v>-3.3144469635276931E-2</v>
      </c>
      <c r="Q254">
        <f>(Table7[[#This Row],[disp_q9]]--0.00354)/-0.00354</f>
        <v>-3.3144469635276931E-2</v>
      </c>
    </row>
    <row r="255" spans="1:17" x14ac:dyDescent="0.3">
      <c r="A255">
        <v>115</v>
      </c>
      <c r="B255">
        <v>1</v>
      </c>
      <c r="C255">
        <v>464</v>
      </c>
      <c r="D255">
        <v>-1.31983590786924E-3</v>
      </c>
      <c r="E255">
        <v>1386</v>
      </c>
      <c r="F255">
        <v>-3.3740715274592102E-3</v>
      </c>
      <c r="G255">
        <v>464</v>
      </c>
      <c r="H255">
        <v>-3.3771952176262698E-3</v>
      </c>
      <c r="I255">
        <v>1156</v>
      </c>
      <c r="J255">
        <v>-3.36683500903364E-3</v>
      </c>
      <c r="K255">
        <v>1386</v>
      </c>
      <c r="L255">
        <v>-3.36683500903364E-3</v>
      </c>
      <c r="M255">
        <f>(Table7[[#This Row],[disp_t3]]--0.00354)/-0.00354</f>
        <v>-0.62716499777705093</v>
      </c>
      <c r="N255">
        <f>(Table7[[#This Row],[disp_t6]]--0.00354)/-0.00354</f>
        <v>-4.6872449870279657E-2</v>
      </c>
      <c r="O255">
        <f>(Table7[[#This Row],[disp_q4]]--0.00354)/-0.00354</f>
        <v>-4.5990051518002929E-2</v>
      </c>
      <c r="P255">
        <f>(Table7[[#This Row],[disp_q8]]--0.00354)/-0.00354</f>
        <v>-4.8916664114791002E-2</v>
      </c>
      <c r="Q255">
        <f>(Table7[[#This Row],[disp_q9]]--0.00354)/-0.00354</f>
        <v>-4.8916664114791002E-2</v>
      </c>
    </row>
    <row r="256" spans="1:17" x14ac:dyDescent="0.3">
      <c r="A256">
        <v>96</v>
      </c>
      <c r="B256">
        <v>1</v>
      </c>
      <c r="C256">
        <v>388</v>
      </c>
      <c r="D256">
        <v>-1.26479687781486E-3</v>
      </c>
      <c r="E256">
        <v>1158</v>
      </c>
      <c r="F256">
        <v>-3.3211604762110598E-3</v>
      </c>
      <c r="G256">
        <v>388</v>
      </c>
      <c r="H256">
        <v>-3.2047418360864298E-3</v>
      </c>
      <c r="I256">
        <v>966</v>
      </c>
      <c r="J256">
        <v>-3.37154433985714E-3</v>
      </c>
      <c r="K256">
        <v>1158</v>
      </c>
      <c r="L256">
        <v>-3.37154433985714E-3</v>
      </c>
      <c r="M256">
        <f>(Table7[[#This Row],[disp_t3]]--0.00354)/-0.00354</f>
        <v>-0.6427127463799831</v>
      </c>
      <c r="N256">
        <f>(Table7[[#This Row],[disp_t6]]--0.00354)/-0.00354</f>
        <v>-6.1819074516649815E-2</v>
      </c>
      <c r="O256">
        <f>(Table7[[#This Row],[disp_q4]]--0.00354)/-0.00354</f>
        <v>-9.470569602078259E-2</v>
      </c>
      <c r="P256">
        <f>(Table7[[#This Row],[disp_q8]]--0.00354)/-0.00354</f>
        <v>-4.7586344673124337E-2</v>
      </c>
      <c r="Q256">
        <f>(Table7[[#This Row],[disp_q9]]--0.00354)/-0.00354</f>
        <v>-4.7586344673124337E-2</v>
      </c>
    </row>
    <row r="257" spans="1:17" x14ac:dyDescent="0.3">
      <c r="A257">
        <v>80</v>
      </c>
      <c r="B257">
        <v>1</v>
      </c>
      <c r="C257">
        <v>324</v>
      </c>
      <c r="D257">
        <v>-1.2457912281847001E-3</v>
      </c>
      <c r="E257">
        <v>966</v>
      </c>
      <c r="F257">
        <v>-3.2721837690362098E-3</v>
      </c>
      <c r="G257">
        <v>324</v>
      </c>
      <c r="H257">
        <v>-3.1441351335610998E-3</v>
      </c>
      <c r="I257">
        <v>806</v>
      </c>
      <c r="J257">
        <v>-3.3266780598349499E-3</v>
      </c>
      <c r="K257">
        <v>966</v>
      </c>
      <c r="L257">
        <v>-3.3266780598349499E-3</v>
      </c>
      <c r="M257">
        <f>(Table7[[#This Row],[disp_t3]]--0.00354)/-0.00354</f>
        <v>-0.64808157395912425</v>
      </c>
      <c r="N257">
        <f>(Table7[[#This Row],[disp_t6]]--0.00354)/-0.00354</f>
        <v>-7.5654302532144155E-2</v>
      </c>
      <c r="O257">
        <f>(Table7[[#This Row],[disp_q4]]--0.00354)/-0.00354</f>
        <v>-0.11182623345731647</v>
      </c>
      <c r="P257">
        <f>(Table7[[#This Row],[disp_q8]]--0.00354)/-0.00354</f>
        <v>-6.0260435074872942E-2</v>
      </c>
      <c r="Q257">
        <f>(Table7[[#This Row],[disp_q9]]--0.00354)/-0.00354</f>
        <v>-6.0260435074872942E-2</v>
      </c>
    </row>
    <row r="258" spans="1:17" x14ac:dyDescent="0.3">
      <c r="A258">
        <v>66</v>
      </c>
      <c r="B258">
        <v>1</v>
      </c>
      <c r="C258">
        <v>268</v>
      </c>
      <c r="D258">
        <v>-1.2218407796617599E-3</v>
      </c>
      <c r="E258">
        <v>798</v>
      </c>
      <c r="F258">
        <v>-3.1918529936212701E-3</v>
      </c>
      <c r="G258">
        <v>268</v>
      </c>
      <c r="H258">
        <v>-3.0675464033007201E-3</v>
      </c>
      <c r="I258">
        <v>666</v>
      </c>
      <c r="J258">
        <v>-3.25298876436096E-3</v>
      </c>
      <c r="K258">
        <v>798</v>
      </c>
      <c r="L258">
        <v>-3.25298876436096E-3</v>
      </c>
      <c r="M258">
        <f>(Table7[[#This Row],[disp_t3]]--0.00354)/-0.00354</f>
        <v>-0.65484723738368356</v>
      </c>
      <c r="N258">
        <f>(Table7[[#This Row],[disp_t6]]--0.00354)/-0.00354</f>
        <v>-9.8346611971392661E-2</v>
      </c>
      <c r="O258">
        <f>(Table7[[#This Row],[disp_q4]]--0.00354)/-0.00354</f>
        <v>-0.13346146799414693</v>
      </c>
      <c r="P258">
        <f>(Table7[[#This Row],[disp_q8]]--0.00354)/-0.00354</f>
        <v>-8.1076620237016991E-2</v>
      </c>
      <c r="Q258">
        <f>(Table7[[#This Row],[disp_q9]]--0.00354)/-0.00354</f>
        <v>-8.1076620237016991E-2</v>
      </c>
    </row>
    <row r="259" spans="1:17" x14ac:dyDescent="0.3">
      <c r="A259">
        <v>55</v>
      </c>
      <c r="B259">
        <v>1</v>
      </c>
      <c r="C259">
        <v>224</v>
      </c>
      <c r="D259">
        <v>-1.27223439522422E-3</v>
      </c>
      <c r="E259">
        <v>666</v>
      </c>
      <c r="F259">
        <v>-3.1139268842265201E-3</v>
      </c>
      <c r="G259">
        <v>224</v>
      </c>
      <c r="H259">
        <v>-3.2292096927043802E-3</v>
      </c>
      <c r="I259">
        <v>556</v>
      </c>
      <c r="J259">
        <v>-3.10228161453512E-3</v>
      </c>
      <c r="K259">
        <v>666</v>
      </c>
      <c r="L259">
        <v>-3.10228161453512E-3</v>
      </c>
      <c r="M259">
        <f>(Table7[[#This Row],[disp_t3]]--0.00354)/-0.00354</f>
        <v>-0.64061175276151983</v>
      </c>
      <c r="N259">
        <f>(Table7[[#This Row],[disp_t6]]--0.00354)/-0.00354</f>
        <v>-0.12035963722414691</v>
      </c>
      <c r="O259">
        <f>(Table7[[#This Row],[disp_q4]]--0.00354)/-0.00354</f>
        <v>-8.779387211740676E-2</v>
      </c>
      <c r="P259">
        <f>(Table7[[#This Row],[disp_q8]]--0.00354)/-0.00354</f>
        <v>-0.12364926143075711</v>
      </c>
      <c r="Q259">
        <f>(Table7[[#This Row],[disp_q9]]--0.00354)/-0.00354</f>
        <v>-0.12364926143075711</v>
      </c>
    </row>
    <row r="260" spans="1:17" x14ac:dyDescent="0.3">
      <c r="A260">
        <v>46</v>
      </c>
      <c r="B260">
        <v>1</v>
      </c>
      <c r="C260">
        <v>188</v>
      </c>
      <c r="D260">
        <v>-1.1636551777811301E-3</v>
      </c>
      <c r="E260">
        <v>558</v>
      </c>
      <c r="F260">
        <v>-3.0345994918265099E-3</v>
      </c>
      <c r="G260">
        <v>188</v>
      </c>
      <c r="H260">
        <v>-2.8824669568222601E-3</v>
      </c>
      <c r="I260">
        <v>466</v>
      </c>
      <c r="J260">
        <v>-3.09940247016109E-3</v>
      </c>
      <c r="K260">
        <v>558</v>
      </c>
      <c r="L260">
        <v>-3.09940247016109E-3</v>
      </c>
      <c r="M260">
        <f>(Table7[[#This Row],[disp_t3]]--0.00354)/-0.00354</f>
        <v>-0.67128384808442654</v>
      </c>
      <c r="N260">
        <f>(Table7[[#This Row],[disp_t6]]--0.00354)/-0.00354</f>
        <v>-0.1427685051337543</v>
      </c>
      <c r="O260">
        <f>(Table7[[#This Row],[disp_q4]]--0.00354)/-0.00354</f>
        <v>-0.18574379750783618</v>
      </c>
      <c r="P260">
        <f>(Table7[[#This Row],[disp_q8]]--0.00354)/-0.00354</f>
        <v>-0.1244625790505396</v>
      </c>
      <c r="Q260">
        <f>(Table7[[#This Row],[disp_q9]]--0.00354)/-0.00354</f>
        <v>-0.1244625790505396</v>
      </c>
    </row>
    <row r="261" spans="1:17" x14ac:dyDescent="0.3">
      <c r="A261">
        <v>38</v>
      </c>
      <c r="B261">
        <v>1</v>
      </c>
      <c r="C261">
        <v>156</v>
      </c>
      <c r="D261">
        <v>-1.1244544235854499E-3</v>
      </c>
      <c r="E261">
        <v>462</v>
      </c>
      <c r="F261">
        <v>-2.9268948642727E-3</v>
      </c>
      <c r="G261">
        <v>156</v>
      </c>
      <c r="H261">
        <v>-2.75996745082998E-3</v>
      </c>
      <c r="I261">
        <v>386</v>
      </c>
      <c r="J261">
        <v>-2.9904179276640198E-3</v>
      </c>
      <c r="K261">
        <v>462</v>
      </c>
      <c r="L261">
        <v>-2.9904179276640198E-3</v>
      </c>
      <c r="M261">
        <f>(Table7[[#This Row],[disp_t3]]--0.00354)/-0.00354</f>
        <v>-0.6823575074617374</v>
      </c>
      <c r="N261">
        <f>(Table7[[#This Row],[disp_t6]]--0.00354)/-0.00354</f>
        <v>-0.17319354116590399</v>
      </c>
      <c r="O261">
        <f>(Table7[[#This Row],[disp_q4]]--0.00354)/-0.00354</f>
        <v>-0.22034817773164411</v>
      </c>
      <c r="P261">
        <f>(Table7[[#This Row],[disp_q8]]--0.00354)/-0.00354</f>
        <v>-0.15524917297626564</v>
      </c>
      <c r="Q261">
        <f>(Table7[[#This Row],[disp_q9]]--0.00354)/-0.00354</f>
        <v>-0.15524917297626564</v>
      </c>
    </row>
    <row r="262" spans="1:17" x14ac:dyDescent="0.3">
      <c r="A262">
        <v>32</v>
      </c>
      <c r="B262">
        <v>1</v>
      </c>
      <c r="C262">
        <v>132</v>
      </c>
      <c r="D262">
        <v>-1.0833864880526599E-3</v>
      </c>
      <c r="E262">
        <v>390</v>
      </c>
      <c r="F262">
        <v>-2.8311915829768602E-3</v>
      </c>
      <c r="G262">
        <v>132</v>
      </c>
      <c r="H262">
        <v>-2.6344068157112201E-3</v>
      </c>
      <c r="I262">
        <v>326</v>
      </c>
      <c r="J262">
        <v>-2.89038428884952E-3</v>
      </c>
      <c r="K262">
        <v>390</v>
      </c>
      <c r="L262">
        <v>-2.89038428884952E-3</v>
      </c>
      <c r="M262">
        <f>(Table7[[#This Row],[disp_t3]]--0.00354)/-0.00354</f>
        <v>-0.69395861919416391</v>
      </c>
      <c r="N262">
        <f>(Table7[[#This Row],[disp_t6]]--0.00354)/-0.00354</f>
        <v>-0.2002283663907175</v>
      </c>
      <c r="O262">
        <f>(Table7[[#This Row],[disp_q4]]--0.00354)/-0.00354</f>
        <v>-0.25581728369739548</v>
      </c>
      <c r="P262">
        <f>(Table7[[#This Row],[disp_q8]]--0.00354)/-0.00354</f>
        <v>-0.1835072630368588</v>
      </c>
      <c r="Q262">
        <f>(Table7[[#This Row],[disp_q9]]--0.00354)/-0.00354</f>
        <v>-0.1835072630368588</v>
      </c>
    </row>
    <row r="263" spans="1:17" x14ac:dyDescent="0.3">
      <c r="A263">
        <v>26</v>
      </c>
      <c r="B263">
        <v>1</v>
      </c>
      <c r="C263">
        <v>108</v>
      </c>
      <c r="D263">
        <v>-1.02564116775291E-3</v>
      </c>
      <c r="E263">
        <v>318</v>
      </c>
      <c r="F263">
        <v>-2.6569995341243599E-3</v>
      </c>
      <c r="G263">
        <v>108</v>
      </c>
      <c r="H263">
        <v>-2.4633179451822198E-3</v>
      </c>
      <c r="I263">
        <v>266</v>
      </c>
      <c r="J263">
        <v>-2.70874948487016E-3</v>
      </c>
      <c r="K263">
        <v>318</v>
      </c>
      <c r="L263">
        <v>-2.70874948487016E-3</v>
      </c>
      <c r="M263">
        <f>(Table7[[#This Row],[disp_t3]]--0.00354)/-0.00354</f>
        <v>-0.71027085656697464</v>
      </c>
      <c r="N263">
        <f>(Table7[[#This Row],[disp_t6]]--0.00354)/-0.00354</f>
        <v>-0.24943515985187575</v>
      </c>
      <c r="O263">
        <f>(Table7[[#This Row],[disp_q4]]--0.00354)/-0.00354</f>
        <v>-0.30414747311236728</v>
      </c>
      <c r="P263">
        <f>(Table7[[#This Row],[disp_q8]]--0.00354)/-0.00354</f>
        <v>-0.23481652969769495</v>
      </c>
      <c r="Q263">
        <f>(Table7[[#This Row],[disp_q9]]--0.00354)/-0.00354</f>
        <v>-0.23481652969769495</v>
      </c>
    </row>
    <row r="264" spans="1:17" x14ac:dyDescent="0.3">
      <c r="A264">
        <v>22</v>
      </c>
      <c r="B264">
        <v>1</v>
      </c>
      <c r="C264">
        <v>92</v>
      </c>
      <c r="D264">
        <v>-9.7220444483559897E-4</v>
      </c>
      <c r="E264">
        <v>270</v>
      </c>
      <c r="F264">
        <v>-2.5152948934011299E-3</v>
      </c>
      <c r="G264">
        <v>92</v>
      </c>
      <c r="H264">
        <v>-2.3107278076946601E-3</v>
      </c>
      <c r="I264">
        <v>226</v>
      </c>
      <c r="J264">
        <v>-2.5585144110485099E-3</v>
      </c>
      <c r="K264">
        <v>270</v>
      </c>
      <c r="L264">
        <v>-2.5585144110485099E-3</v>
      </c>
      <c r="M264">
        <f>(Table7[[#This Row],[disp_t3]]--0.00354)/-0.00354</f>
        <v>-0.72536597603514152</v>
      </c>
      <c r="N264">
        <f>(Table7[[#This Row],[disp_t6]]--0.00354)/-0.00354</f>
        <v>-0.28946471937821194</v>
      </c>
      <c r="O264">
        <f>(Table7[[#This Row],[disp_q4]]--0.00354)/-0.00354</f>
        <v>-0.34725203172467234</v>
      </c>
      <c r="P264">
        <f>(Table7[[#This Row],[disp_q8]]--0.00354)/-0.00354</f>
        <v>-0.2772558160879916</v>
      </c>
      <c r="Q264">
        <f>(Table7[[#This Row],[disp_q9]]--0.00354)/-0.00354</f>
        <v>-0.2772558160879916</v>
      </c>
    </row>
    <row r="265" spans="1:17" x14ac:dyDescent="0.3">
      <c r="A265">
        <v>18</v>
      </c>
      <c r="B265">
        <v>1</v>
      </c>
      <c r="C265">
        <v>76</v>
      </c>
      <c r="D265">
        <v>-8.9928213874657797E-4</v>
      </c>
      <c r="E265">
        <v>222</v>
      </c>
      <c r="F265">
        <v>-2.3290776879566701E-3</v>
      </c>
      <c r="G265">
        <v>76</v>
      </c>
      <c r="H265">
        <v>-2.1104544641353498E-3</v>
      </c>
      <c r="I265">
        <v>186</v>
      </c>
      <c r="J265">
        <v>-2.3612657142226801E-3</v>
      </c>
      <c r="K265">
        <v>222</v>
      </c>
      <c r="L265">
        <v>-2.3612657142226801E-3</v>
      </c>
      <c r="M265">
        <f>(Table7[[#This Row],[disp_t3]]--0.00354)/-0.00354</f>
        <v>-0.74596549752921526</v>
      </c>
      <c r="N265">
        <f>(Table7[[#This Row],[disp_t6]]--0.00354)/-0.00354</f>
        <v>-0.34206844972975425</v>
      </c>
      <c r="O265">
        <f>(Table7[[#This Row],[disp_q4]]--0.00354)/-0.00354</f>
        <v>-0.40382642256063567</v>
      </c>
      <c r="P265">
        <f>(Table7[[#This Row],[disp_q8]]--0.00354)/-0.00354</f>
        <v>-0.33297578694274577</v>
      </c>
      <c r="Q265">
        <f>(Table7[[#This Row],[disp_q9]]--0.00354)/-0.00354</f>
        <v>-0.33297578694274577</v>
      </c>
    </row>
    <row r="266" spans="1:17" x14ac:dyDescent="0.3">
      <c r="A266">
        <v>15</v>
      </c>
      <c r="B266">
        <v>1</v>
      </c>
      <c r="C266">
        <v>64</v>
      </c>
      <c r="D266">
        <v>-1.0168945455442801E-3</v>
      </c>
      <c r="E266">
        <v>186</v>
      </c>
      <c r="F266">
        <v>-2.0918627479367701E-3</v>
      </c>
      <c r="G266">
        <v>64</v>
      </c>
      <c r="H266">
        <v>-2.4440546618698399E-3</v>
      </c>
      <c r="I266">
        <v>156</v>
      </c>
      <c r="J266">
        <v>-2.0678756460410998E-3</v>
      </c>
      <c r="K266">
        <v>186</v>
      </c>
      <c r="L266">
        <v>-2.0678756460410998E-3</v>
      </c>
      <c r="M266">
        <f>(Table7[[#This Row],[disp_t3]]--0.00354)/-0.00354</f>
        <v>-0.71274165380105081</v>
      </c>
      <c r="N266">
        <f>(Table7[[#This Row],[disp_t6]]--0.00354)/-0.00354</f>
        <v>-0.40907831979187287</v>
      </c>
      <c r="O266">
        <f>(Table7[[#This Row],[disp_q4]]--0.00354)/-0.00354</f>
        <v>-0.30958907856784185</v>
      </c>
      <c r="P266">
        <f>(Table7[[#This Row],[disp_q8]]--0.00354)/-0.00354</f>
        <v>-0.41585433727652549</v>
      </c>
      <c r="Q266">
        <f>(Table7[[#This Row],[disp_q9]]--0.00354)/-0.00354</f>
        <v>-0.41585433727652549</v>
      </c>
    </row>
    <row r="267" spans="1:17" x14ac:dyDescent="0.3">
      <c r="A267">
        <v>12</v>
      </c>
      <c r="B267">
        <v>1</v>
      </c>
      <c r="C267">
        <v>52</v>
      </c>
      <c r="D267">
        <v>-7.2193646819011803E-4</v>
      </c>
      <c r="E267">
        <v>150</v>
      </c>
      <c r="F267">
        <v>-1.92448604269137E-3</v>
      </c>
      <c r="G267">
        <v>52</v>
      </c>
      <c r="H267">
        <v>-1.6494723522099001E-3</v>
      </c>
      <c r="I267">
        <v>126</v>
      </c>
      <c r="J267">
        <v>-1.9250516010831599E-3</v>
      </c>
      <c r="K267">
        <v>150</v>
      </c>
      <c r="L267">
        <v>-1.9250516010831599E-3</v>
      </c>
      <c r="M267">
        <f>(Table7[[#This Row],[disp_t3]]--0.00354)/-0.00354</f>
        <v>-0.79606314457906269</v>
      </c>
      <c r="N267">
        <f>(Table7[[#This Row],[disp_t6]]--0.00354)/-0.00354</f>
        <v>-0.45635987494594071</v>
      </c>
      <c r="O267">
        <f>(Table7[[#This Row],[disp_q4]]--0.00354)/-0.00354</f>
        <v>-0.53404735813279658</v>
      </c>
      <c r="P267">
        <f>(Table7[[#This Row],[disp_q8]]--0.00354)/-0.00354</f>
        <v>-0.45620011268837291</v>
      </c>
      <c r="Q267">
        <f>(Table7[[#This Row],[disp_q9]]--0.00354)/-0.00354</f>
        <v>-0.45620011268837291</v>
      </c>
    </row>
    <row r="268" spans="1:17" x14ac:dyDescent="0.3">
      <c r="A268">
        <v>10</v>
      </c>
      <c r="B268">
        <v>1</v>
      </c>
      <c r="C268">
        <v>44</v>
      </c>
      <c r="D268">
        <v>-6.2976595835183703E-4</v>
      </c>
      <c r="E268">
        <v>126</v>
      </c>
      <c r="F268">
        <v>-1.69988247048983E-3</v>
      </c>
      <c r="G268">
        <v>44</v>
      </c>
      <c r="H268">
        <v>-1.4175057249720801E-3</v>
      </c>
      <c r="I268">
        <v>106</v>
      </c>
      <c r="J268">
        <v>-1.7149588358500499E-3</v>
      </c>
      <c r="K268">
        <v>126</v>
      </c>
      <c r="L268">
        <v>-1.7149588358500499E-3</v>
      </c>
      <c r="M268">
        <f>(Table7[[#This Row],[disp_t3]]--0.00354)/-0.00354</f>
        <v>-0.82210001176501779</v>
      </c>
      <c r="N268">
        <f>(Table7[[#This Row],[disp_t6]]--0.00354)/-0.00354</f>
        <v>-0.51980721172603672</v>
      </c>
      <c r="O268">
        <f>(Table7[[#This Row],[disp_q4]]--0.00354)/-0.00354</f>
        <v>-0.59957465396268927</v>
      </c>
      <c r="P268">
        <f>(Table7[[#This Row],[disp_q8]]--0.00354)/-0.00354</f>
        <v>-0.51554835145478817</v>
      </c>
      <c r="Q268">
        <f>(Table7[[#This Row],[disp_q9]]--0.00354)/-0.00354</f>
        <v>-0.51554835145478817</v>
      </c>
    </row>
    <row r="269" spans="1:17" x14ac:dyDescent="0.3">
      <c r="A269">
        <v>8</v>
      </c>
      <c r="B269">
        <v>1</v>
      </c>
      <c r="C269">
        <v>36</v>
      </c>
      <c r="D269">
        <v>-5.0903622271102403E-4</v>
      </c>
      <c r="E269">
        <v>102</v>
      </c>
      <c r="F269">
        <v>-1.4386190900378801E-3</v>
      </c>
      <c r="G269">
        <v>36</v>
      </c>
      <c r="H269">
        <v>-1.11724200658412E-3</v>
      </c>
      <c r="I269">
        <v>86</v>
      </c>
      <c r="J269">
        <v>-1.46591871912245E-3</v>
      </c>
      <c r="K269">
        <v>102</v>
      </c>
      <c r="L269">
        <v>-1.46591871912245E-3</v>
      </c>
      <c r="M269">
        <f>(Table7[[#This Row],[disp_t3]]--0.00354)/-0.00354</f>
        <v>-0.85620445686129265</v>
      </c>
      <c r="N269">
        <f>(Table7[[#This Row],[disp_t6]]--0.00354)/-0.00354</f>
        <v>-0.5936104265429718</v>
      </c>
      <c r="O269">
        <f>(Table7[[#This Row],[disp_q4]]--0.00354)/-0.00354</f>
        <v>-0.68439491339431635</v>
      </c>
      <c r="P269">
        <f>(Table7[[#This Row],[disp_q8]]--0.00354)/-0.00354</f>
        <v>-0.58589866691456216</v>
      </c>
      <c r="Q269">
        <f>(Table7[[#This Row],[disp_q9]]--0.00354)/-0.00354</f>
        <v>-0.58589866691456216</v>
      </c>
    </row>
    <row r="270" spans="1:17" x14ac:dyDescent="0.3">
      <c r="A270">
        <v>7</v>
      </c>
      <c r="B270">
        <v>1</v>
      </c>
      <c r="C270">
        <v>32</v>
      </c>
      <c r="D270">
        <v>-6.6699949957871503E-4</v>
      </c>
      <c r="E270">
        <v>90</v>
      </c>
      <c r="F270">
        <v>-1.22398982735835E-3</v>
      </c>
      <c r="G270">
        <v>32</v>
      </c>
      <c r="H270">
        <v>-1.4876983403155899E-3</v>
      </c>
      <c r="I270">
        <v>76</v>
      </c>
      <c r="J270">
        <v>-1.1892644884658101E-3</v>
      </c>
      <c r="K270">
        <v>90</v>
      </c>
      <c r="L270">
        <v>-1.1892644884658101E-3</v>
      </c>
      <c r="M270">
        <f>(Table7[[#This Row],[disp_t3]]--0.00354)/-0.00354</f>
        <v>-0.8115820622658998</v>
      </c>
      <c r="N270">
        <f>(Table7[[#This Row],[disp_t6]]--0.00354)/-0.00354</f>
        <v>-0.65424016176317801</v>
      </c>
      <c r="O270">
        <f>(Table7[[#This Row],[disp_q4]]--0.00354)/-0.00354</f>
        <v>-0.57974623154926841</v>
      </c>
      <c r="P270">
        <f>(Table7[[#This Row],[disp_q8]]--0.00354)/-0.00354</f>
        <v>-0.66404957952943222</v>
      </c>
      <c r="Q270">
        <f>(Table7[[#This Row],[disp_q9]]--0.00354)/-0.00354</f>
        <v>-0.66404957952943222</v>
      </c>
    </row>
    <row r="271" spans="1:17" x14ac:dyDescent="0.3">
      <c r="A271">
        <v>6</v>
      </c>
      <c r="B271">
        <v>1</v>
      </c>
      <c r="C271">
        <v>28</v>
      </c>
      <c r="D271">
        <v>-3.4949267093713898E-4</v>
      </c>
      <c r="E271">
        <v>78</v>
      </c>
      <c r="F271">
        <v>-1.03343680330927E-3</v>
      </c>
      <c r="G271">
        <v>28</v>
      </c>
      <c r="H271">
        <v>-7.2777541117175295E-4</v>
      </c>
      <c r="I271">
        <v>66</v>
      </c>
      <c r="J271">
        <v>-1.0616686568986899E-3</v>
      </c>
      <c r="K271">
        <v>78</v>
      </c>
      <c r="L271">
        <v>-1.0616686568986899E-3</v>
      </c>
      <c r="M271">
        <f>(Table7[[#This Row],[disp_t3]]--0.00354)/-0.00354</f>
        <v>-0.90127325679741832</v>
      </c>
      <c r="N271">
        <f>(Table7[[#This Row],[disp_t6]]--0.00354)/-0.00354</f>
        <v>-0.70806869963014984</v>
      </c>
      <c r="O271">
        <f>(Table7[[#This Row],[disp_q4]]--0.00354)/-0.00354</f>
        <v>-0.79441372565769697</v>
      </c>
      <c r="P271">
        <f>(Table7[[#This Row],[disp_q8]]--0.00354)/-0.00354</f>
        <v>-0.70009359974613283</v>
      </c>
      <c r="Q271">
        <f>(Table7[[#This Row],[disp_q9]]--0.00354)/-0.00354</f>
        <v>-0.70009359974613283</v>
      </c>
    </row>
    <row r="272" spans="1:17" x14ac:dyDescent="0.3">
      <c r="A272">
        <v>5</v>
      </c>
      <c r="B272">
        <v>1</v>
      </c>
      <c r="C272">
        <v>24</v>
      </c>
      <c r="D272">
        <v>-4.77720854873234E-4</v>
      </c>
      <c r="E272">
        <v>66</v>
      </c>
      <c r="F272">
        <v>-7.4218884289914205E-4</v>
      </c>
      <c r="G272">
        <v>24</v>
      </c>
      <c r="H272">
        <v>-1.0106503338815399E-3</v>
      </c>
      <c r="I272">
        <v>56</v>
      </c>
      <c r="J272">
        <v>-8.0339513662404795E-4</v>
      </c>
      <c r="K272">
        <v>66</v>
      </c>
      <c r="L272">
        <v>-8.0339513662404795E-4</v>
      </c>
      <c r="M272">
        <f>(Table7[[#This Row],[disp_t3]]--0.00354)/-0.00354</f>
        <v>-0.86505060596801309</v>
      </c>
      <c r="N272">
        <f>(Table7[[#This Row],[disp_t6]]--0.00354)/-0.00354</f>
        <v>-0.79034213477425375</v>
      </c>
      <c r="O272">
        <f>(Table7[[#This Row],[disp_q4]]--0.00354)/-0.00354</f>
        <v>-0.71450555540069494</v>
      </c>
      <c r="P272">
        <f>(Table7[[#This Row],[disp_q8]]--0.00354)/-0.00354</f>
        <v>-0.77305222129264195</v>
      </c>
      <c r="Q272">
        <f>(Table7[[#This Row],[disp_q9]]--0.00354)/-0.00354</f>
        <v>-0.77305222129264195</v>
      </c>
    </row>
    <row r="273" spans="1:17" x14ac:dyDescent="0.3">
      <c r="A273">
        <v>4</v>
      </c>
      <c r="B273">
        <v>1</v>
      </c>
      <c r="C273">
        <v>20</v>
      </c>
      <c r="D273">
        <v>-1.53058601613019E-4</v>
      </c>
      <c r="E273">
        <v>54</v>
      </c>
      <c r="F273">
        <v>-4.8215782011285099E-4</v>
      </c>
      <c r="G273">
        <v>20</v>
      </c>
      <c r="H273">
        <v>-2.7636942998042599E-4</v>
      </c>
      <c r="I273">
        <v>46</v>
      </c>
      <c r="J273">
        <v>-5.1395534995819195E-4</v>
      </c>
      <c r="K273">
        <v>54</v>
      </c>
      <c r="L273">
        <v>-5.1395534995819195E-4</v>
      </c>
      <c r="M273">
        <f>(Table7[[#This Row],[disp_t3]]--0.00354)/-0.00354</f>
        <v>-0.9567631068889777</v>
      </c>
      <c r="N273">
        <f>(Table7[[#This Row],[disp_t6]]--0.00354)/-0.00354</f>
        <v>-0.86379722595682185</v>
      </c>
      <c r="O273">
        <f>(Table7[[#This Row],[disp_q4]]--0.00354)/-0.00354</f>
        <v>-0.92192953955355195</v>
      </c>
      <c r="P273">
        <f>(Table7[[#This Row],[disp_q8]]--0.00354)/-0.00354</f>
        <v>-0.85481487289316604</v>
      </c>
      <c r="Q273">
        <f>(Table7[[#This Row],[disp_q9]]--0.00354)/-0.00354</f>
        <v>-0.85481487289316604</v>
      </c>
    </row>
    <row r="274" spans="1:17" x14ac:dyDescent="0.3">
      <c r="A274">
        <v>3</v>
      </c>
      <c r="B274">
        <v>1</v>
      </c>
      <c r="C274">
        <v>16</v>
      </c>
      <c r="D274">
        <v>-2.24268137582919E-4</v>
      </c>
      <c r="E274">
        <v>42</v>
      </c>
      <c r="F274">
        <v>-1.85260878144035E-4</v>
      </c>
      <c r="G274">
        <v>16</v>
      </c>
      <c r="H274">
        <v>-4.0829346092504E-4</v>
      </c>
      <c r="I274">
        <v>36</v>
      </c>
      <c r="J274">
        <v>-1.6955465275675399E-4</v>
      </c>
      <c r="K274">
        <v>42</v>
      </c>
      <c r="L274">
        <v>-1.6955465275675399E-4</v>
      </c>
      <c r="M274">
        <f>(Table7[[#This Row],[disp_t3]]--0.00354)/-0.00354</f>
        <v>-0.93664741876188728</v>
      </c>
      <c r="N274">
        <f>(Table7[[#This Row],[disp_t6]]--0.00354)/-0.00354</f>
        <v>-0.94766641860337997</v>
      </c>
      <c r="O274">
        <f>(Table7[[#This Row],[disp_q4]]--0.00354)/-0.00354</f>
        <v>-0.88466286414546891</v>
      </c>
      <c r="P274">
        <f>(Table7[[#This Row],[disp_q8]]--0.00354)/-0.00354</f>
        <v>-0.95210320543594518</v>
      </c>
      <c r="Q274">
        <f>(Table7[[#This Row],[disp_q9]]--0.00354)/-0.00354</f>
        <v>-0.95210320543594518</v>
      </c>
    </row>
    <row r="275" spans="1:17" x14ac:dyDescent="0.3">
      <c r="A275">
        <v>2</v>
      </c>
      <c r="B275">
        <v>1</v>
      </c>
      <c r="C275">
        <v>12</v>
      </c>
      <c r="D275">
        <v>0</v>
      </c>
      <c r="E275">
        <v>30</v>
      </c>
      <c r="F275">
        <v>0</v>
      </c>
      <c r="G275">
        <v>12</v>
      </c>
      <c r="H275">
        <v>0</v>
      </c>
      <c r="I275">
        <v>26</v>
      </c>
      <c r="J275">
        <v>0</v>
      </c>
      <c r="K275">
        <v>30</v>
      </c>
      <c r="L275">
        <v>0</v>
      </c>
      <c r="M275">
        <f>(Table7[[#This Row],[disp_t3]]--0.00354)/-0.00354</f>
        <v>-1</v>
      </c>
      <c r="N275">
        <f>(Table7[[#This Row],[disp_t6]]--0.00354)/-0.00354</f>
        <v>-1</v>
      </c>
      <c r="O275">
        <f>(Table7[[#This Row],[disp_q4]]--0.00354)/-0.00354</f>
        <v>-1</v>
      </c>
      <c r="P275">
        <f>(Table7[[#This Row],[disp_q8]]--0.00354)/-0.00354</f>
        <v>-1</v>
      </c>
      <c r="Q275">
        <f>(Table7[[#This Row],[disp_q9]]--0.00354)/-0.00354</f>
        <v>-1</v>
      </c>
    </row>
    <row r="276" spans="1:17" x14ac:dyDescent="0.3">
      <c r="A276">
        <v>1</v>
      </c>
      <c r="B276">
        <v>1</v>
      </c>
      <c r="C276">
        <v>8</v>
      </c>
      <c r="D276">
        <v>0</v>
      </c>
      <c r="E276">
        <v>18</v>
      </c>
      <c r="F276">
        <v>0</v>
      </c>
      <c r="G276">
        <v>8</v>
      </c>
      <c r="H276">
        <v>0</v>
      </c>
      <c r="I276">
        <v>16</v>
      </c>
      <c r="J276">
        <v>0</v>
      </c>
      <c r="K276">
        <v>18</v>
      </c>
      <c r="L276">
        <v>0</v>
      </c>
      <c r="M276">
        <f>(Table7[[#This Row],[disp_t3]]--0.00354)/-0.00354</f>
        <v>-1</v>
      </c>
      <c r="N276">
        <f>(Table7[[#This Row],[disp_t6]]--0.00354)/-0.00354</f>
        <v>-1</v>
      </c>
      <c r="O276">
        <f>(Table7[[#This Row],[disp_q4]]--0.00354)/-0.00354</f>
        <v>-1</v>
      </c>
      <c r="P276">
        <f>(Table7[[#This Row],[disp_q8]]--0.00354)/-0.00354</f>
        <v>-1</v>
      </c>
      <c r="Q276">
        <f>(Table7[[#This Row],[disp_q9]]--0.00354)/-0.00354</f>
        <v>-1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C3AB7-ECEC-487F-974E-99B4C2C30270}">
  <dimension ref="A1:H154"/>
  <sheetViews>
    <sheetView workbookViewId="0">
      <selection activeCell="I17" sqref="I17"/>
    </sheetView>
  </sheetViews>
  <sheetFormatPr defaultRowHeight="14.4" x14ac:dyDescent="0.3"/>
  <cols>
    <col min="3" max="4" width="12.21875" customWidth="1"/>
    <col min="5" max="5" width="8.88671875" style="3"/>
  </cols>
  <sheetData>
    <row r="1" spans="1:8" x14ac:dyDescent="0.3">
      <c r="A1" t="s">
        <v>0</v>
      </c>
      <c r="B1" t="s">
        <v>1</v>
      </c>
      <c r="C1" t="s">
        <v>10</v>
      </c>
      <c r="D1" t="s">
        <v>11</v>
      </c>
      <c r="E1" s="3" t="s">
        <v>16</v>
      </c>
      <c r="F1" s="3"/>
      <c r="G1" s="3"/>
      <c r="H1" s="3"/>
    </row>
    <row r="2" spans="1:8" x14ac:dyDescent="0.3">
      <c r="A2">
        <v>20</v>
      </c>
      <c r="B2">
        <v>120</v>
      </c>
      <c r="C2">
        <v>7623</v>
      </c>
      <c r="D2">
        <v>-1.49933610556672E-2</v>
      </c>
      <c r="E2" s="3">
        <f>(Block[[#This Row],[disp_block]]--0.0145666666666666)/-0.0145666666666666</f>
        <v>2.9292520984023077E-2</v>
      </c>
    </row>
    <row r="3" spans="1:8" x14ac:dyDescent="0.3">
      <c r="A3">
        <v>20</v>
      </c>
      <c r="B3">
        <v>102</v>
      </c>
      <c r="C3">
        <v>6489</v>
      </c>
      <c r="D3">
        <v>-1.49902340927291E-2</v>
      </c>
      <c r="E3" s="3">
        <f>(Block[[#This Row],[disp_block]]--0.0145666666666666)/-0.0145666666666666</f>
        <v>2.9077855336098597E-2</v>
      </c>
    </row>
    <row r="4" spans="1:8" x14ac:dyDescent="0.3">
      <c r="A4">
        <v>20</v>
      </c>
      <c r="B4">
        <v>87</v>
      </c>
      <c r="C4">
        <v>5544</v>
      </c>
      <c r="D4">
        <v>-1.4985891754532301E-2</v>
      </c>
      <c r="E4" s="3">
        <f>(Block[[#This Row],[disp_block]]--0.0145666666666666)/-0.0145666666666666</f>
        <v>2.8779754315723338E-2</v>
      </c>
    </row>
    <row r="5" spans="1:8" x14ac:dyDescent="0.3">
      <c r="A5">
        <v>20</v>
      </c>
      <c r="B5">
        <v>72</v>
      </c>
      <c r="C5">
        <v>4599</v>
      </c>
      <c r="D5">
        <v>-1.4978823175090099E-2</v>
      </c>
      <c r="E5" s="3">
        <f>(Block[[#This Row],[disp_block]]--0.0145666666666666)/-0.0145666666666666</f>
        <v>2.8294497145778148E-2</v>
      </c>
    </row>
    <row r="6" spans="1:8" x14ac:dyDescent="0.3">
      <c r="A6">
        <v>20</v>
      </c>
      <c r="B6">
        <v>63</v>
      </c>
      <c r="C6">
        <v>4032</v>
      </c>
      <c r="D6">
        <v>-1.49724653111329E-2</v>
      </c>
      <c r="E6" s="3">
        <f>(Block[[#This Row],[disp_block]]--0.0145666666666666)/-0.0145666666666666</f>
        <v>2.7858030512560795E-2</v>
      </c>
    </row>
    <row r="7" spans="1:8" x14ac:dyDescent="0.3">
      <c r="A7">
        <v>20</v>
      </c>
      <c r="B7">
        <v>54</v>
      </c>
      <c r="C7">
        <v>3465</v>
      </c>
      <c r="D7">
        <v>-1.4963569119245399E-2</v>
      </c>
      <c r="E7" s="3">
        <f>(Block[[#This Row],[disp_block]]--0.0145666666666666)/-0.0145666666666666</f>
        <v>2.7247307957354826E-2</v>
      </c>
    </row>
    <row r="8" spans="1:8" x14ac:dyDescent="0.3">
      <c r="A8">
        <v>20</v>
      </c>
      <c r="B8">
        <v>45</v>
      </c>
      <c r="C8">
        <v>2898</v>
      </c>
      <c r="D8">
        <v>-1.4950589339052399E-2</v>
      </c>
      <c r="E8" s="3">
        <f>(Block[[#This Row],[disp_block]]--0.0145666666666666)/-0.0145666666666666</f>
        <v>2.6356247532206063E-2</v>
      </c>
    </row>
    <row r="9" spans="1:8" x14ac:dyDescent="0.3">
      <c r="A9">
        <v>20</v>
      </c>
      <c r="B9">
        <v>39</v>
      </c>
      <c r="C9">
        <v>2520</v>
      </c>
      <c r="D9">
        <v>-1.4938175330729501E-2</v>
      </c>
      <c r="E9" s="3">
        <f>(Block[[#This Row],[disp_block]]--0.0145666666666666)/-0.0145666666666666</f>
        <v>2.5504027281206168E-2</v>
      </c>
    </row>
    <row r="10" spans="1:8" x14ac:dyDescent="0.3">
      <c r="A10">
        <v>20</v>
      </c>
      <c r="B10">
        <v>33</v>
      </c>
      <c r="C10">
        <v>2142</v>
      </c>
      <c r="D10">
        <v>-1.4920596315148501E-2</v>
      </c>
      <c r="E10" s="3">
        <f>(Block[[#This Row],[disp_block]]--0.0145666666666666)/-0.0145666666666666</f>
        <v>2.429722987289951E-2</v>
      </c>
    </row>
    <row r="11" spans="1:8" x14ac:dyDescent="0.3">
      <c r="A11">
        <v>20</v>
      </c>
      <c r="B11">
        <v>27</v>
      </c>
      <c r="C11">
        <v>1764</v>
      </c>
      <c r="D11">
        <v>-1.4893796038743801E-2</v>
      </c>
      <c r="E11" s="3">
        <f>(Block[[#This Row],[disp_block]]--0.0145666666666666)/-0.0145666666666666</f>
        <v>2.2457393964110034E-2</v>
      </c>
    </row>
    <row r="12" spans="1:8" x14ac:dyDescent="0.3">
      <c r="A12">
        <v>20</v>
      </c>
      <c r="B12">
        <v>24</v>
      </c>
      <c r="C12">
        <v>1575</v>
      </c>
      <c r="D12">
        <v>-1.4874350213871E-2</v>
      </c>
      <c r="E12" s="3">
        <f>(Block[[#This Row],[disp_block]]--0.0145666666666666)/-0.0145666666666666</f>
        <v>2.1122440311515049E-2</v>
      </c>
    </row>
    <row r="13" spans="1:8" x14ac:dyDescent="0.3">
      <c r="A13">
        <v>20</v>
      </c>
      <c r="B13">
        <v>21</v>
      </c>
      <c r="C13">
        <v>1386</v>
      </c>
      <c r="D13">
        <v>-1.48480836518327E-2</v>
      </c>
      <c r="E13" s="3">
        <f>(Block[[#This Row],[disp_block]]--0.0145666666666666)/-0.0145666666666666</f>
        <v>1.9319243832913207E-2</v>
      </c>
    </row>
    <row r="14" spans="1:8" x14ac:dyDescent="0.3">
      <c r="A14">
        <v>20</v>
      </c>
      <c r="B14">
        <v>18</v>
      </c>
      <c r="C14">
        <v>1197</v>
      </c>
      <c r="D14">
        <v>-1.4810806915674201E-2</v>
      </c>
      <c r="E14" s="3">
        <f>(Block[[#This Row],[disp_block]]--0.0145666666666666)/-0.0145666666666666</f>
        <v>1.6760200160704973E-2</v>
      </c>
    </row>
    <row r="15" spans="1:8" x14ac:dyDescent="0.3">
      <c r="A15">
        <v>20</v>
      </c>
      <c r="B15">
        <v>15</v>
      </c>
      <c r="C15">
        <v>1008</v>
      </c>
      <c r="D15">
        <v>-1.4754248231792499E-2</v>
      </c>
      <c r="E15" s="3">
        <f>(Block[[#This Row],[disp_block]]--0.0145666666666666)/-0.0145666666666666</f>
        <v>1.2877452983471462E-2</v>
      </c>
    </row>
    <row r="16" spans="1:8" x14ac:dyDescent="0.3">
      <c r="A16">
        <v>20</v>
      </c>
      <c r="B16">
        <v>12</v>
      </c>
      <c r="C16">
        <v>819</v>
      </c>
      <c r="D16">
        <v>-1.46599035600187E-2</v>
      </c>
      <c r="E16" s="3">
        <f>(Block[[#This Row],[disp_block]]--0.0145666666666666)/-0.0145666666666666</f>
        <v>6.4007020607849702E-3</v>
      </c>
    </row>
    <row r="17" spans="1:5" x14ac:dyDescent="0.3">
      <c r="A17">
        <v>20</v>
      </c>
      <c r="B17">
        <v>9</v>
      </c>
      <c r="C17">
        <v>630</v>
      </c>
      <c r="D17">
        <v>-1.44782085916601E-2</v>
      </c>
      <c r="E17" s="3">
        <f>(Block[[#This Row],[disp_block]]--0.0145666666666666)/-0.0145666666666666</f>
        <v>-6.0726367281349622E-3</v>
      </c>
    </row>
    <row r="18" spans="1:5" x14ac:dyDescent="0.3">
      <c r="A18">
        <v>20</v>
      </c>
      <c r="B18">
        <v>6</v>
      </c>
      <c r="C18">
        <v>441</v>
      </c>
      <c r="D18">
        <v>-1.40335385326113E-2</v>
      </c>
      <c r="E18" s="3">
        <f>(Block[[#This Row],[disp_block]]--0.0145666666666666)/-0.0145666666666666</f>
        <v>-3.6599185404254095E-2</v>
      </c>
    </row>
    <row r="19" spans="1:5" x14ac:dyDescent="0.3">
      <c r="A19">
        <v>15</v>
      </c>
      <c r="B19">
        <v>120</v>
      </c>
      <c r="C19">
        <v>5808</v>
      </c>
      <c r="D19">
        <v>-1.49836371757638E-2</v>
      </c>
      <c r="E19" s="3">
        <f>(Block[[#This Row],[disp_block]]--0.0145666666666666)/-0.0145666666666666</f>
        <v>2.8624977741226749E-2</v>
      </c>
    </row>
    <row r="20" spans="1:5" x14ac:dyDescent="0.3">
      <c r="A20">
        <v>15</v>
      </c>
      <c r="B20">
        <v>102</v>
      </c>
      <c r="C20">
        <v>4944</v>
      </c>
      <c r="D20">
        <v>-1.49816089030658E-2</v>
      </c>
      <c r="E20" s="3">
        <f>(Block[[#This Row],[disp_block]]--0.0145666666666666)/-0.0145666666666666</f>
        <v>2.8485737052576812E-2</v>
      </c>
    </row>
    <row r="21" spans="1:5" x14ac:dyDescent="0.3">
      <c r="A21">
        <v>15</v>
      </c>
      <c r="B21">
        <v>87</v>
      </c>
      <c r="C21">
        <v>4224</v>
      </c>
      <c r="D21">
        <v>-1.4978615584255801E-2</v>
      </c>
      <c r="E21" s="3">
        <f>(Block[[#This Row],[disp_block]]--0.0145666666666666)/-0.0145666666666666</f>
        <v>2.8280246058755371E-2</v>
      </c>
    </row>
    <row r="22" spans="1:5" x14ac:dyDescent="0.3">
      <c r="A22">
        <v>15</v>
      </c>
      <c r="B22">
        <v>72</v>
      </c>
      <c r="C22">
        <v>3504</v>
      </c>
      <c r="D22">
        <v>-1.49732874309721E-2</v>
      </c>
      <c r="E22" s="3">
        <f>(Block[[#This Row],[disp_block]]--0.0145666666666666)/-0.0145666666666666</f>
        <v>2.7914468945457845E-2</v>
      </c>
    </row>
    <row r="23" spans="1:5" x14ac:dyDescent="0.3">
      <c r="A23">
        <v>15</v>
      </c>
      <c r="B23">
        <v>63</v>
      </c>
      <c r="C23">
        <v>3072</v>
      </c>
      <c r="D23">
        <v>-1.4968103062107999E-2</v>
      </c>
      <c r="E23" s="3">
        <f>(Block[[#This Row],[disp_block]]--0.0145666666666666)/-0.0145666666666666</f>
        <v>2.755856261611454E-2</v>
      </c>
    </row>
    <row r="24" spans="1:5" x14ac:dyDescent="0.3">
      <c r="A24">
        <v>15</v>
      </c>
      <c r="B24">
        <v>54</v>
      </c>
      <c r="C24">
        <v>2640</v>
      </c>
      <c r="D24">
        <v>-1.49603988702126E-2</v>
      </c>
      <c r="E24" s="3">
        <f>(Block[[#This Row],[disp_block]]--0.0145666666666666)/-0.0145666666666666</f>
        <v>2.7029670723981838E-2</v>
      </c>
    </row>
    <row r="25" spans="1:5" x14ac:dyDescent="0.3">
      <c r="A25">
        <v>15</v>
      </c>
      <c r="B25">
        <v>45</v>
      </c>
      <c r="C25">
        <v>2208</v>
      </c>
      <c r="D25">
        <v>-1.49485418535994E-2</v>
      </c>
      <c r="E25" s="3">
        <f>(Block[[#This Row],[disp_block]]--0.0145666666666666)/-0.0145666666666666</f>
        <v>2.6215687890123768E-2</v>
      </c>
    </row>
    <row r="26" spans="1:5" x14ac:dyDescent="0.3">
      <c r="A26">
        <v>15</v>
      </c>
      <c r="B26">
        <v>39</v>
      </c>
      <c r="C26">
        <v>1920</v>
      </c>
      <c r="D26">
        <v>-1.49367932334937E-2</v>
      </c>
      <c r="E26" s="3">
        <f>(Block[[#This Row],[disp_block]]--0.0145666666666666)/-0.0145666666666666</f>
        <v>2.5409146464103163E-2</v>
      </c>
    </row>
    <row r="27" spans="1:5" x14ac:dyDescent="0.3">
      <c r="A27">
        <v>15</v>
      </c>
      <c r="B27">
        <v>33</v>
      </c>
      <c r="C27">
        <v>1632</v>
      </c>
      <c r="D27">
        <v>-1.49197873381213E-2</v>
      </c>
      <c r="E27" s="3">
        <f>(Block[[#This Row],[disp_block]]--0.0145666666666666)/-0.0145666666666666</f>
        <v>2.4241693692542518E-2</v>
      </c>
    </row>
    <row r="28" spans="1:5" x14ac:dyDescent="0.3">
      <c r="A28">
        <v>15</v>
      </c>
      <c r="B28">
        <v>27</v>
      </c>
      <c r="C28">
        <v>1344</v>
      </c>
      <c r="D28">
        <v>-1.48934548994201E-2</v>
      </c>
      <c r="E28" s="3">
        <f>(Block[[#This Row],[disp_block]]--0.0145666666666666)/-0.0145666666666666</f>
        <v>2.2433974788569913E-2</v>
      </c>
    </row>
    <row r="29" spans="1:5" x14ac:dyDescent="0.3">
      <c r="A29">
        <v>15</v>
      </c>
      <c r="B29">
        <v>24</v>
      </c>
      <c r="C29">
        <v>1200</v>
      </c>
      <c r="D29">
        <v>-1.48742024789782E-2</v>
      </c>
      <c r="E29" s="3">
        <f>(Block[[#This Row],[disp_block]]--0.0145666666666666)/-0.0145666666666666</f>
        <v>2.1112298328027631E-2</v>
      </c>
    </row>
    <row r="30" spans="1:5" x14ac:dyDescent="0.3">
      <c r="A30">
        <v>15</v>
      </c>
      <c r="B30">
        <v>21</v>
      </c>
      <c r="C30">
        <v>1056</v>
      </c>
      <c r="D30">
        <v>-1.48481033493559E-2</v>
      </c>
      <c r="E30" s="3">
        <f>(Block[[#This Row],[disp_block]]--0.0145666666666666)/-0.0145666666666666</f>
        <v>1.9320596065627121E-2</v>
      </c>
    </row>
    <row r="31" spans="1:5" x14ac:dyDescent="0.3">
      <c r="A31">
        <v>15</v>
      </c>
      <c r="B31">
        <v>18</v>
      </c>
      <c r="C31">
        <v>912</v>
      </c>
      <c r="D31">
        <v>-1.48109702325325E-2</v>
      </c>
      <c r="E31" s="3">
        <f>(Block[[#This Row],[disp_block]]--0.0145666666666666)/-0.0145666666666666</f>
        <v>1.6771411844341076E-2</v>
      </c>
    </row>
    <row r="32" spans="1:5" x14ac:dyDescent="0.3">
      <c r="A32">
        <v>15</v>
      </c>
      <c r="B32">
        <v>15</v>
      </c>
      <c r="C32">
        <v>768</v>
      </c>
      <c r="D32">
        <v>-1.47545362834669E-2</v>
      </c>
      <c r="E32" s="3">
        <f>(Block[[#This Row],[disp_block]]--0.0145666666666666)/-0.0145666666666666</f>
        <v>1.2897227697961179E-2</v>
      </c>
    </row>
    <row r="33" spans="1:5" x14ac:dyDescent="0.3">
      <c r="A33">
        <v>15</v>
      </c>
      <c r="B33">
        <v>12</v>
      </c>
      <c r="C33">
        <v>624</v>
      </c>
      <c r="D33">
        <v>-1.4660308965801099E-2</v>
      </c>
      <c r="E33" s="3">
        <f>(Block[[#This Row],[disp_block]]--0.0145666666666666)/-0.0145666666666666</f>
        <v>6.4285331213615746E-3</v>
      </c>
    </row>
    <row r="34" spans="1:5" x14ac:dyDescent="0.3">
      <c r="A34">
        <v>15</v>
      </c>
      <c r="B34">
        <v>9</v>
      </c>
      <c r="C34">
        <v>480</v>
      </c>
      <c r="D34">
        <v>-1.44787421066152E-2</v>
      </c>
      <c r="E34" s="3">
        <f>(Block[[#This Row],[disp_block]]--0.0145666666666666)/-0.0145666666666666</f>
        <v>-6.0360109875102564E-3</v>
      </c>
    </row>
    <row r="35" spans="1:5" x14ac:dyDescent="0.3">
      <c r="A35">
        <v>15</v>
      </c>
      <c r="B35">
        <v>6</v>
      </c>
      <c r="C35">
        <v>336</v>
      </c>
      <c r="D35">
        <v>-1.40342099108313E-2</v>
      </c>
      <c r="E35" s="3">
        <f>(Block[[#This Row],[disp_block]]--0.0145666666666666)/-0.0145666666666666</f>
        <v>-3.6553095366267864E-2</v>
      </c>
    </row>
    <row r="36" spans="1:5" x14ac:dyDescent="0.3">
      <c r="A36">
        <v>11</v>
      </c>
      <c r="B36">
        <v>120</v>
      </c>
      <c r="C36">
        <v>4356</v>
      </c>
      <c r="D36">
        <v>-1.49727451969355E-2</v>
      </c>
      <c r="E36" s="3">
        <f>(Block[[#This Row],[disp_block]]--0.0145666666666666)/-0.0145666666666666</f>
        <v>2.7877244640885757E-2</v>
      </c>
    </row>
    <row r="37" spans="1:5" x14ac:dyDescent="0.3">
      <c r="A37">
        <v>11</v>
      </c>
      <c r="B37">
        <v>102</v>
      </c>
      <c r="C37">
        <v>3708</v>
      </c>
      <c r="D37">
        <v>-1.49712132356276E-2</v>
      </c>
      <c r="E37" s="3">
        <f>(Block[[#This Row],[disp_block]]--0.0145666666666666)/-0.0145666666666666</f>
        <v>2.777207567238001E-2</v>
      </c>
    </row>
    <row r="38" spans="1:5" x14ac:dyDescent="0.3">
      <c r="A38">
        <v>11</v>
      </c>
      <c r="B38">
        <v>87</v>
      </c>
      <c r="C38">
        <v>3168</v>
      </c>
      <c r="D38">
        <v>-1.49690855987629E-2</v>
      </c>
      <c r="E38" s="3">
        <f>(Block[[#This Row],[disp_block]]--0.0145666666666666)/-0.0145666666666666</f>
        <v>2.7626013645055122E-2</v>
      </c>
    </row>
    <row r="39" spans="1:5" x14ac:dyDescent="0.3">
      <c r="A39">
        <v>11</v>
      </c>
      <c r="B39">
        <v>72</v>
      </c>
      <c r="C39">
        <v>2628</v>
      </c>
      <c r="D39">
        <v>-1.4965268801691601E-2</v>
      </c>
      <c r="E39" s="3">
        <f>(Block[[#This Row],[disp_block]]--0.0145666666666666)/-0.0145666666666666</f>
        <v>2.7363990962814857E-2</v>
      </c>
    </row>
    <row r="40" spans="1:5" x14ac:dyDescent="0.3">
      <c r="A40">
        <v>11</v>
      </c>
      <c r="B40">
        <v>63</v>
      </c>
      <c r="C40">
        <v>2304</v>
      </c>
      <c r="D40">
        <v>-1.4961374301131499E-2</v>
      </c>
      <c r="E40" s="3">
        <f>(Block[[#This Row],[disp_block]]--0.0145666666666666)/-0.0145666666666666</f>
        <v>2.7096633944958943E-2</v>
      </c>
    </row>
    <row r="41" spans="1:5" x14ac:dyDescent="0.3">
      <c r="A41">
        <v>11</v>
      </c>
      <c r="B41">
        <v>54</v>
      </c>
      <c r="C41">
        <v>1980</v>
      </c>
      <c r="D41">
        <v>-1.4955237726453401E-2</v>
      </c>
      <c r="E41" s="3">
        <f>(Block[[#This Row],[disp_block]]--0.0145666666666666)/-0.0145666666666666</f>
        <v>2.6675358795432706E-2</v>
      </c>
    </row>
    <row r="42" spans="1:5" x14ac:dyDescent="0.3">
      <c r="A42">
        <v>11</v>
      </c>
      <c r="B42">
        <v>45</v>
      </c>
      <c r="C42">
        <v>1656</v>
      </c>
      <c r="D42">
        <v>-1.49451362792563E-2</v>
      </c>
      <c r="E42" s="3">
        <f>(Block[[#This Row],[disp_block]]--0.0145666666666666)/-0.0145666666666666</f>
        <v>2.5981895601123725E-2</v>
      </c>
    </row>
    <row r="43" spans="1:5" x14ac:dyDescent="0.3">
      <c r="A43">
        <v>11</v>
      </c>
      <c r="B43">
        <v>39</v>
      </c>
      <c r="C43">
        <v>1440</v>
      </c>
      <c r="D43">
        <v>-1.4934578505541999E-2</v>
      </c>
      <c r="E43" s="3">
        <f>(Block[[#This Row],[disp_block]]--0.0145666666666666)/-0.0145666666666666</f>
        <v>2.5257105643620253E-2</v>
      </c>
    </row>
    <row r="44" spans="1:5" x14ac:dyDescent="0.3">
      <c r="A44">
        <v>11</v>
      </c>
      <c r="B44">
        <v>33</v>
      </c>
      <c r="C44">
        <v>1224</v>
      </c>
      <c r="D44">
        <v>-1.49187026840071E-2</v>
      </c>
      <c r="E44" s="3">
        <f>(Block[[#This Row],[disp_block]]--0.0145666666666666)/-0.0145666666666666</f>
        <v>2.4167232311704957E-2</v>
      </c>
    </row>
    <row r="45" spans="1:5" x14ac:dyDescent="0.3">
      <c r="A45">
        <v>11</v>
      </c>
      <c r="B45">
        <v>27</v>
      </c>
      <c r="C45">
        <v>1008</v>
      </c>
      <c r="D45">
        <v>-1.48933730135043E-2</v>
      </c>
      <c r="E45" s="3">
        <f>(Block[[#This Row],[disp_block]]--0.0145666666666666)/-0.0145666666666666</f>
        <v>2.2428353329819357E-2</v>
      </c>
    </row>
    <row r="46" spans="1:5" x14ac:dyDescent="0.3">
      <c r="A46">
        <v>11</v>
      </c>
      <c r="B46">
        <v>24</v>
      </c>
      <c r="C46">
        <v>900</v>
      </c>
      <c r="D46">
        <v>-1.48745563358065E-2</v>
      </c>
      <c r="E46" s="3">
        <f>(Block[[#This Row],[disp_block]]--0.0145666666666666)/-0.0145666666666666</f>
        <v>2.1136590558803313E-2</v>
      </c>
    </row>
    <row r="47" spans="1:5" x14ac:dyDescent="0.3">
      <c r="A47">
        <v>11</v>
      </c>
      <c r="B47">
        <v>21</v>
      </c>
      <c r="C47">
        <v>792</v>
      </c>
      <c r="D47">
        <v>-1.48488409470919E-2</v>
      </c>
      <c r="E47" s="3">
        <f>(Block[[#This Row],[disp_block]]--0.0145666666666666)/-0.0145666666666666</f>
        <v>1.9371232065810203E-2</v>
      </c>
    </row>
    <row r="48" spans="1:5" x14ac:dyDescent="0.3">
      <c r="A48">
        <v>11</v>
      </c>
      <c r="B48">
        <v>18</v>
      </c>
      <c r="C48">
        <v>684</v>
      </c>
      <c r="D48">
        <v>-1.4812033304529199E-2</v>
      </c>
      <c r="E48" s="3">
        <f>(Block[[#This Row],[disp_block]]--0.0145666666666666)/-0.0145666666666666</f>
        <v>1.6844391615281534E-2</v>
      </c>
    </row>
    <row r="49" spans="1:5" x14ac:dyDescent="0.3">
      <c r="A49">
        <v>11</v>
      </c>
      <c r="B49">
        <v>15</v>
      </c>
      <c r="C49">
        <v>576</v>
      </c>
      <c r="D49">
        <v>-1.4755860002001599E-2</v>
      </c>
      <c r="E49" s="3">
        <f>(Block[[#This Row],[disp_block]]--0.0145666666666666)/-0.0145666666666666</f>
        <v>1.2988100823913107E-2</v>
      </c>
    </row>
    <row r="50" spans="1:5" x14ac:dyDescent="0.3">
      <c r="A50">
        <v>11</v>
      </c>
      <c r="B50">
        <v>12</v>
      </c>
      <c r="C50">
        <v>468</v>
      </c>
      <c r="D50">
        <v>-1.46618235103679E-2</v>
      </c>
      <c r="E50" s="3">
        <f>(Block[[#This Row],[disp_block]]--0.0145666666666666)/-0.0145666666666666</f>
        <v>6.5325064325835918E-3</v>
      </c>
    </row>
    <row r="51" spans="1:5" x14ac:dyDescent="0.3">
      <c r="A51">
        <v>11</v>
      </c>
      <c r="B51">
        <v>9</v>
      </c>
      <c r="C51">
        <v>360</v>
      </c>
      <c r="D51">
        <v>-1.4480374365438701E-2</v>
      </c>
      <c r="E51" s="3">
        <f>(Block[[#This Row],[disp_block]]--0.0145666666666666)/-0.0145666666666666</f>
        <v>-5.923956606034249E-3</v>
      </c>
    </row>
    <row r="52" spans="1:5" x14ac:dyDescent="0.3">
      <c r="A52">
        <v>11</v>
      </c>
      <c r="B52">
        <v>6</v>
      </c>
      <c r="C52">
        <v>252</v>
      </c>
      <c r="D52">
        <v>-1.40358646616835E-2</v>
      </c>
      <c r="E52" s="3">
        <f>(Block[[#This Row],[disp_block]]--0.0145666666666666)/-0.0145666666666666</f>
        <v>-3.6439496909595089E-2</v>
      </c>
    </row>
    <row r="53" spans="1:5" x14ac:dyDescent="0.3">
      <c r="A53">
        <v>9</v>
      </c>
      <c r="B53">
        <v>120</v>
      </c>
      <c r="C53">
        <v>3630</v>
      </c>
      <c r="D53">
        <v>-1.49673666612291E-2</v>
      </c>
      <c r="E53" s="3">
        <f>(Block[[#This Row],[disp_block]]--0.0145666666666666)/-0.0145666666666666</f>
        <v>2.7508008780034517E-2</v>
      </c>
    </row>
    <row r="54" spans="1:5" x14ac:dyDescent="0.3">
      <c r="A54">
        <v>9</v>
      </c>
      <c r="B54">
        <v>102</v>
      </c>
      <c r="C54">
        <v>3090</v>
      </c>
      <c r="D54">
        <v>-1.4965899609752101E-2</v>
      </c>
      <c r="E54" s="3">
        <f>(Block[[#This Row],[disp_block]]--0.0145666666666666)/-0.0145666666666666</f>
        <v>2.7407295863993358E-2</v>
      </c>
    </row>
    <row r="55" spans="1:5" x14ac:dyDescent="0.3">
      <c r="A55">
        <v>9</v>
      </c>
      <c r="B55">
        <v>87</v>
      </c>
      <c r="C55">
        <v>2640</v>
      </c>
      <c r="D55">
        <v>-1.49639886225454E-2</v>
      </c>
      <c r="E55" s="3">
        <f>(Block[[#This Row],[disp_block]]--0.0145666666666666)/-0.0145666666666666</f>
        <v>2.7276106810901767E-2</v>
      </c>
    </row>
    <row r="56" spans="1:5" x14ac:dyDescent="0.3">
      <c r="A56">
        <v>9</v>
      </c>
      <c r="B56">
        <v>72</v>
      </c>
      <c r="C56">
        <v>2190</v>
      </c>
      <c r="D56">
        <v>-1.4960726417358501E-2</v>
      </c>
      <c r="E56" s="3">
        <f>(Block[[#This Row],[disp_block]]--0.0145666666666666)/-0.0145666666666666</f>
        <v>2.7052156798071162E-2</v>
      </c>
    </row>
    <row r="57" spans="1:5" x14ac:dyDescent="0.3">
      <c r="A57">
        <v>9</v>
      </c>
      <c r="B57">
        <v>63</v>
      </c>
      <c r="C57">
        <v>1920</v>
      </c>
      <c r="D57">
        <v>-1.49574465192269E-2</v>
      </c>
      <c r="E57" s="3">
        <f>(Block[[#This Row],[disp_block]]--0.0145666666666666)/-0.0145666666666666</f>
        <v>2.6826992166611174E-2</v>
      </c>
    </row>
    <row r="58" spans="1:5" x14ac:dyDescent="0.3">
      <c r="A58">
        <v>9</v>
      </c>
      <c r="B58">
        <v>54</v>
      </c>
      <c r="C58">
        <v>1650</v>
      </c>
      <c r="D58">
        <v>-1.4952222329554701E-2</v>
      </c>
      <c r="E58" s="3">
        <f>(Block[[#This Row],[disp_block]]--0.0145666666666666)/-0.0145666666666666</f>
        <v>2.6468352143348035E-2</v>
      </c>
    </row>
    <row r="59" spans="1:5" x14ac:dyDescent="0.3">
      <c r="A59">
        <v>9</v>
      </c>
      <c r="B59">
        <v>45</v>
      </c>
      <c r="C59">
        <v>1380</v>
      </c>
      <c r="D59">
        <v>-1.4943366833203599E-2</v>
      </c>
      <c r="E59" s="3">
        <f>(Block[[#This Row],[disp_block]]--0.0145666666666666)/-0.0145666666666666</f>
        <v>2.5860423332059623E-2</v>
      </c>
    </row>
    <row r="60" spans="1:5" x14ac:dyDescent="0.3">
      <c r="A60">
        <v>9</v>
      </c>
      <c r="B60">
        <v>39</v>
      </c>
      <c r="C60">
        <v>1200</v>
      </c>
      <c r="D60">
        <v>-1.49338008272452E-2</v>
      </c>
      <c r="E60" s="3">
        <f>(Block[[#This Row],[disp_block]]--0.0145666666666666)/-0.0145666666666666</f>
        <v>2.5203718117524188E-2</v>
      </c>
    </row>
    <row r="61" spans="1:5" x14ac:dyDescent="0.3">
      <c r="A61">
        <v>9</v>
      </c>
      <c r="B61">
        <v>33</v>
      </c>
      <c r="C61">
        <v>1020</v>
      </c>
      <c r="D61">
        <v>-1.49189864380253E-2</v>
      </c>
      <c r="E61" s="3">
        <f>(Block[[#This Row],[disp_block]]--0.0145666666666666)/-0.0145666666666666</f>
        <v>2.4186711992588289E-2</v>
      </c>
    </row>
    <row r="62" spans="1:5" x14ac:dyDescent="0.3">
      <c r="A62">
        <v>9</v>
      </c>
      <c r="B62">
        <v>27</v>
      </c>
      <c r="C62">
        <v>840</v>
      </c>
      <c r="D62">
        <v>-1.48947031633793E-2</v>
      </c>
      <c r="E62" s="3">
        <f>(Block[[#This Row],[disp_block]]--0.0145666666666666)/-0.0145666666666666</f>
        <v>2.2519667966547068E-2</v>
      </c>
    </row>
    <row r="63" spans="1:5" x14ac:dyDescent="0.3">
      <c r="A63">
        <v>9</v>
      </c>
      <c r="B63">
        <v>24</v>
      </c>
      <c r="C63">
        <v>750</v>
      </c>
      <c r="D63">
        <v>-1.48763718978734E-2</v>
      </c>
      <c r="E63" s="3">
        <f>(Block[[#This Row],[disp_block]]--0.0145666666666666)/-0.0145666666666666</f>
        <v>2.1261228686965818E-2</v>
      </c>
    </row>
    <row r="64" spans="1:5" x14ac:dyDescent="0.3">
      <c r="A64">
        <v>9</v>
      </c>
      <c r="B64">
        <v>21</v>
      </c>
      <c r="C64">
        <v>660</v>
      </c>
      <c r="D64">
        <v>-1.48510977308843E-2</v>
      </c>
      <c r="E64" s="3">
        <f>(Block[[#This Row],[disp_block]]--0.0145666666666666)/-0.0145666666666666</f>
        <v>1.9526160014945206E-2</v>
      </c>
    </row>
    <row r="65" spans="1:5" x14ac:dyDescent="0.3">
      <c r="A65">
        <v>9</v>
      </c>
      <c r="B65">
        <v>18</v>
      </c>
      <c r="C65">
        <v>570</v>
      </c>
      <c r="D65">
        <v>-1.48146707073995E-2</v>
      </c>
      <c r="E65" s="3">
        <f>(Block[[#This Row],[disp_block]]--0.0145666666666666)/-0.0145666666666666</f>
        <v>1.7025449020565367E-2</v>
      </c>
    </row>
    <row r="66" spans="1:5" x14ac:dyDescent="0.3">
      <c r="A66">
        <v>9</v>
      </c>
      <c r="B66">
        <v>15</v>
      </c>
      <c r="C66">
        <v>480</v>
      </c>
      <c r="D66">
        <v>-1.4758797119198201E-2</v>
      </c>
      <c r="E66" s="3">
        <f>(Block[[#This Row],[disp_block]]--0.0145666666666666)/-0.0145666666666666</f>
        <v>1.3189733583405175E-2</v>
      </c>
    </row>
    <row r="67" spans="1:5" x14ac:dyDescent="0.3">
      <c r="A67">
        <v>9</v>
      </c>
      <c r="B67">
        <v>12</v>
      </c>
      <c r="C67">
        <v>390</v>
      </c>
      <c r="D67">
        <v>-1.466495288914E-2</v>
      </c>
      <c r="E67" s="3">
        <f>(Block[[#This Row],[disp_block]]--0.0145666666666666)/-0.0145666666666666</f>
        <v>6.7473379272357517E-3</v>
      </c>
    </row>
    <row r="68" spans="1:5" x14ac:dyDescent="0.3">
      <c r="A68">
        <v>9</v>
      </c>
      <c r="B68">
        <v>9</v>
      </c>
      <c r="C68">
        <v>300</v>
      </c>
      <c r="D68">
        <v>-1.4483553532304501E-2</v>
      </c>
      <c r="E68" s="3">
        <f>(Block[[#This Row],[disp_block]]--0.0145666666666666)/-0.0145666666666666</f>
        <v>-5.7057071644461693E-3</v>
      </c>
    </row>
    <row r="69" spans="1:5" x14ac:dyDescent="0.3">
      <c r="A69">
        <v>9</v>
      </c>
      <c r="B69">
        <v>6</v>
      </c>
      <c r="C69">
        <v>210</v>
      </c>
      <c r="D69">
        <v>-1.40388961334876E-2</v>
      </c>
      <c r="E69" s="3">
        <f>(Block[[#This Row],[disp_block]]--0.0145666666666666)/-0.0145666666666666</f>
        <v>-3.6231386717093958E-2</v>
      </c>
    </row>
    <row r="70" spans="1:5" x14ac:dyDescent="0.3">
      <c r="A70">
        <v>7</v>
      </c>
      <c r="B70">
        <v>120</v>
      </c>
      <c r="C70">
        <v>2904</v>
      </c>
      <c r="D70">
        <v>-1.4962424781021199E-2</v>
      </c>
      <c r="E70" s="3">
        <f>(Block[[#This Row],[disp_block]]--0.0145666666666666)/-0.0145666666666666</f>
        <v>2.7168749269194631E-2</v>
      </c>
    </row>
    <row r="71" spans="1:5" x14ac:dyDescent="0.3">
      <c r="A71">
        <v>7</v>
      </c>
      <c r="B71">
        <v>102</v>
      </c>
      <c r="C71">
        <v>2472</v>
      </c>
      <c r="D71">
        <v>-1.49609388283778E-2</v>
      </c>
      <c r="E71" s="3">
        <f>(Block[[#This Row],[disp_block]]--0.0145666666666666)/-0.0145666666666666</f>
        <v>2.706673879024276E-2</v>
      </c>
    </row>
    <row r="72" spans="1:5" x14ac:dyDescent="0.3">
      <c r="A72">
        <v>7</v>
      </c>
      <c r="B72">
        <v>87</v>
      </c>
      <c r="C72">
        <v>2112</v>
      </c>
      <c r="D72">
        <v>-1.49590787407876E-2</v>
      </c>
      <c r="E72" s="3">
        <f>(Block[[#This Row],[disp_block]]--0.0145666666666666)/-0.0145666666666666</f>
        <v>2.6939043990000192E-2</v>
      </c>
    </row>
    <row r="73" spans="1:5" x14ac:dyDescent="0.3">
      <c r="A73">
        <v>7</v>
      </c>
      <c r="B73">
        <v>72</v>
      </c>
      <c r="C73">
        <v>1752</v>
      </c>
      <c r="D73">
        <v>-1.49560859825089E-2</v>
      </c>
      <c r="E73" s="3">
        <f>(Block[[#This Row],[disp_block]]--0.0145666666666666)/-0.0145666666666666</f>
        <v>2.6733591476588256E-2</v>
      </c>
    </row>
    <row r="74" spans="1:5" x14ac:dyDescent="0.3">
      <c r="A74">
        <v>7</v>
      </c>
      <c r="B74">
        <v>63</v>
      </c>
      <c r="C74">
        <v>1536</v>
      </c>
      <c r="D74">
        <v>-1.4953214905132999E-2</v>
      </c>
      <c r="E74" s="3">
        <f>(Block[[#This Row],[disp_block]]--0.0145666666666666)/-0.0145666666666666</f>
        <v>2.6536492343231233E-2</v>
      </c>
    </row>
    <row r="75" spans="1:5" x14ac:dyDescent="0.3">
      <c r="A75">
        <v>7</v>
      </c>
      <c r="B75">
        <v>54</v>
      </c>
      <c r="C75">
        <v>1320</v>
      </c>
      <c r="D75">
        <v>-1.49487468143421E-2</v>
      </c>
      <c r="E75" s="3">
        <f>(Block[[#This Row],[disp_block]]--0.0145666666666666)/-0.0145666666666666</f>
        <v>2.6229758421659175E-2</v>
      </c>
    </row>
    <row r="76" spans="1:5" x14ac:dyDescent="0.3">
      <c r="A76">
        <v>7</v>
      </c>
      <c r="B76">
        <v>45</v>
      </c>
      <c r="C76">
        <v>1104</v>
      </c>
      <c r="D76">
        <v>-1.49411733219678E-2</v>
      </c>
      <c r="E76" s="3">
        <f>(Block[[#This Row],[disp_block]]--0.0145666666666666)/-0.0145666666666666</f>
        <v>2.5709839036695811E-2</v>
      </c>
    </row>
    <row r="77" spans="1:5" x14ac:dyDescent="0.3">
      <c r="A77">
        <v>7</v>
      </c>
      <c r="B77">
        <v>39</v>
      </c>
      <c r="C77">
        <v>960</v>
      </c>
      <c r="D77">
        <v>-1.4932828698601699E-2</v>
      </c>
      <c r="E77" s="3">
        <f>(Block[[#This Row],[disp_block]]--0.0145666666666666)/-0.0145666666666666</f>
        <v>2.5136981597375412E-2</v>
      </c>
    </row>
    <row r="78" spans="1:5" x14ac:dyDescent="0.3">
      <c r="A78">
        <v>7</v>
      </c>
      <c r="B78">
        <v>33</v>
      </c>
      <c r="C78">
        <v>816</v>
      </c>
      <c r="D78">
        <v>-1.4919527369956E-2</v>
      </c>
      <c r="E78" s="3">
        <f>(Block[[#This Row],[disp_block]]--0.0145666666666666)/-0.0145666666666666</f>
        <v>2.4223846907739287E-2</v>
      </c>
    </row>
    <row r="79" spans="1:5" x14ac:dyDescent="0.3">
      <c r="A79">
        <v>7</v>
      </c>
      <c r="B79">
        <v>27</v>
      </c>
      <c r="C79">
        <v>672</v>
      </c>
      <c r="D79">
        <v>-1.4896957598601599E-2</v>
      </c>
      <c r="E79" s="3">
        <f>(Block[[#This Row],[disp_block]]--0.0145666666666666)/-0.0145666666666666</f>
        <v>2.2674434686613384E-2</v>
      </c>
    </row>
    <row r="80" spans="1:5" x14ac:dyDescent="0.3">
      <c r="A80">
        <v>7</v>
      </c>
      <c r="B80">
        <v>24</v>
      </c>
      <c r="C80">
        <v>600</v>
      </c>
      <c r="D80">
        <v>-1.48795000159171E-2</v>
      </c>
      <c r="E80" s="3">
        <f>(Block[[#This Row],[disp_block]]--0.0145666666666666)/-0.0145666666666666</f>
        <v>2.1475973632757554E-2</v>
      </c>
    </row>
    <row r="81" spans="1:5" x14ac:dyDescent="0.3">
      <c r="A81">
        <v>7</v>
      </c>
      <c r="B81">
        <v>21</v>
      </c>
      <c r="C81">
        <v>528</v>
      </c>
      <c r="D81">
        <v>-1.48550657647432E-2</v>
      </c>
      <c r="E81" s="3">
        <f>(Block[[#This Row],[disp_block]]--0.0145666666666666)/-0.0145666666666666</f>
        <v>1.9798565085350248E-2</v>
      </c>
    </row>
    <row r="82" spans="1:5" x14ac:dyDescent="0.3">
      <c r="A82">
        <v>7</v>
      </c>
      <c r="B82">
        <v>18</v>
      </c>
      <c r="C82">
        <v>456</v>
      </c>
      <c r="D82">
        <v>-1.48194025692847E-2</v>
      </c>
      <c r="E82" s="3">
        <f>(Block[[#This Row],[disp_block]]--0.0145666666666666)/-0.0145666666666666</f>
        <v>1.7350290797581353E-2</v>
      </c>
    </row>
    <row r="83" spans="1:5" x14ac:dyDescent="0.3">
      <c r="A83">
        <v>7</v>
      </c>
      <c r="B83">
        <v>15</v>
      </c>
      <c r="C83">
        <v>384</v>
      </c>
      <c r="D83">
        <v>-1.4764165821850601E-2</v>
      </c>
      <c r="E83" s="3">
        <f>(Block[[#This Row],[disp_block]]--0.0145666666666666)/-0.0145666666666666</f>
        <v>1.3558294406224412E-2</v>
      </c>
    </row>
    <row r="84" spans="1:5" x14ac:dyDescent="0.3">
      <c r="A84">
        <v>7</v>
      </c>
      <c r="B84">
        <v>12</v>
      </c>
      <c r="C84">
        <v>312</v>
      </c>
      <c r="D84">
        <v>-1.46707671722989E-2</v>
      </c>
      <c r="E84" s="3">
        <f>(Block[[#This Row],[disp_block]]--0.0145666666666666)/-0.0145666666666666</f>
        <v>7.146487800844494E-3</v>
      </c>
    </row>
    <row r="85" spans="1:5" x14ac:dyDescent="0.3">
      <c r="A85">
        <v>7</v>
      </c>
      <c r="B85">
        <v>9</v>
      </c>
      <c r="C85">
        <v>240</v>
      </c>
      <c r="D85">
        <v>-1.44895366121503E-2</v>
      </c>
      <c r="E85" s="3">
        <f>(Block[[#This Row],[disp_block]]--0.0145666666666666)/-0.0145666666666666</f>
        <v>-5.2949694175949465E-3</v>
      </c>
    </row>
    <row r="86" spans="1:5" x14ac:dyDescent="0.3">
      <c r="A86">
        <v>7</v>
      </c>
      <c r="B86">
        <v>6</v>
      </c>
      <c r="C86">
        <v>168</v>
      </c>
      <c r="D86">
        <v>-1.40446397973229E-2</v>
      </c>
      <c r="E86" s="3">
        <f>(Block[[#This Row],[disp_block]]--0.0145666666666666)/-0.0145666666666666</f>
        <v>-3.5837084851970388E-2</v>
      </c>
    </row>
    <row r="87" spans="1:5" x14ac:dyDescent="0.3">
      <c r="A87">
        <v>5</v>
      </c>
      <c r="B87">
        <v>120</v>
      </c>
      <c r="C87">
        <v>2178</v>
      </c>
      <c r="D87">
        <v>-1.49646731638248E-2</v>
      </c>
      <c r="E87" s="3">
        <f>(Block[[#This Row],[disp_block]]--0.0145666666666666)/-0.0145666666666666</f>
        <v>2.7323100491409815E-2</v>
      </c>
    </row>
    <row r="88" spans="1:5" x14ac:dyDescent="0.3">
      <c r="A88">
        <v>5</v>
      </c>
      <c r="B88">
        <v>102</v>
      </c>
      <c r="C88">
        <v>1854</v>
      </c>
      <c r="D88">
        <v>-1.4963192848804201E-2</v>
      </c>
      <c r="E88" s="3">
        <f>(Block[[#This Row],[disp_block]]--0.0145666666666666)/-0.0145666666666666</f>
        <v>2.7221477034618066E-2</v>
      </c>
    </row>
    <row r="89" spans="1:5" x14ac:dyDescent="0.3">
      <c r="A89">
        <v>5</v>
      </c>
      <c r="B89">
        <v>87</v>
      </c>
      <c r="C89">
        <v>1584</v>
      </c>
      <c r="D89">
        <v>-1.49613307368956E-2</v>
      </c>
      <c r="E89" s="3">
        <f>(Block[[#This Row],[disp_block]]--0.0145666666666666)/-0.0145666666666666</f>
        <v>2.7093643265148928E-2</v>
      </c>
    </row>
    <row r="90" spans="1:5" x14ac:dyDescent="0.3">
      <c r="A90">
        <v>5</v>
      </c>
      <c r="B90">
        <v>72</v>
      </c>
      <c r="C90">
        <v>1314</v>
      </c>
      <c r="D90">
        <v>-1.4958392235197E-2</v>
      </c>
      <c r="E90" s="3">
        <f>(Block[[#This Row],[disp_block]]--0.0145666666666666)/-0.0145666666666666</f>
        <v>2.6891915459753026E-2</v>
      </c>
    </row>
    <row r="91" spans="1:5" x14ac:dyDescent="0.3">
      <c r="A91">
        <v>5</v>
      </c>
      <c r="B91">
        <v>63</v>
      </c>
      <c r="C91">
        <v>1152</v>
      </c>
      <c r="D91">
        <v>-1.49556708714215E-2</v>
      </c>
      <c r="E91" s="3">
        <f>(Block[[#This Row],[disp_block]]--0.0145666666666666)/-0.0145666666666666</f>
        <v>2.6705094147933803E-2</v>
      </c>
    </row>
    <row r="92" spans="1:5" x14ac:dyDescent="0.3">
      <c r="A92">
        <v>5</v>
      </c>
      <c r="B92">
        <v>54</v>
      </c>
      <c r="C92">
        <v>990</v>
      </c>
      <c r="D92">
        <v>-1.49515955460201E-2</v>
      </c>
      <c r="E92" s="3">
        <f>(Block[[#This Row],[disp_block]]--0.0145666666666666)/-0.0145666666666666</f>
        <v>2.64253235254121E-2</v>
      </c>
    </row>
    <row r="93" spans="1:5" x14ac:dyDescent="0.3">
      <c r="A93">
        <v>5</v>
      </c>
      <c r="B93">
        <v>45</v>
      </c>
      <c r="C93">
        <v>828</v>
      </c>
      <c r="D93">
        <v>-1.49449380928605E-2</v>
      </c>
      <c r="E93" s="3">
        <f>(Block[[#This Row],[disp_block]]--0.0145666666666666)/-0.0145666666666666</f>
        <v>2.5968290127727865E-2</v>
      </c>
    </row>
    <row r="94" spans="1:5" x14ac:dyDescent="0.3">
      <c r="A94">
        <v>5</v>
      </c>
      <c r="B94">
        <v>39</v>
      </c>
      <c r="C94">
        <v>720</v>
      </c>
      <c r="D94">
        <v>-1.4937724853238901E-2</v>
      </c>
      <c r="E94" s="3">
        <f>(Block[[#This Row],[disp_block]]--0.0145666666666666)/-0.0145666666666666</f>
        <v>2.5473102053018528E-2</v>
      </c>
    </row>
    <row r="95" spans="1:5" x14ac:dyDescent="0.3">
      <c r="A95">
        <v>5</v>
      </c>
      <c r="B95">
        <v>33</v>
      </c>
      <c r="C95">
        <v>612</v>
      </c>
      <c r="D95">
        <v>-1.4926176978562499E-2</v>
      </c>
      <c r="E95" s="3">
        <f>(Block[[#This Row],[disp_block]]--0.0145666666666666)/-0.0145666666666666</f>
        <v>2.4680341777750695E-2</v>
      </c>
    </row>
    <row r="96" spans="1:5" x14ac:dyDescent="0.3">
      <c r="A96">
        <v>5</v>
      </c>
      <c r="B96">
        <v>27</v>
      </c>
      <c r="C96">
        <v>504</v>
      </c>
      <c r="D96">
        <v>-1.49061055982016E-2</v>
      </c>
      <c r="E96" s="3">
        <f>(Block[[#This Row],[disp_block]]--0.0145666666666666)/-0.0145666666666666</f>
        <v>2.3302443812471579E-2</v>
      </c>
    </row>
    <row r="97" spans="1:5" x14ac:dyDescent="0.3">
      <c r="A97">
        <v>5</v>
      </c>
      <c r="B97">
        <v>24</v>
      </c>
      <c r="C97">
        <v>450</v>
      </c>
      <c r="D97">
        <v>-1.48901561382587E-2</v>
      </c>
      <c r="E97" s="3">
        <f>(Block[[#This Row],[disp_block]]--0.0145666666666666)/-0.0145666666666666</f>
        <v>2.2207515212272426E-2</v>
      </c>
    </row>
    <row r="98" spans="1:5" x14ac:dyDescent="0.3">
      <c r="A98">
        <v>5</v>
      </c>
      <c r="B98">
        <v>21</v>
      </c>
      <c r="C98">
        <v>396</v>
      </c>
      <c r="D98">
        <v>-1.48673386771039E-2</v>
      </c>
      <c r="E98" s="3">
        <f>(Block[[#This Row],[disp_block]]--0.0145666666666666)/-0.0145666666666666</f>
        <v>2.0641099114688911E-2</v>
      </c>
    </row>
    <row r="99" spans="1:5" x14ac:dyDescent="0.3">
      <c r="A99">
        <v>5</v>
      </c>
      <c r="B99">
        <v>18</v>
      </c>
      <c r="C99">
        <v>342</v>
      </c>
      <c r="D99">
        <v>-1.48333057636988E-2</v>
      </c>
      <c r="E99" s="3">
        <f>(Block[[#This Row],[disp_block]]--0.0145666666666666)/-0.0145666666666666</f>
        <v>1.8304743503354828E-2</v>
      </c>
    </row>
    <row r="100" spans="1:5" x14ac:dyDescent="0.3">
      <c r="A100">
        <v>5</v>
      </c>
      <c r="B100">
        <v>15</v>
      </c>
      <c r="C100">
        <v>288</v>
      </c>
      <c r="D100">
        <v>-1.4779572640753301E-2</v>
      </c>
      <c r="E100" s="3">
        <f>(Block[[#This Row],[disp_block]]--0.0145666666666666)/-0.0145666666666666</f>
        <v>1.4615970761100841E-2</v>
      </c>
    </row>
    <row r="101" spans="1:5" x14ac:dyDescent="0.3">
      <c r="A101">
        <v>5</v>
      </c>
      <c r="B101">
        <v>12</v>
      </c>
      <c r="C101">
        <v>234</v>
      </c>
      <c r="D101">
        <v>-1.4687354883274001E-2</v>
      </c>
      <c r="E101" s="3">
        <f>(Block[[#This Row],[disp_block]]--0.0145666666666666)/-0.0145666666666666</f>
        <v>8.2852322613776921E-3</v>
      </c>
    </row>
    <row r="102" spans="1:5" x14ac:dyDescent="0.3">
      <c r="A102">
        <v>5</v>
      </c>
      <c r="B102">
        <v>9</v>
      </c>
      <c r="C102">
        <v>180</v>
      </c>
      <c r="D102">
        <v>-1.45067028937273E-2</v>
      </c>
      <c r="E102" s="3">
        <f>(Block[[#This Row],[disp_block]]--0.0145666666666666)/-0.0145666666666666</f>
        <v>-4.1165061514393132E-3</v>
      </c>
    </row>
    <row r="103" spans="1:5" x14ac:dyDescent="0.3">
      <c r="A103">
        <v>5</v>
      </c>
      <c r="B103">
        <v>6</v>
      </c>
      <c r="C103">
        <v>126</v>
      </c>
      <c r="D103">
        <v>-1.40613279080789E-2</v>
      </c>
      <c r="E103" s="3">
        <f>(Block[[#This Row],[disp_block]]--0.0145666666666666)/-0.0145666666666666</f>
        <v>-3.4691447957965756E-2</v>
      </c>
    </row>
    <row r="104" spans="1:5" x14ac:dyDescent="0.3">
      <c r="A104">
        <v>4</v>
      </c>
      <c r="B104">
        <v>120</v>
      </c>
      <c r="C104">
        <v>1815</v>
      </c>
      <c r="D104">
        <v>-1.4975203895956401E-2</v>
      </c>
      <c r="E104" s="3">
        <f>(Block[[#This Row],[disp_block]]--0.0145666666666666)/-0.0145666666666666</f>
        <v>2.8046034047354902E-2</v>
      </c>
    </row>
    <row r="105" spans="1:5" x14ac:dyDescent="0.3">
      <c r="A105">
        <v>4</v>
      </c>
      <c r="B105">
        <v>102</v>
      </c>
      <c r="C105">
        <v>1545</v>
      </c>
      <c r="D105">
        <v>-1.49737725312025E-2</v>
      </c>
      <c r="E105" s="3">
        <f>(Block[[#This Row],[disp_block]]--0.0145666666666666)/-0.0145666666666666</f>
        <v>2.7947771020771353E-2</v>
      </c>
    </row>
    <row r="106" spans="1:5" x14ac:dyDescent="0.3">
      <c r="A106">
        <v>4</v>
      </c>
      <c r="B106">
        <v>87</v>
      </c>
      <c r="C106">
        <v>1320</v>
      </c>
      <c r="D106">
        <v>-1.4971944688612199E-2</v>
      </c>
      <c r="E106" s="3">
        <f>(Block[[#This Row],[disp_block]]--0.0145666666666666)/-0.0145666666666666</f>
        <v>2.7822289836082516E-2</v>
      </c>
    </row>
    <row r="107" spans="1:5" x14ac:dyDescent="0.3">
      <c r="A107">
        <v>4</v>
      </c>
      <c r="B107">
        <v>72</v>
      </c>
      <c r="C107">
        <v>1095</v>
      </c>
      <c r="D107">
        <v>-1.49690335653798E-2</v>
      </c>
      <c r="E107" s="3">
        <f>(Block[[#This Row],[disp_block]]--0.0145666666666666)/-0.0145666666666666</f>
        <v>2.7622441559258748E-2</v>
      </c>
    </row>
    <row r="108" spans="1:5" x14ac:dyDescent="0.3">
      <c r="A108">
        <v>4</v>
      </c>
      <c r="B108">
        <v>63</v>
      </c>
      <c r="C108">
        <v>960</v>
      </c>
      <c r="D108">
        <v>-1.49663371590554E-2</v>
      </c>
      <c r="E108" s="3">
        <f>(Block[[#This Row],[disp_block]]--0.0145666666666666)/-0.0145666666666666</f>
        <v>2.7437333573602035E-2</v>
      </c>
    </row>
    <row r="109" spans="1:5" x14ac:dyDescent="0.3">
      <c r="A109">
        <v>4</v>
      </c>
      <c r="B109">
        <v>54</v>
      </c>
      <c r="C109">
        <v>825</v>
      </c>
      <c r="D109">
        <v>-1.49623303642812E-2</v>
      </c>
      <c r="E109" s="3">
        <f>(Block[[#This Row],[disp_block]]--0.0145666666666666)/-0.0145666666666666</f>
        <v>2.7162267570796515E-2</v>
      </c>
    </row>
    <row r="110" spans="1:5" x14ac:dyDescent="0.3">
      <c r="A110">
        <v>4</v>
      </c>
      <c r="B110">
        <v>45</v>
      </c>
      <c r="C110">
        <v>690</v>
      </c>
      <c r="D110">
        <v>-1.49558886322566E-2</v>
      </c>
      <c r="E110" s="3">
        <f>(Block[[#This Row],[disp_block]]--0.0145666666666666)/-0.0145666666666666</f>
        <v>2.6720043404347995E-2</v>
      </c>
    </row>
    <row r="111" spans="1:5" x14ac:dyDescent="0.3">
      <c r="A111">
        <v>4</v>
      </c>
      <c r="B111">
        <v>39</v>
      </c>
      <c r="C111">
        <v>600</v>
      </c>
      <c r="D111">
        <v>-1.4949026495577901E-2</v>
      </c>
      <c r="E111" s="3">
        <f>(Block[[#This Row],[disp_block]]--0.0145666666666666)/-0.0145666666666666</f>
        <v>2.6248958506496774E-2</v>
      </c>
    </row>
    <row r="112" spans="1:5" x14ac:dyDescent="0.3">
      <c r="A112">
        <v>4</v>
      </c>
      <c r="B112">
        <v>33</v>
      </c>
      <c r="C112">
        <v>510</v>
      </c>
      <c r="D112">
        <v>-1.49381752614825E-2</v>
      </c>
      <c r="E112" s="3">
        <f>(Block[[#This Row],[disp_block]]--0.0145666666666666)/-0.0145666666666666</f>
        <v>2.5504022527407508E-2</v>
      </c>
    </row>
    <row r="113" spans="1:5" x14ac:dyDescent="0.3">
      <c r="A113">
        <v>4</v>
      </c>
      <c r="B113">
        <v>27</v>
      </c>
      <c r="C113">
        <v>420</v>
      </c>
      <c r="D113">
        <v>-1.49193912470747E-2</v>
      </c>
      <c r="E113" s="3">
        <f>(Block[[#This Row],[disp_block]]--0.0145666666666666)/-0.0145666666666666</f>
        <v>2.4214502087512732E-2</v>
      </c>
    </row>
    <row r="114" spans="1:5" x14ac:dyDescent="0.3">
      <c r="A114">
        <v>4</v>
      </c>
      <c r="B114">
        <v>24</v>
      </c>
      <c r="C114">
        <v>375</v>
      </c>
      <c r="D114">
        <v>-1.4904387486975E-2</v>
      </c>
      <c r="E114" s="3">
        <f>(Block[[#This Row],[disp_block]]--0.0145666666666666)/-0.0145666666666666</f>
        <v>2.3184495673345698E-2</v>
      </c>
    </row>
    <row r="115" spans="1:5" x14ac:dyDescent="0.3">
      <c r="A115">
        <v>4</v>
      </c>
      <c r="B115">
        <v>21</v>
      </c>
      <c r="C115">
        <v>330</v>
      </c>
      <c r="D115">
        <v>-1.4882734000527101E-2</v>
      </c>
      <c r="E115" s="3">
        <f>(Block[[#This Row],[disp_block]]--0.0145666666666666)/-0.0145666666666666</f>
        <v>2.1697986306213016E-2</v>
      </c>
    </row>
    <row r="116" spans="1:5" x14ac:dyDescent="0.3">
      <c r="A116">
        <v>4</v>
      </c>
      <c r="B116">
        <v>18</v>
      </c>
      <c r="C116">
        <v>285</v>
      </c>
      <c r="D116">
        <v>-1.48500488228581E-2</v>
      </c>
      <c r="E116" s="3">
        <f>(Block[[#This Row],[disp_block]]--0.0145666666666666)/-0.0145666666666666</f>
        <v>1.9454152598958978E-2</v>
      </c>
    </row>
    <row r="117" spans="1:5" x14ac:dyDescent="0.3">
      <c r="A117">
        <v>4</v>
      </c>
      <c r="B117">
        <v>15</v>
      </c>
      <c r="C117">
        <v>240</v>
      </c>
      <c r="D117">
        <v>-1.47977446324372E-2</v>
      </c>
      <c r="E117" s="3">
        <f>(Block[[#This Row],[disp_block]]--0.0145666666666666)/-0.0145666666666666</f>
        <v>1.5863475911025268E-2</v>
      </c>
    </row>
    <row r="118" spans="1:5" x14ac:dyDescent="0.3">
      <c r="A118">
        <v>4</v>
      </c>
      <c r="B118">
        <v>12</v>
      </c>
      <c r="C118">
        <v>195</v>
      </c>
      <c r="D118">
        <v>-1.47068344701437E-2</v>
      </c>
      <c r="E118" s="3">
        <f>(Block[[#This Row],[disp_block]]--0.0145666666666666)/-0.0145666666666666</f>
        <v>9.6225036711969029E-3</v>
      </c>
    </row>
    <row r="119" spans="1:5" x14ac:dyDescent="0.3">
      <c r="A119">
        <v>4</v>
      </c>
      <c r="B119">
        <v>9</v>
      </c>
      <c r="C119">
        <v>150</v>
      </c>
      <c r="D119">
        <v>-1.4527021273477899E-2</v>
      </c>
      <c r="E119" s="3">
        <f>(Block[[#This Row],[disp_block]]--0.0145666666666666)/-0.0145666666666666</f>
        <v>-2.7216517063180876E-3</v>
      </c>
    </row>
    <row r="120" spans="1:5" x14ac:dyDescent="0.3">
      <c r="A120">
        <v>4</v>
      </c>
      <c r="B120">
        <v>6</v>
      </c>
      <c r="C120">
        <v>105</v>
      </c>
      <c r="D120">
        <v>-1.40813977909247E-2</v>
      </c>
      <c r="E120" s="3">
        <f>(Block[[#This Row],[disp_block]]--0.0145666666666666)/-0.0145666666666666</f>
        <v>-3.3313652796926906E-2</v>
      </c>
    </row>
    <row r="121" spans="1:5" x14ac:dyDescent="0.3">
      <c r="A121">
        <v>3</v>
      </c>
      <c r="B121">
        <v>120</v>
      </c>
      <c r="C121">
        <v>1452</v>
      </c>
      <c r="D121">
        <v>-1.50030791490189E-2</v>
      </c>
      <c r="E121" s="3">
        <f>(Block[[#This Row],[disp_block]]--0.0145666666666666)/-0.0145666666666666</f>
        <v>2.9959666980707306E-2</v>
      </c>
    </row>
    <row r="122" spans="1:5" x14ac:dyDescent="0.3">
      <c r="A122">
        <v>3</v>
      </c>
      <c r="B122">
        <v>102</v>
      </c>
      <c r="C122">
        <v>1236</v>
      </c>
      <c r="D122">
        <v>-1.50017437730728E-2</v>
      </c>
      <c r="E122" s="3">
        <f>(Block[[#This Row],[disp_block]]--0.0145666666666666)/-0.0145666666666666</f>
        <v>2.9867993574796515E-2</v>
      </c>
    </row>
    <row r="123" spans="1:5" x14ac:dyDescent="0.3">
      <c r="A123">
        <v>3</v>
      </c>
      <c r="B123">
        <v>87</v>
      </c>
      <c r="C123">
        <v>1056</v>
      </c>
      <c r="D123">
        <v>-1.5000005404267E-2</v>
      </c>
      <c r="E123" s="3">
        <f>(Block[[#This Row],[disp_block]]--0.0145666666666666)/-0.0145666666666666</f>
        <v>2.974865475517641E-2</v>
      </c>
    </row>
    <row r="124" spans="1:5" x14ac:dyDescent="0.3">
      <c r="A124">
        <v>3</v>
      </c>
      <c r="B124">
        <v>72</v>
      </c>
      <c r="C124">
        <v>876</v>
      </c>
      <c r="D124">
        <v>-1.4997187338432499E-2</v>
      </c>
      <c r="E124" s="3">
        <f>(Block[[#This Row],[disp_block]]--0.0145666666666666)/-0.0145666666666666</f>
        <v>2.9555194858071079E-2</v>
      </c>
    </row>
    <row r="125" spans="1:5" x14ac:dyDescent="0.3">
      <c r="A125">
        <v>3</v>
      </c>
      <c r="B125">
        <v>63</v>
      </c>
      <c r="C125">
        <v>768</v>
      </c>
      <c r="D125">
        <v>-1.49945472723248E-2</v>
      </c>
      <c r="E125" s="3">
        <f>(Block[[#This Row],[disp_block]]--0.0145666666666666)/-0.0145666666666666</f>
        <v>2.9373954621844594E-2</v>
      </c>
    </row>
    <row r="126" spans="1:5" x14ac:dyDescent="0.3">
      <c r="A126">
        <v>3</v>
      </c>
      <c r="B126">
        <v>54</v>
      </c>
      <c r="C126">
        <v>660</v>
      </c>
      <c r="D126">
        <v>-1.49906057518543E-2</v>
      </c>
      <c r="E126" s="3">
        <f>(Block[[#This Row],[disp_block]]--0.0145666666666666)/-0.0145666666666666</f>
        <v>2.9103369692519622E-2</v>
      </c>
    </row>
    <row r="127" spans="1:5" x14ac:dyDescent="0.3">
      <c r="A127">
        <v>3</v>
      </c>
      <c r="B127">
        <v>45</v>
      </c>
      <c r="C127">
        <v>552</v>
      </c>
      <c r="D127">
        <v>-1.4984282136706601E-2</v>
      </c>
      <c r="E127" s="3">
        <f>(Block[[#This Row],[disp_block]]--0.0145666666666666)/-0.0145666666666666</f>
        <v>2.8669254236155833E-2</v>
      </c>
    </row>
    <row r="128" spans="1:5" x14ac:dyDescent="0.3">
      <c r="A128">
        <v>3</v>
      </c>
      <c r="B128">
        <v>39</v>
      </c>
      <c r="C128">
        <v>480</v>
      </c>
      <c r="D128">
        <v>-1.4977602927794801E-2</v>
      </c>
      <c r="E128" s="3">
        <f>(Block[[#This Row],[disp_block]]--0.0145666666666666)/-0.0145666666666666</f>
        <v>2.8210727308572301E-2</v>
      </c>
    </row>
    <row r="129" spans="1:5" x14ac:dyDescent="0.3">
      <c r="A129">
        <v>3</v>
      </c>
      <c r="B129">
        <v>33</v>
      </c>
      <c r="C129">
        <v>408</v>
      </c>
      <c r="D129">
        <v>-1.4967166426095E-2</v>
      </c>
      <c r="E129" s="3">
        <f>(Block[[#This Row],[disp_block]]--0.0145666666666666)/-0.0145666666666666</f>
        <v>2.7494262660988734E-2</v>
      </c>
    </row>
    <row r="130" spans="1:5" x14ac:dyDescent="0.3">
      <c r="A130">
        <v>3</v>
      </c>
      <c r="B130">
        <v>27</v>
      </c>
      <c r="C130">
        <v>336</v>
      </c>
      <c r="D130">
        <v>-1.4949331048752601E-2</v>
      </c>
      <c r="E130" s="3">
        <f>(Block[[#This Row],[disp_block]]--0.0145666666666666)/-0.0145666666666666</f>
        <v>2.6269866047094033E-2</v>
      </c>
    </row>
    <row r="131" spans="1:5" x14ac:dyDescent="0.3">
      <c r="A131">
        <v>3</v>
      </c>
      <c r="B131">
        <v>24</v>
      </c>
      <c r="C131">
        <v>300</v>
      </c>
      <c r="D131">
        <v>-1.4935166361091099E-2</v>
      </c>
      <c r="E131" s="3">
        <f>(Block[[#This Row],[disp_block]]--0.0145666666666666)/-0.0145666666666666</f>
        <v>2.5297461859805616E-2</v>
      </c>
    </row>
    <row r="132" spans="1:5" x14ac:dyDescent="0.3">
      <c r="A132">
        <v>3</v>
      </c>
      <c r="B132">
        <v>21</v>
      </c>
      <c r="C132">
        <v>264</v>
      </c>
      <c r="D132">
        <v>-1.4914712285628301E-2</v>
      </c>
      <c r="E132" s="3">
        <f>(Block[[#This Row],[disp_block]]--0.0145666666666666)/-0.0145666666666666</f>
        <v>2.3893291919567704E-2</v>
      </c>
    </row>
    <row r="133" spans="1:5" x14ac:dyDescent="0.3">
      <c r="A133">
        <v>3</v>
      </c>
      <c r="B133">
        <v>18</v>
      </c>
      <c r="C133">
        <v>228</v>
      </c>
      <c r="D133">
        <v>-1.48836627258499E-2</v>
      </c>
      <c r="E133" s="3">
        <f>(Block[[#This Row],[disp_block]]--0.0145666666666666)/-0.0145666666666666</f>
        <v>2.1761743193361695E-2</v>
      </c>
    </row>
    <row r="134" spans="1:5" x14ac:dyDescent="0.3">
      <c r="A134">
        <v>3</v>
      </c>
      <c r="B134">
        <v>15</v>
      </c>
      <c r="C134">
        <v>192</v>
      </c>
      <c r="D134">
        <v>-1.48334282998895E-2</v>
      </c>
      <c r="E134" s="3">
        <f>(Block[[#This Row],[disp_block]]--0.0145666666666666)/-0.0145666666666666</f>
        <v>1.8313155598826188E-2</v>
      </c>
    </row>
    <row r="135" spans="1:5" x14ac:dyDescent="0.3">
      <c r="A135">
        <v>3</v>
      </c>
      <c r="B135">
        <v>12</v>
      </c>
      <c r="C135">
        <v>156</v>
      </c>
      <c r="D135">
        <v>-1.47448150004349E-2</v>
      </c>
      <c r="E135" s="3">
        <f>(Block[[#This Row],[disp_block]]--0.0145666666666666)/-0.0145666666666666</f>
        <v>1.2229862730089349E-2</v>
      </c>
    </row>
    <row r="136" spans="1:5" x14ac:dyDescent="0.3">
      <c r="A136">
        <v>3</v>
      </c>
      <c r="B136">
        <v>9</v>
      </c>
      <c r="C136">
        <v>120</v>
      </c>
      <c r="D136">
        <v>-1.45669112837945E-2</v>
      </c>
      <c r="E136" s="3">
        <f>(Block[[#This Row],[disp_block]]--0.0145666666666666)/-0.0145666666666666</f>
        <v>1.6792937842160506E-5</v>
      </c>
    </row>
    <row r="137" spans="1:5" x14ac:dyDescent="0.3">
      <c r="A137">
        <v>3</v>
      </c>
      <c r="B137">
        <v>6</v>
      </c>
      <c r="C137">
        <v>84</v>
      </c>
      <c r="D137">
        <v>-1.4121459041028701E-2</v>
      </c>
      <c r="E137" s="3">
        <f>(Block[[#This Row],[disp_block]]--0.0145666666666666)/-0.0145666666666666</f>
        <v>-3.0563452560954284E-2</v>
      </c>
    </row>
    <row r="138" spans="1:5" x14ac:dyDescent="0.3">
      <c r="A138">
        <v>2</v>
      </c>
      <c r="B138">
        <v>120</v>
      </c>
      <c r="C138">
        <v>1089</v>
      </c>
      <c r="D138">
        <v>-1.50476053360361E-2</v>
      </c>
      <c r="E138" s="3">
        <f>(Block[[#This Row],[disp_block]]--0.0145666666666666)/-0.0145666666666666</f>
        <v>3.301638462490869E-2</v>
      </c>
    </row>
    <row r="139" spans="1:5" x14ac:dyDescent="0.3">
      <c r="A139">
        <v>2</v>
      </c>
      <c r="B139">
        <v>102</v>
      </c>
      <c r="C139">
        <v>927</v>
      </c>
      <c r="D139">
        <v>-1.50464322855084E-2</v>
      </c>
      <c r="E139" s="3">
        <f>(Block[[#This Row],[disp_block]]--0.0145666666666666)/-0.0145666666666666</f>
        <v>3.2935854840398376E-2</v>
      </c>
    </row>
    <row r="140" spans="1:5" x14ac:dyDescent="0.3">
      <c r="A140">
        <v>2</v>
      </c>
      <c r="B140">
        <v>87</v>
      </c>
      <c r="C140">
        <v>792</v>
      </c>
      <c r="D140">
        <v>-1.5044872364830601E-2</v>
      </c>
      <c r="E140" s="3">
        <f>(Block[[#This Row],[disp_block]]--0.0145666666666666)/-0.0145666666666666</f>
        <v>3.2828766464348062E-2</v>
      </c>
    </row>
    <row r="141" spans="1:5" x14ac:dyDescent="0.3">
      <c r="A141">
        <v>2</v>
      </c>
      <c r="B141">
        <v>72</v>
      </c>
      <c r="C141">
        <v>657</v>
      </c>
      <c r="D141">
        <v>-1.5042285827410899E-2</v>
      </c>
      <c r="E141" s="3">
        <f>(Block[[#This Row],[disp_block]]--0.0145666666666666)/-0.0145666666666666</f>
        <v>3.2651200966428061E-2</v>
      </c>
    </row>
    <row r="142" spans="1:5" x14ac:dyDescent="0.3">
      <c r="A142">
        <v>2</v>
      </c>
      <c r="B142">
        <v>63</v>
      </c>
      <c r="C142">
        <v>576</v>
      </c>
      <c r="D142">
        <v>-1.5039817173445401E-2</v>
      </c>
      <c r="E142" s="3">
        <f>(Block[[#This Row],[disp_block]]--0.0145666666666666)/-0.0145666666666666</f>
        <v>3.2481728154151283E-2</v>
      </c>
    </row>
    <row r="143" spans="1:5" x14ac:dyDescent="0.3">
      <c r="A143">
        <v>2</v>
      </c>
      <c r="B143">
        <v>54</v>
      </c>
      <c r="C143">
        <v>495</v>
      </c>
      <c r="D143">
        <v>-1.5036079127689001E-2</v>
      </c>
      <c r="E143" s="3">
        <f>(Block[[#This Row],[disp_block]]--0.0145666666666666)/-0.0145666666666666</f>
        <v>3.2225111740668444E-2</v>
      </c>
    </row>
    <row r="144" spans="1:5" x14ac:dyDescent="0.3">
      <c r="A144">
        <v>2</v>
      </c>
      <c r="B144">
        <v>45</v>
      </c>
      <c r="C144">
        <v>414</v>
      </c>
      <c r="D144">
        <v>-1.50300114021307E-2</v>
      </c>
      <c r="E144" s="3">
        <f>(Block[[#This Row],[disp_block]]--0.0145666666666666)/-0.0145666666666666</f>
        <v>3.1808563075338837E-2</v>
      </c>
    </row>
    <row r="145" spans="1:5" x14ac:dyDescent="0.3">
      <c r="A145">
        <v>2</v>
      </c>
      <c r="B145">
        <v>39</v>
      </c>
      <c r="C145">
        <v>360</v>
      </c>
      <c r="D145">
        <v>-1.50235682616611E-2</v>
      </c>
      <c r="E145" s="3">
        <f>(Block[[#This Row],[disp_block]]--0.0145666666666666)/-0.0145666666666666</f>
        <v>3.1366242219302252E-2</v>
      </c>
    </row>
    <row r="146" spans="1:5" x14ac:dyDescent="0.3">
      <c r="A146">
        <v>2</v>
      </c>
      <c r="B146">
        <v>33</v>
      </c>
      <c r="C146">
        <v>306</v>
      </c>
      <c r="D146">
        <v>-1.5013509943823101E-2</v>
      </c>
      <c r="E146" s="3">
        <f>(Block[[#This Row],[disp_block]]--0.0145666666666666)/-0.0145666666666666</f>
        <v>3.0675739850560883E-2</v>
      </c>
    </row>
    <row r="147" spans="1:5" x14ac:dyDescent="0.3">
      <c r="A147">
        <v>2</v>
      </c>
      <c r="B147">
        <v>27</v>
      </c>
      <c r="C147">
        <v>252</v>
      </c>
      <c r="D147">
        <v>-1.49964449976098E-2</v>
      </c>
      <c r="E147" s="3">
        <f>(Block[[#This Row],[disp_block]]--0.0145666666666666)/-0.0145666666666666</f>
        <v>2.9504233245528765E-2</v>
      </c>
    </row>
    <row r="148" spans="1:5" x14ac:dyDescent="0.3">
      <c r="A148">
        <v>2</v>
      </c>
      <c r="B148">
        <v>24</v>
      </c>
      <c r="C148">
        <v>225</v>
      </c>
      <c r="D148">
        <v>-1.49830038177198E-2</v>
      </c>
      <c r="E148" s="3">
        <f>(Block[[#This Row],[disp_block]]--0.0145666666666666)/-0.0145666666666666</f>
        <v>2.8581497783972704E-2</v>
      </c>
    </row>
    <row r="149" spans="1:5" x14ac:dyDescent="0.3">
      <c r="A149">
        <v>2</v>
      </c>
      <c r="B149">
        <v>21</v>
      </c>
      <c r="C149">
        <v>198</v>
      </c>
      <c r="D149">
        <v>-1.49637064292988E-2</v>
      </c>
      <c r="E149" s="3">
        <f>(Block[[#This Row],[disp_block]]--0.0145666666666666)/-0.0145666666666666</f>
        <v>2.7256734276810229E-2</v>
      </c>
    </row>
    <row r="150" spans="1:5" x14ac:dyDescent="0.3">
      <c r="A150">
        <v>2</v>
      </c>
      <c r="B150">
        <v>18</v>
      </c>
      <c r="C150">
        <v>171</v>
      </c>
      <c r="D150">
        <v>-1.49345035618996E-2</v>
      </c>
      <c r="E150" s="3">
        <f>(Block[[#This Row],[disp_block]]--0.0145666666666666)/-0.0145666666666666</f>
        <v>2.5251960771144312E-2</v>
      </c>
    </row>
    <row r="151" spans="1:5" x14ac:dyDescent="0.3">
      <c r="A151">
        <v>2</v>
      </c>
      <c r="B151">
        <v>15</v>
      </c>
      <c r="C151">
        <v>144</v>
      </c>
      <c r="D151">
        <v>-1.48871217095152E-2</v>
      </c>
      <c r="E151" s="3">
        <f>(Block[[#This Row],[disp_block]]--0.0145666666666666)/-0.0145666666666666</f>
        <v>2.199920202621981E-2</v>
      </c>
    </row>
    <row r="152" spans="1:5" x14ac:dyDescent="0.3">
      <c r="A152">
        <v>2</v>
      </c>
      <c r="B152">
        <v>12</v>
      </c>
      <c r="C152">
        <v>117</v>
      </c>
      <c r="D152">
        <v>-1.4802550760985101E-2</v>
      </c>
      <c r="E152" s="3">
        <f>(Block[[#This Row],[disp_block]]--0.0145666666666666)/-0.0145666666666666</f>
        <v>1.6193416085938384E-2</v>
      </c>
    </row>
    <row r="153" spans="1:5" x14ac:dyDescent="0.3">
      <c r="A153">
        <v>2</v>
      </c>
      <c r="B153">
        <v>9</v>
      </c>
      <c r="C153">
        <v>90</v>
      </c>
      <c r="D153">
        <v>-1.46293340118097E-2</v>
      </c>
      <c r="E153" s="3">
        <f>(Block[[#This Row],[disp_block]]--0.0145666666666666)/-0.0145666666666666</f>
        <v>4.3021060738970785E-3</v>
      </c>
    </row>
    <row r="154" spans="1:5" x14ac:dyDescent="0.3">
      <c r="A154">
        <v>2</v>
      </c>
      <c r="B154">
        <v>6</v>
      </c>
      <c r="C154">
        <v>63</v>
      </c>
      <c r="D154">
        <v>-1.41867828954878E-2</v>
      </c>
      <c r="E154" s="3">
        <f>(Block[[#This Row],[disp_block]]--0.0145666666666666)/-0.0145666666666666</f>
        <v>-2.6078977426462289E-2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FA600-0320-4DF8-AE37-9F57C4B5FADF}">
  <dimension ref="A1:U154"/>
  <sheetViews>
    <sheetView topLeftCell="F1" workbookViewId="0">
      <selection activeCell="P2" sqref="P2"/>
    </sheetView>
  </sheetViews>
  <sheetFormatPr defaultRowHeight="14.4" x14ac:dyDescent="0.3"/>
  <cols>
    <col min="16" max="17" width="14.44140625" style="3" bestFit="1" customWidth="1"/>
    <col min="18" max="19" width="14.88671875" style="3" bestFit="1" customWidth="1"/>
    <col min="21" max="21" width="7.77734375" bestFit="1" customWidth="1"/>
  </cols>
  <sheetData>
    <row r="1" spans="1:21" x14ac:dyDescent="0.3">
      <c r="A1" s="1"/>
      <c r="B1" s="2"/>
      <c r="C1" s="2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" t="s">
        <v>12</v>
      </c>
      <c r="M1" s="4" t="s">
        <v>13</v>
      </c>
      <c r="N1" s="4" t="s">
        <v>14</v>
      </c>
      <c r="O1" s="5" t="s">
        <v>15</v>
      </c>
      <c r="P1" s="4" t="s">
        <v>20</v>
      </c>
      <c r="Q1" s="4" t="s">
        <v>21</v>
      </c>
      <c r="R1" s="4" t="s">
        <v>22</v>
      </c>
      <c r="S1" s="4" t="s">
        <v>23</v>
      </c>
      <c r="T1" s="6" t="s">
        <v>1</v>
      </c>
      <c r="U1" s="6" t="s">
        <v>0</v>
      </c>
    </row>
    <row r="2" spans="1:21" x14ac:dyDescent="0.3">
      <c r="A2" cm="1">
        <f t="array" ref="A2:O154">Constraint[]-Penalty[]</f>
        <v>0</v>
      </c>
      <c r="B2">
        <v>0</v>
      </c>
      <c r="C2">
        <v>0</v>
      </c>
      <c r="D2">
        <v>0</v>
      </c>
      <c r="E2">
        <v>1.1466870248992567E-6</v>
      </c>
      <c r="F2">
        <v>0</v>
      </c>
      <c r="G2">
        <v>1.1576250205994065E-6</v>
      </c>
      <c r="H2">
        <v>0</v>
      </c>
      <c r="I2">
        <v>1.147184682200042E-6</v>
      </c>
      <c r="J2">
        <v>0</v>
      </c>
      <c r="K2">
        <v>1.1669158065004404E-6</v>
      </c>
      <c r="L2">
        <v>-7.8719933059447078E-5</v>
      </c>
      <c r="M2">
        <v>-7.9470825212774737E-5</v>
      </c>
      <c r="N2">
        <v>-7.8754097176204907E-5</v>
      </c>
      <c r="O2">
        <v>-8.0108636601860378E-5</v>
      </c>
      <c r="P2" s="3" cm="1">
        <f t="array" ref="P2:P154">ABS(E2/Constraint[disp_t3])</f>
        <v>7.7045613622233841E-5</v>
      </c>
      <c r="Q2" s="3" cm="1">
        <f t="array" ref="Q2:Q154">ABS(G2/Constraint[disp_t6])</f>
        <v>7.7134948925567664E-5</v>
      </c>
      <c r="R2" s="3" cm="1">
        <f t="array" ref="R2:R154">ABS(I2/Constraint[disp_q4])</f>
        <v>7.693571014348359E-5</v>
      </c>
      <c r="S2" s="3" cm="1">
        <f t="array" ref="S2:S154">ABS(K2/Constraint[disp_q8])</f>
        <v>7.7689739349109924E-5</v>
      </c>
      <c r="T2">
        <f>Constraint[[#This Row],[nx]]</f>
        <v>120</v>
      </c>
      <c r="U2" cm="1">
        <f t="array" ref="U2:U154">Constraint[ny]</f>
        <v>20</v>
      </c>
    </row>
    <row r="3" spans="1:21" x14ac:dyDescent="0.3">
      <c r="A3">
        <v>0</v>
      </c>
      <c r="B3">
        <v>0</v>
      </c>
      <c r="C3">
        <v>0</v>
      </c>
      <c r="D3">
        <v>0</v>
      </c>
      <c r="E3">
        <v>1.1422107441001056E-6</v>
      </c>
      <c r="F3">
        <v>0</v>
      </c>
      <c r="G3">
        <v>1.1537388048994679E-6</v>
      </c>
      <c r="H3">
        <v>0</v>
      </c>
      <c r="I3">
        <v>1.1436026007994454E-6</v>
      </c>
      <c r="J3">
        <v>0</v>
      </c>
      <c r="K3">
        <v>1.1625331055985927E-6</v>
      </c>
      <c r="L3">
        <v>-7.8412636894745202E-5</v>
      </c>
      <c r="M3">
        <v>-7.9204036949619833E-5</v>
      </c>
      <c r="N3">
        <v>-7.8508187697903797E-5</v>
      </c>
      <c r="O3">
        <v>-7.9807764686402188E-5</v>
      </c>
      <c r="P3" s="3">
        <v>7.709025000040293E-5</v>
      </c>
      <c r="Q3" s="3">
        <v>7.719091775876632E-5</v>
      </c>
      <c r="R3" s="3">
        <v>7.6962724441682328E-5</v>
      </c>
      <c r="S3" s="3">
        <v>7.7772241532081851E-5</v>
      </c>
      <c r="T3">
        <f>Constraint[[#This Row],[nx]]</f>
        <v>102</v>
      </c>
      <c r="U3">
        <v>20</v>
      </c>
    </row>
    <row r="4" spans="1:21" x14ac:dyDescent="0.3">
      <c r="A4">
        <v>0</v>
      </c>
      <c r="B4">
        <v>0</v>
      </c>
      <c r="C4">
        <v>0</v>
      </c>
      <c r="D4">
        <v>0</v>
      </c>
      <c r="E4">
        <v>1.1380088805988675E-6</v>
      </c>
      <c r="F4">
        <v>0</v>
      </c>
      <c r="G4">
        <v>1.1502361401006383E-6</v>
      </c>
      <c r="H4">
        <v>0</v>
      </c>
      <c r="I4">
        <v>1.1403642829997673E-6</v>
      </c>
      <c r="J4">
        <v>0</v>
      </c>
      <c r="K4">
        <v>1.158270744299611E-6</v>
      </c>
      <c r="L4">
        <v>-7.8124179446147773E-5</v>
      </c>
      <c r="M4">
        <v>-7.8963579411943374E-5</v>
      </c>
      <c r="N4">
        <v>-7.8285877551473315E-5</v>
      </c>
      <c r="O4">
        <v>-7.9515154070911032E-5</v>
      </c>
      <c r="P4" s="3">
        <v>7.7149068793026725E-5</v>
      </c>
      <c r="Q4" s="3">
        <v>7.7252538482127227E-5</v>
      </c>
      <c r="R4" s="3">
        <v>7.6997605856712369E-5</v>
      </c>
      <c r="S4" s="3">
        <v>7.7854520333367366E-5</v>
      </c>
      <c r="T4">
        <f>Constraint[[#This Row],[nx]]</f>
        <v>87</v>
      </c>
      <c r="U4">
        <v>20</v>
      </c>
    </row>
    <row r="5" spans="1:21" x14ac:dyDescent="0.3">
      <c r="A5">
        <v>0</v>
      </c>
      <c r="B5">
        <v>0</v>
      </c>
      <c r="C5">
        <v>0</v>
      </c>
      <c r="D5">
        <v>0</v>
      </c>
      <c r="E5">
        <v>1.1330556255999963E-6</v>
      </c>
      <c r="F5">
        <v>0</v>
      </c>
      <c r="G5">
        <v>1.1464553369994884E-6</v>
      </c>
      <c r="H5">
        <v>0</v>
      </c>
      <c r="I5">
        <v>1.1367615986006968E-6</v>
      </c>
      <c r="J5">
        <v>0</v>
      </c>
      <c r="K5">
        <v>1.1533899762009026E-6</v>
      </c>
      <c r="L5">
        <v>-7.7784139057207602E-5</v>
      </c>
      <c r="M5">
        <v>-7.8704027711637425E-5</v>
      </c>
      <c r="N5">
        <v>-7.8038553679680989E-5</v>
      </c>
      <c r="O5">
        <v>-7.9180089899377748E-5</v>
      </c>
      <c r="P5" s="3">
        <v>7.7244842187692219E-5</v>
      </c>
      <c r="Q5" s="3">
        <v>7.7334072633061541E-5</v>
      </c>
      <c r="R5" s="3">
        <v>7.7052922817795046E-5</v>
      </c>
      <c r="S5" s="3">
        <v>7.7953827341424933E-5</v>
      </c>
      <c r="T5">
        <f>Constraint[[#This Row],[nx]]</f>
        <v>72</v>
      </c>
      <c r="U5">
        <v>20</v>
      </c>
    </row>
    <row r="6" spans="1:21" x14ac:dyDescent="0.3">
      <c r="A6">
        <v>0</v>
      </c>
      <c r="B6">
        <v>0</v>
      </c>
      <c r="C6">
        <v>0</v>
      </c>
      <c r="D6">
        <v>0</v>
      </c>
      <c r="E6">
        <v>1.129441794200936E-6</v>
      </c>
      <c r="F6">
        <v>0</v>
      </c>
      <c r="G6">
        <v>1.1440292993995099E-6</v>
      </c>
      <c r="H6">
        <v>0</v>
      </c>
      <c r="I6">
        <v>1.1342984254005678E-6</v>
      </c>
      <c r="J6">
        <v>0</v>
      </c>
      <c r="K6">
        <v>1.1501524594999951E-6</v>
      </c>
      <c r="L6">
        <v>-7.7536049945144819E-5</v>
      </c>
      <c r="M6">
        <v>-7.8537480507973739E-5</v>
      </c>
      <c r="N6">
        <v>-7.7869457121321206E-5</v>
      </c>
      <c r="O6">
        <v>-7.8957834748281941E-5</v>
      </c>
      <c r="P6" s="3">
        <v>7.7334082342850788E-5</v>
      </c>
      <c r="Q6" s="3">
        <v>7.7396398560042678E-5</v>
      </c>
      <c r="R6" s="3">
        <v>7.7102978596597794E-5</v>
      </c>
      <c r="S6" s="3">
        <v>7.8024737993670742E-5</v>
      </c>
      <c r="T6">
        <f>Constraint[[#This Row],[nx]]</f>
        <v>63</v>
      </c>
      <c r="U6">
        <v>20</v>
      </c>
    </row>
    <row r="7" spans="1:21" x14ac:dyDescent="0.3">
      <c r="A7">
        <v>0</v>
      </c>
      <c r="B7">
        <v>0</v>
      </c>
      <c r="C7">
        <v>0</v>
      </c>
      <c r="D7">
        <v>0</v>
      </c>
      <c r="E7">
        <v>1.1249699003006153E-6</v>
      </c>
      <c r="F7">
        <v>0</v>
      </c>
      <c r="G7">
        <v>1.1414751084001806E-6</v>
      </c>
      <c r="H7">
        <v>0</v>
      </c>
      <c r="I7">
        <v>1.1314378802994296E-6</v>
      </c>
      <c r="J7">
        <v>0</v>
      </c>
      <c r="K7">
        <v>1.1466887820995447E-6</v>
      </c>
      <c r="L7">
        <v>-7.7229054940543274E-5</v>
      </c>
      <c r="M7">
        <v>-7.8362135588112142E-5</v>
      </c>
      <c r="N7">
        <v>-7.7673081027421209E-5</v>
      </c>
      <c r="O7">
        <v>-7.8720053691042069E-5</v>
      </c>
      <c r="P7" s="3">
        <v>7.7465762816774297E-5</v>
      </c>
      <c r="Q7" s="3">
        <v>7.7472775445544385E-5</v>
      </c>
      <c r="R7" s="3">
        <v>7.7174650224283897E-5</v>
      </c>
      <c r="S7" s="3">
        <v>7.8107723705675617E-5</v>
      </c>
      <c r="T7">
        <f>Constraint[[#This Row],[nx]]</f>
        <v>54</v>
      </c>
      <c r="U7">
        <v>20</v>
      </c>
    </row>
    <row r="8" spans="1:21" x14ac:dyDescent="0.3">
      <c r="A8">
        <v>0</v>
      </c>
      <c r="B8">
        <v>0</v>
      </c>
      <c r="C8">
        <v>0</v>
      </c>
      <c r="D8">
        <v>0</v>
      </c>
      <c r="E8">
        <v>1.1189664439002073E-6</v>
      </c>
      <c r="F8">
        <v>0</v>
      </c>
      <c r="G8">
        <v>1.1387672002004245E-6</v>
      </c>
      <c r="H8">
        <v>0</v>
      </c>
      <c r="I8">
        <v>1.1278491503004945E-6</v>
      </c>
      <c r="J8">
        <v>0</v>
      </c>
      <c r="K8">
        <v>1.1430053001998397E-6</v>
      </c>
      <c r="L8">
        <v>-7.681691834555103E-5</v>
      </c>
      <c r="M8">
        <v>-7.8176238000028653E-5</v>
      </c>
      <c r="N8">
        <v>-7.7426715123604661E-5</v>
      </c>
      <c r="O8">
        <v>-7.8467183080081077E-5</v>
      </c>
      <c r="P8" s="3">
        <v>7.7672979956616136E-5</v>
      </c>
      <c r="Q8" s="3">
        <v>7.7569104448763212E-5</v>
      </c>
      <c r="R8" s="3">
        <v>7.7283458104378486E-5</v>
      </c>
      <c r="S8" s="3">
        <v>7.8208437512417118E-5</v>
      </c>
      <c r="T8">
        <f>Constraint[[#This Row],[nx]]</f>
        <v>45</v>
      </c>
      <c r="U8">
        <v>20</v>
      </c>
    </row>
    <row r="9" spans="1:21" x14ac:dyDescent="0.3">
      <c r="A9">
        <v>0</v>
      </c>
      <c r="B9">
        <v>0</v>
      </c>
      <c r="C9">
        <v>0</v>
      </c>
      <c r="D9">
        <v>0</v>
      </c>
      <c r="E9">
        <v>1.1134553954995907E-6</v>
      </c>
      <c r="F9">
        <v>0</v>
      </c>
      <c r="G9">
        <v>1.1368691280998905E-6</v>
      </c>
      <c r="H9">
        <v>0</v>
      </c>
      <c r="I9">
        <v>1.1247057674999145E-6</v>
      </c>
      <c r="J9">
        <v>0</v>
      </c>
      <c r="K9">
        <v>1.1404355702987479E-6</v>
      </c>
      <c r="L9">
        <v>-7.6438585503404294E-5</v>
      </c>
      <c r="M9">
        <v>-7.8045935567497282E-5</v>
      </c>
      <c r="N9">
        <v>-7.7210922254000031E-5</v>
      </c>
      <c r="O9">
        <v>-7.8290771416390792E-5</v>
      </c>
      <c r="P9" s="3">
        <v>7.7886901043205251E-5</v>
      </c>
      <c r="Q9" s="3">
        <v>7.7649772979569229E-5</v>
      </c>
      <c r="R9" s="3">
        <v>7.7392293069758735E-5</v>
      </c>
      <c r="S9" s="3">
        <v>7.8290744062175721E-5</v>
      </c>
      <c r="T9">
        <f>Constraint[[#This Row],[nx]]</f>
        <v>39</v>
      </c>
      <c r="U9">
        <v>20</v>
      </c>
    </row>
    <row r="10" spans="1:21" x14ac:dyDescent="0.3">
      <c r="A10">
        <v>0</v>
      </c>
      <c r="B10">
        <v>0</v>
      </c>
      <c r="C10">
        <v>0</v>
      </c>
      <c r="D10">
        <v>0</v>
      </c>
      <c r="E10">
        <v>1.1058394104989516E-6</v>
      </c>
      <c r="F10">
        <v>0</v>
      </c>
      <c r="G10">
        <v>1.1348836360999121E-6</v>
      </c>
      <c r="H10">
        <v>0</v>
      </c>
      <c r="I10">
        <v>1.1204407559008145E-6</v>
      </c>
      <c r="J10">
        <v>0</v>
      </c>
      <c r="K10">
        <v>1.1377770714002949E-6</v>
      </c>
      <c r="L10">
        <v>-7.5915749004505303E-5</v>
      </c>
      <c r="M10">
        <v>-7.7909631768874332E-5</v>
      </c>
      <c r="N10">
        <v>-7.6918129695707771E-5</v>
      </c>
      <c r="O10">
        <v>-7.8108265771186652E-5</v>
      </c>
      <c r="P10" s="3">
        <v>7.8212238423185047E-5</v>
      </c>
      <c r="Q10" s="3">
        <v>7.7750995255893466E-5</v>
      </c>
      <c r="R10" s="3">
        <v>7.7553650243950258E-5</v>
      </c>
      <c r="S10" s="3">
        <v>7.8392616382245704E-5</v>
      </c>
      <c r="T10">
        <f>Constraint[[#This Row],[nx]]</f>
        <v>33</v>
      </c>
      <c r="U10">
        <v>20</v>
      </c>
    </row>
    <row r="11" spans="1:21" x14ac:dyDescent="0.3">
      <c r="A11">
        <v>0</v>
      </c>
      <c r="B11">
        <v>0</v>
      </c>
      <c r="C11">
        <v>0</v>
      </c>
      <c r="D11">
        <v>0</v>
      </c>
      <c r="E11">
        <v>1.0947096538999751E-6</v>
      </c>
      <c r="F11">
        <v>0</v>
      </c>
      <c r="G11">
        <v>1.1327913761009778E-6</v>
      </c>
      <c r="H11">
        <v>0</v>
      </c>
      <c r="I11">
        <v>1.1140468309991242E-6</v>
      </c>
      <c r="J11">
        <v>0</v>
      </c>
      <c r="K11">
        <v>1.135026663601213E-6</v>
      </c>
      <c r="L11">
        <v>-7.5151692487412816E-5</v>
      </c>
      <c r="M11">
        <v>-7.7765998359336647E-5</v>
      </c>
      <c r="N11">
        <v>-7.6479187482776656E-5</v>
      </c>
      <c r="O11">
        <v>-7.7919450590473865E-5</v>
      </c>
      <c r="P11" s="3">
        <v>7.8746893229540891E-5</v>
      </c>
      <c r="Q11" s="3">
        <v>7.7886014766825843E-5</v>
      </c>
      <c r="R11" s="3">
        <v>7.7813199652919789E-5</v>
      </c>
      <c r="S11" s="3">
        <v>7.8527424205941779E-5</v>
      </c>
      <c r="T11">
        <f>Constraint[[#This Row],[nx]]</f>
        <v>27</v>
      </c>
      <c r="U11">
        <v>20</v>
      </c>
    </row>
    <row r="12" spans="1:21" x14ac:dyDescent="0.3">
      <c r="A12">
        <v>0</v>
      </c>
      <c r="B12">
        <v>0</v>
      </c>
      <c r="C12">
        <v>0</v>
      </c>
      <c r="D12">
        <v>0</v>
      </c>
      <c r="E12">
        <v>1.0871967690995882E-6</v>
      </c>
      <c r="F12">
        <v>0</v>
      </c>
      <c r="G12">
        <v>1.1316908696996919E-6</v>
      </c>
      <c r="H12">
        <v>0</v>
      </c>
      <c r="I12">
        <v>1.1094321981010985E-6</v>
      </c>
      <c r="J12">
        <v>0</v>
      </c>
      <c r="K12">
        <v>1.1336119137006495E-6</v>
      </c>
      <c r="L12">
        <v>-7.4635933805464356E-5</v>
      </c>
      <c r="M12">
        <v>-7.7690448720805355E-5</v>
      </c>
      <c r="N12">
        <v>-7.6162393462317693E-5</v>
      </c>
      <c r="O12">
        <v>-7.782232817166862E-5</v>
      </c>
      <c r="P12" s="3">
        <v>7.9155569208270521E-5</v>
      </c>
      <c r="Q12" s="3">
        <v>7.7974229925127029E-5</v>
      </c>
      <c r="R12" s="3">
        <v>7.8009660929229821E-5</v>
      </c>
      <c r="S12" s="3">
        <v>7.8615293822595749E-5</v>
      </c>
      <c r="T12">
        <f>Constraint[[#This Row],[nx]]</f>
        <v>24</v>
      </c>
      <c r="U12">
        <v>20</v>
      </c>
    </row>
    <row r="13" spans="1:21" x14ac:dyDescent="0.3">
      <c r="A13">
        <v>0</v>
      </c>
      <c r="B13">
        <v>0</v>
      </c>
      <c r="C13">
        <v>0</v>
      </c>
      <c r="D13">
        <v>0</v>
      </c>
      <c r="E13">
        <v>1.0781150728000899E-6</v>
      </c>
      <c r="F13">
        <v>0</v>
      </c>
      <c r="G13">
        <v>1.1305424136003744E-6</v>
      </c>
      <c r="H13">
        <v>0</v>
      </c>
      <c r="I13">
        <v>1.1032573674994023E-6</v>
      </c>
      <c r="J13">
        <v>0</v>
      </c>
      <c r="K13">
        <v>1.1321649945987555E-6</v>
      </c>
      <c r="L13">
        <v>-7.4012476393599952E-5</v>
      </c>
      <c r="M13">
        <v>-7.7611607340984795E-5</v>
      </c>
      <c r="N13">
        <v>-7.5738492048014854E-5</v>
      </c>
      <c r="O13">
        <v>-7.7722997340875372E-5</v>
      </c>
      <c r="P13" s="3">
        <v>7.972539810717544E-5</v>
      </c>
      <c r="Q13" s="3">
        <v>7.8084406412184281E-5</v>
      </c>
      <c r="R13" s="3">
        <v>7.8283344765446493E-5</v>
      </c>
      <c r="S13" s="3">
        <v>7.8724998492500311E-5</v>
      </c>
      <c r="T13">
        <f>Constraint[[#This Row],[nx]]</f>
        <v>21</v>
      </c>
      <c r="U13">
        <v>20</v>
      </c>
    </row>
    <row r="14" spans="1:21" x14ac:dyDescent="0.3">
      <c r="A14">
        <v>0</v>
      </c>
      <c r="B14">
        <v>0</v>
      </c>
      <c r="C14">
        <v>0</v>
      </c>
      <c r="D14">
        <v>0</v>
      </c>
      <c r="E14">
        <v>1.0678440021012758E-6</v>
      </c>
      <c r="F14">
        <v>0</v>
      </c>
      <c r="G14">
        <v>1.1293195448010968E-6</v>
      </c>
      <c r="H14">
        <v>0</v>
      </c>
      <c r="I14">
        <v>1.0947620779997586E-6</v>
      </c>
      <c r="J14">
        <v>0</v>
      </c>
      <c r="K14">
        <v>1.1306657854998764E-6</v>
      </c>
      <c r="L14">
        <v>-7.3307368565304898E-5</v>
      </c>
      <c r="M14">
        <v>-7.7527657537834055E-5</v>
      </c>
      <c r="N14">
        <v>-7.515529139586483E-5</v>
      </c>
      <c r="O14">
        <v>-7.7620076807772415E-5</v>
      </c>
      <c r="P14" s="3">
        <v>8.0553049160283564E-5</v>
      </c>
      <c r="Q14" s="3">
        <v>7.8227932653514756E-5</v>
      </c>
      <c r="R14" s="3">
        <v>7.8683784808929302E-5</v>
      </c>
      <c r="S14" s="3">
        <v>7.8868118639355573E-5</v>
      </c>
      <c r="T14">
        <f>Constraint[[#This Row],[nx]]</f>
        <v>18</v>
      </c>
      <c r="U14">
        <v>20</v>
      </c>
    </row>
    <row r="15" spans="1:21" x14ac:dyDescent="0.3">
      <c r="A15">
        <v>0</v>
      </c>
      <c r="B15">
        <v>0</v>
      </c>
      <c r="C15">
        <v>0</v>
      </c>
      <c r="D15">
        <v>0</v>
      </c>
      <c r="E15">
        <v>1.0588429103994268E-6</v>
      </c>
      <c r="F15">
        <v>0</v>
      </c>
      <c r="G15">
        <v>1.1279656777999497E-6</v>
      </c>
      <c r="H15">
        <v>0</v>
      </c>
      <c r="I15">
        <v>1.082941386299982E-6</v>
      </c>
      <c r="J15">
        <v>0</v>
      </c>
      <c r="K15">
        <v>1.1291041644989619E-6</v>
      </c>
      <c r="L15">
        <v>-7.2689444649845503E-5</v>
      </c>
      <c r="M15">
        <v>-7.7434714723110046E-5</v>
      </c>
      <c r="N15">
        <v>-7.4343802263157101E-5</v>
      </c>
      <c r="O15">
        <v>-7.7512871704734504E-5</v>
      </c>
      <c r="P15" s="3">
        <v>8.1815761015428573E-5</v>
      </c>
      <c r="Q15" s="3">
        <v>7.8425280214659563E-5</v>
      </c>
      <c r="R15" s="3">
        <v>7.9308052205694974E-5</v>
      </c>
      <c r="S15" s="3">
        <v>7.9064818816803044E-5</v>
      </c>
      <c r="T15">
        <f>Constraint[[#This Row],[nx]]</f>
        <v>15</v>
      </c>
      <c r="U15">
        <v>20</v>
      </c>
    </row>
    <row r="16" spans="1:21" x14ac:dyDescent="0.3">
      <c r="A16">
        <v>0</v>
      </c>
      <c r="B16">
        <v>0</v>
      </c>
      <c r="C16">
        <v>0</v>
      </c>
      <c r="D16">
        <v>0</v>
      </c>
      <c r="E16">
        <v>1.0606744453005995E-6</v>
      </c>
      <c r="F16">
        <v>0</v>
      </c>
      <c r="G16">
        <v>1.1263467519003617E-6</v>
      </c>
      <c r="H16">
        <v>0</v>
      </c>
      <c r="I16">
        <v>1.0673640652991701E-6</v>
      </c>
      <c r="J16">
        <v>0</v>
      </c>
      <c r="K16">
        <v>1.1273068656007107E-6</v>
      </c>
      <c r="L16">
        <v>-7.2815179311250255E-5</v>
      </c>
      <c r="M16">
        <v>-7.7323575645334153E-5</v>
      </c>
      <c r="N16">
        <v>-7.327442095875214E-5</v>
      </c>
      <c r="O16">
        <v>-7.7389487341010185E-5</v>
      </c>
      <c r="P16" s="3">
        <v>8.3856662379932768E-5</v>
      </c>
      <c r="Q16" s="3">
        <v>7.8715670868047862E-5</v>
      </c>
      <c r="R16" s="3">
        <v>8.0366258338196927E-5</v>
      </c>
      <c r="S16" s="3">
        <v>7.9355522828819858E-5</v>
      </c>
      <c r="T16">
        <f>Constraint[[#This Row],[nx]]</f>
        <v>12</v>
      </c>
      <c r="U16">
        <v>20</v>
      </c>
    </row>
    <row r="17" spans="1:21" x14ac:dyDescent="0.3">
      <c r="A17">
        <v>0</v>
      </c>
      <c r="B17">
        <v>0</v>
      </c>
      <c r="C17">
        <v>0</v>
      </c>
      <c r="D17">
        <v>0</v>
      </c>
      <c r="E17">
        <v>1.1053064142008129E-6</v>
      </c>
      <c r="F17">
        <v>0</v>
      </c>
      <c r="G17">
        <v>1.1240212743988259E-6</v>
      </c>
      <c r="H17">
        <v>0</v>
      </c>
      <c r="I17">
        <v>1.0545350140004489E-6</v>
      </c>
      <c r="J17">
        <v>0</v>
      </c>
      <c r="K17">
        <v>1.1251065017998246E-6</v>
      </c>
      <c r="L17">
        <v>-7.5879158869626706E-5</v>
      </c>
      <c r="M17">
        <v>-7.7163931880926909E-5</v>
      </c>
      <c r="N17">
        <v>-7.2393708054951933E-5</v>
      </c>
      <c r="O17">
        <v>-7.723843261783726E-5</v>
      </c>
      <c r="P17" s="3">
        <v>8.735860412759757E-5</v>
      </c>
      <c r="Q17" s="3">
        <v>7.9175205430417387E-5</v>
      </c>
      <c r="R17" s="3">
        <v>8.2369798470724703E-5</v>
      </c>
      <c r="S17" s="3">
        <v>7.9811891894496529E-5</v>
      </c>
      <c r="T17">
        <f>Constraint[[#This Row],[nx]]</f>
        <v>9</v>
      </c>
      <c r="U17">
        <v>20</v>
      </c>
    </row>
    <row r="18" spans="1:21" x14ac:dyDescent="0.3">
      <c r="A18">
        <v>0</v>
      </c>
      <c r="B18">
        <v>0</v>
      </c>
      <c r="C18">
        <v>0</v>
      </c>
      <c r="D18">
        <v>0</v>
      </c>
      <c r="E18">
        <v>1.2799240941014506E-6</v>
      </c>
      <c r="F18">
        <v>0</v>
      </c>
      <c r="G18">
        <v>1.1195797898003179E-6</v>
      </c>
      <c r="H18">
        <v>0</v>
      </c>
      <c r="I18">
        <v>1.0960479070003248E-6</v>
      </c>
      <c r="J18">
        <v>0</v>
      </c>
      <c r="K18">
        <v>1.1207291024991489E-6</v>
      </c>
      <c r="L18">
        <v>-8.7866642615647139E-5</v>
      </c>
      <c r="M18">
        <v>-7.685902447141825E-5</v>
      </c>
      <c r="N18">
        <v>-7.5243563409627123E-5</v>
      </c>
      <c r="O18">
        <v>-7.6937924656692372E-5</v>
      </c>
      <c r="P18" s="3">
        <v>9.3447286950008095E-5</v>
      </c>
      <c r="Q18" s="3">
        <v>7.9860832123631323E-5</v>
      </c>
      <c r="R18" s="3">
        <v>8.6643451673158731E-5</v>
      </c>
      <c r="S18" s="3">
        <v>8.0491594021465398E-5</v>
      </c>
      <c r="T18">
        <f>Constraint[[#This Row],[nx]]</f>
        <v>6</v>
      </c>
      <c r="U18">
        <v>20</v>
      </c>
    </row>
    <row r="19" spans="1:21" x14ac:dyDescent="0.3">
      <c r="A19">
        <v>0</v>
      </c>
      <c r="B19">
        <v>0</v>
      </c>
      <c r="C19">
        <v>0</v>
      </c>
      <c r="D19">
        <v>0</v>
      </c>
      <c r="E19">
        <v>1.5117021427007993E-6</v>
      </c>
      <c r="F19">
        <v>0</v>
      </c>
      <c r="G19">
        <v>1.5299039233009071E-6</v>
      </c>
      <c r="H19">
        <v>0</v>
      </c>
      <c r="I19">
        <v>1.511531030800109E-6</v>
      </c>
      <c r="J19">
        <v>0</v>
      </c>
      <c r="K19">
        <v>1.5459573363997559E-6</v>
      </c>
      <c r="L19">
        <v>-1.0377817913277687E-4</v>
      </c>
      <c r="M19">
        <v>-1.0502772928839416E-4</v>
      </c>
      <c r="N19">
        <v>-1.0376643232037214E-4</v>
      </c>
      <c r="O19">
        <v>-1.0612979426084801E-4</v>
      </c>
      <c r="P19" s="3">
        <v>7.7145026882345709E-5</v>
      </c>
      <c r="Q19" s="3">
        <v>7.6913246416260877E-5</v>
      </c>
      <c r="R19" s="3">
        <v>7.6960289750179072E-5</v>
      </c>
      <c r="S19" s="3">
        <v>7.7361170103938104E-5</v>
      </c>
      <c r="T19">
        <f>Constraint[[#This Row],[nx]]</f>
        <v>120</v>
      </c>
      <c r="U19">
        <v>15</v>
      </c>
    </row>
    <row r="20" spans="1:21" x14ac:dyDescent="0.3">
      <c r="A20">
        <v>0</v>
      </c>
      <c r="B20">
        <v>0</v>
      </c>
      <c r="C20">
        <v>0</v>
      </c>
      <c r="D20">
        <v>0</v>
      </c>
      <c r="E20">
        <v>1.5027452312001144E-6</v>
      </c>
      <c r="F20">
        <v>0</v>
      </c>
      <c r="G20">
        <v>1.5222367928998531E-6</v>
      </c>
      <c r="H20">
        <v>0</v>
      </c>
      <c r="I20">
        <v>1.5041767214996754E-6</v>
      </c>
      <c r="J20">
        <v>0</v>
      </c>
      <c r="K20">
        <v>1.5386540189003817E-6</v>
      </c>
      <c r="L20">
        <v>-1.0316328818307449E-4</v>
      </c>
      <c r="M20">
        <v>-1.045013816636034E-4</v>
      </c>
      <c r="N20">
        <v>-1.0326155982835414E-4</v>
      </c>
      <c r="O20">
        <v>-1.0562842235014441E-4</v>
      </c>
      <c r="P20" s="3">
        <v>7.718967961153958E-5</v>
      </c>
      <c r="Q20" s="3">
        <v>7.6976090077123999E-5</v>
      </c>
      <c r="R20" s="3">
        <v>7.6987989813587416E-5</v>
      </c>
      <c r="S20" s="3">
        <v>7.7470070107433925E-5</v>
      </c>
      <c r="T20">
        <f>Constraint[[#This Row],[nx]]</f>
        <v>102</v>
      </c>
      <c r="U20">
        <v>15</v>
      </c>
    </row>
    <row r="21" spans="1:21" x14ac:dyDescent="0.3">
      <c r="A21">
        <v>0</v>
      </c>
      <c r="B21">
        <v>0</v>
      </c>
      <c r="C21">
        <v>0</v>
      </c>
      <c r="D21">
        <v>0</v>
      </c>
      <c r="E21">
        <v>1.4944017499001622E-6</v>
      </c>
      <c r="F21">
        <v>0</v>
      </c>
      <c r="G21">
        <v>1.5151616895997533E-6</v>
      </c>
      <c r="H21">
        <v>0</v>
      </c>
      <c r="I21">
        <v>1.4974622366999146E-6</v>
      </c>
      <c r="J21">
        <v>0</v>
      </c>
      <c r="K21">
        <v>1.5312565742001821E-6</v>
      </c>
      <c r="L21">
        <v>-1.025905091464642E-4</v>
      </c>
      <c r="M21">
        <v>-1.0401567663156225E-4</v>
      </c>
      <c r="N21">
        <v>-1.0280061121509601E-4</v>
      </c>
      <c r="O21">
        <v>-1.05120588617863E-4</v>
      </c>
      <c r="P21" s="3">
        <v>7.7246090758456386E-5</v>
      </c>
      <c r="Q21" s="3">
        <v>7.704504834957622E-5</v>
      </c>
      <c r="R21" s="3">
        <v>7.7021120203605431E-5</v>
      </c>
      <c r="S21" s="3">
        <v>7.75794698483746E-5</v>
      </c>
      <c r="T21">
        <f>Constraint[[#This Row],[nx]]</f>
        <v>87</v>
      </c>
      <c r="U21">
        <v>15</v>
      </c>
    </row>
    <row r="22" spans="1:21" x14ac:dyDescent="0.3">
      <c r="A22">
        <v>0</v>
      </c>
      <c r="B22">
        <v>0</v>
      </c>
      <c r="C22">
        <v>0</v>
      </c>
      <c r="D22">
        <v>0</v>
      </c>
      <c r="E22">
        <v>1.4848909386990655E-6</v>
      </c>
      <c r="F22">
        <v>0</v>
      </c>
      <c r="G22">
        <v>1.5074080615996854E-6</v>
      </c>
      <c r="H22">
        <v>0</v>
      </c>
      <c r="I22">
        <v>1.490078331799205E-6</v>
      </c>
      <c r="J22">
        <v>0</v>
      </c>
      <c r="K22">
        <v>1.5223262849004687E-6</v>
      </c>
      <c r="L22">
        <v>-1.0193759304570268E-4</v>
      </c>
      <c r="M22">
        <v>-1.0348339095650125E-4</v>
      </c>
      <c r="N22">
        <v>-1.0229370698850229E-4</v>
      </c>
      <c r="O22">
        <v>-1.0450752527920576E-4</v>
      </c>
      <c r="P22" s="3">
        <v>7.7336949037104538E-5</v>
      </c>
      <c r="Q22" s="3">
        <v>7.7136978567757115E-5</v>
      </c>
      <c r="R22" s="3">
        <v>7.707232099447633E-5</v>
      </c>
      <c r="S22" s="3">
        <v>7.771127535694581E-5</v>
      </c>
      <c r="T22">
        <f>Constraint[[#This Row],[nx]]</f>
        <v>72</v>
      </c>
      <c r="U22">
        <v>15</v>
      </c>
    </row>
    <row r="23" spans="1:21" x14ac:dyDescent="0.3">
      <c r="A23">
        <v>0</v>
      </c>
      <c r="B23">
        <v>0</v>
      </c>
      <c r="C23">
        <v>0</v>
      </c>
      <c r="D23">
        <v>0</v>
      </c>
      <c r="E23">
        <v>1.478281171699708E-6</v>
      </c>
      <c r="F23">
        <v>0</v>
      </c>
      <c r="G23">
        <v>1.5023825280999215E-6</v>
      </c>
      <c r="H23">
        <v>0</v>
      </c>
      <c r="I23">
        <v>1.4851802093984734E-6</v>
      </c>
      <c r="J23">
        <v>0</v>
      </c>
      <c r="K23">
        <v>1.5161019548005222E-6</v>
      </c>
      <c r="L23">
        <v>-1.0148383329746519E-4</v>
      </c>
      <c r="M23">
        <v>-1.0313838865674482E-4</v>
      </c>
      <c r="N23">
        <v>-1.0195745144611981E-4</v>
      </c>
      <c r="O23">
        <v>-1.0408022573001399E-4</v>
      </c>
      <c r="P23" s="3">
        <v>7.7422172085750508E-5</v>
      </c>
      <c r="Q23" s="3">
        <v>7.7208223087469786E-5</v>
      </c>
      <c r="R23" s="3">
        <v>7.7118964230747522E-5</v>
      </c>
      <c r="S23" s="3">
        <v>7.780461528481854E-5</v>
      </c>
      <c r="T23">
        <f>Constraint[[#This Row],[nx]]</f>
        <v>63</v>
      </c>
      <c r="U23">
        <v>15</v>
      </c>
    </row>
    <row r="24" spans="1:21" x14ac:dyDescent="0.3">
      <c r="A24">
        <v>0</v>
      </c>
      <c r="B24">
        <v>0</v>
      </c>
      <c r="C24">
        <v>0</v>
      </c>
      <c r="D24">
        <v>0</v>
      </c>
      <c r="E24">
        <v>1.4705026227992274E-6</v>
      </c>
      <c r="F24">
        <v>0</v>
      </c>
      <c r="G24">
        <v>1.4970234992004589E-6</v>
      </c>
      <c r="H24">
        <v>0</v>
      </c>
      <c r="I24">
        <v>1.4797055687999772E-6</v>
      </c>
      <c r="J24">
        <v>0</v>
      </c>
      <c r="K24">
        <v>1.5091591753987887E-6</v>
      </c>
      <c r="L24">
        <v>-1.0094983680543866E-4</v>
      </c>
      <c r="M24">
        <v>-1.0277049193595927E-4</v>
      </c>
      <c r="N24">
        <v>-1.0158161799542556E-4</v>
      </c>
      <c r="O24">
        <v>-1.0360360471845312E-4</v>
      </c>
      <c r="P24" s="3">
        <v>7.7549288140350676E-5</v>
      </c>
      <c r="Q24" s="3">
        <v>7.729667143633428E-5</v>
      </c>
      <c r="R24" s="3">
        <v>7.718685448311903E-5</v>
      </c>
      <c r="S24" s="3">
        <v>7.7912474430968546E-5</v>
      </c>
      <c r="T24">
        <f>Constraint[[#This Row],[nx]]</f>
        <v>54</v>
      </c>
      <c r="U24">
        <v>15</v>
      </c>
    </row>
    <row r="25" spans="1:21" x14ac:dyDescent="0.3">
      <c r="A25">
        <v>0</v>
      </c>
      <c r="B25">
        <v>0</v>
      </c>
      <c r="C25">
        <v>0</v>
      </c>
      <c r="D25">
        <v>0</v>
      </c>
      <c r="E25">
        <v>1.4606680452996373E-6</v>
      </c>
      <c r="F25">
        <v>0</v>
      </c>
      <c r="G25">
        <v>1.4912743706001902E-6</v>
      </c>
      <c r="H25">
        <v>0</v>
      </c>
      <c r="I25">
        <v>1.4732316499007497E-6</v>
      </c>
      <c r="J25">
        <v>0</v>
      </c>
      <c r="K25">
        <v>1.5014737402008205E-6</v>
      </c>
      <c r="L25">
        <v>-1.002746941853299E-4</v>
      </c>
      <c r="M25">
        <v>-1.0237581491534531E-4</v>
      </c>
      <c r="N25">
        <v>-1.0113718420371245E-4</v>
      </c>
      <c r="O25">
        <v>-1.0307600047145329E-4</v>
      </c>
      <c r="P25" s="3">
        <v>7.7751646201475327E-5</v>
      </c>
      <c r="Q25" s="3">
        <v>7.7409329899724065E-5</v>
      </c>
      <c r="R25" s="3">
        <v>7.7291920777102543E-5</v>
      </c>
      <c r="S25" s="3">
        <v>7.8040669231651519E-5</v>
      </c>
      <c r="T25">
        <f>Constraint[[#This Row],[nx]]</f>
        <v>45</v>
      </c>
      <c r="U25">
        <v>15</v>
      </c>
    </row>
    <row r="26" spans="1:21" x14ac:dyDescent="0.3">
      <c r="A26">
        <v>0</v>
      </c>
      <c r="B26">
        <v>0</v>
      </c>
      <c r="C26">
        <v>0</v>
      </c>
      <c r="D26">
        <v>0</v>
      </c>
      <c r="E26">
        <v>1.4520825910996349E-6</v>
      </c>
      <c r="F26">
        <v>0</v>
      </c>
      <c r="G26">
        <v>1.4871884470996077E-6</v>
      </c>
      <c r="H26">
        <v>0</v>
      </c>
      <c r="I26">
        <v>1.467908060199738E-6</v>
      </c>
      <c r="J26">
        <v>0</v>
      </c>
      <c r="K26">
        <v>1.4959404194010012E-6</v>
      </c>
      <c r="L26">
        <v>-9.9685303736817346E-5</v>
      </c>
      <c r="M26">
        <v>-1.0209531673452746E-4</v>
      </c>
      <c r="N26">
        <v>-1.0077172037984208E-4</v>
      </c>
      <c r="O26">
        <v>-1.0269613863164717E-4</v>
      </c>
      <c r="P26" s="3">
        <v>7.7962222782075377E-5</v>
      </c>
      <c r="Q26" s="3">
        <v>7.7503765578300495E-5</v>
      </c>
      <c r="R26" s="3">
        <v>7.7398500805403488E-5</v>
      </c>
      <c r="S26" s="3">
        <v>7.8142769968006073E-5</v>
      </c>
      <c r="T26">
        <f>Constraint[[#This Row],[nx]]</f>
        <v>39</v>
      </c>
      <c r="U26">
        <v>15</v>
      </c>
    </row>
    <row r="27" spans="1:21" x14ac:dyDescent="0.3">
      <c r="A27">
        <v>0</v>
      </c>
      <c r="B27">
        <v>0</v>
      </c>
      <c r="C27">
        <v>0</v>
      </c>
      <c r="D27">
        <v>0</v>
      </c>
      <c r="E27">
        <v>1.4406177489996452E-6</v>
      </c>
      <c r="F27">
        <v>0</v>
      </c>
      <c r="G27">
        <v>1.4828620781004442E-6</v>
      </c>
      <c r="H27">
        <v>0</v>
      </c>
      <c r="I27">
        <v>1.4610869975995727E-6</v>
      </c>
      <c r="J27">
        <v>0</v>
      </c>
      <c r="K27">
        <v>1.490082355299488E-6</v>
      </c>
      <c r="L27">
        <v>-9.8898243638420244E-5</v>
      </c>
      <c r="M27">
        <v>-1.0179831199774031E-4</v>
      </c>
      <c r="N27">
        <v>-1.0030345521278537E-4</v>
      </c>
      <c r="O27">
        <v>-1.0229398320133962E-4</v>
      </c>
      <c r="P27" s="3">
        <v>7.8284032961446138E-5</v>
      </c>
      <c r="Q27" s="3">
        <v>7.7621320112587541E-5</v>
      </c>
      <c r="R27" s="3">
        <v>7.7557928914260538E-5</v>
      </c>
      <c r="S27" s="3">
        <v>7.8265568348768707E-5</v>
      </c>
      <c r="T27">
        <f>Constraint[[#This Row],[nx]]</f>
        <v>33</v>
      </c>
      <c r="U27">
        <v>15</v>
      </c>
    </row>
    <row r="28" spans="1:21" x14ac:dyDescent="0.3">
      <c r="A28">
        <v>0</v>
      </c>
      <c r="B28">
        <v>0</v>
      </c>
      <c r="C28">
        <v>0</v>
      </c>
      <c r="D28">
        <v>0</v>
      </c>
      <c r="E28">
        <v>1.4241531699002441E-6</v>
      </c>
      <c r="F28">
        <v>0</v>
      </c>
      <c r="G28">
        <v>1.4782464993999545E-6</v>
      </c>
      <c r="H28">
        <v>0</v>
      </c>
      <c r="I28">
        <v>1.4514142990008916E-6</v>
      </c>
      <c r="J28">
        <v>0</v>
      </c>
      <c r="K28">
        <v>1.4839104275007897E-6</v>
      </c>
      <c r="L28">
        <v>-9.7767952167065152E-5</v>
      </c>
      <c r="M28">
        <v>-1.0148145304805442E-4</v>
      </c>
      <c r="N28">
        <v>-9.9639425560703321E-5</v>
      </c>
      <c r="O28">
        <v>-1.0187028106412727E-4</v>
      </c>
      <c r="P28" s="3">
        <v>7.8814630590135659E-5</v>
      </c>
      <c r="Q28" s="3">
        <v>7.7775316221652697E-5</v>
      </c>
      <c r="R28" s="3">
        <v>7.781595916075367E-5</v>
      </c>
      <c r="S28" s="3">
        <v>7.8422324510148302E-5</v>
      </c>
      <c r="T28">
        <f>Constraint[[#This Row],[nx]]</f>
        <v>27</v>
      </c>
      <c r="U28">
        <v>15</v>
      </c>
    </row>
    <row r="29" spans="1:21" x14ac:dyDescent="0.3">
      <c r="A29">
        <v>0</v>
      </c>
      <c r="B29">
        <v>0</v>
      </c>
      <c r="C29">
        <v>0</v>
      </c>
      <c r="D29">
        <v>0</v>
      </c>
      <c r="E29">
        <v>1.4129537082002014E-6</v>
      </c>
      <c r="F29">
        <v>0</v>
      </c>
      <c r="G29">
        <v>1.4758107241014812E-6</v>
      </c>
      <c r="H29">
        <v>0</v>
      </c>
      <c r="I29">
        <v>1.4446525778005759E-6</v>
      </c>
      <c r="J29">
        <v>0</v>
      </c>
      <c r="K29">
        <v>1.480702430100081E-6</v>
      </c>
      <c r="L29">
        <v>-9.6999110402760241E-5</v>
      </c>
      <c r="M29">
        <v>-1.0131423735250389E-4</v>
      </c>
      <c r="N29">
        <v>-9.9175234173954491E-5</v>
      </c>
      <c r="O29">
        <v>-1.0165005240962005E-4</v>
      </c>
      <c r="P29" s="3">
        <v>7.9220832703349637E-5</v>
      </c>
      <c r="Q29" s="3">
        <v>7.7873989173295768E-5</v>
      </c>
      <c r="R29" s="3">
        <v>7.8011832587290706E-5</v>
      </c>
      <c r="S29" s="3">
        <v>7.8521504056729382E-5</v>
      </c>
      <c r="T29">
        <f>Constraint[[#This Row],[nx]]</f>
        <v>24</v>
      </c>
      <c r="U29">
        <v>15</v>
      </c>
    </row>
    <row r="30" spans="1:21" x14ac:dyDescent="0.3">
      <c r="A30">
        <v>0</v>
      </c>
      <c r="B30">
        <v>0</v>
      </c>
      <c r="C30">
        <v>0</v>
      </c>
      <c r="D30">
        <v>0</v>
      </c>
      <c r="E30">
        <v>1.3990161935994311E-6</v>
      </c>
      <c r="F30">
        <v>0</v>
      </c>
      <c r="G30">
        <v>1.4732659241005475E-6</v>
      </c>
      <c r="H30">
        <v>0</v>
      </c>
      <c r="I30">
        <v>1.4357346860994352E-6</v>
      </c>
      <c r="J30">
        <v>0</v>
      </c>
      <c r="K30">
        <v>1.4774177951992068E-6</v>
      </c>
      <c r="L30">
        <v>-9.6042301620099732E-5</v>
      </c>
      <c r="M30">
        <v>-1.0113953712360957E-4</v>
      </c>
      <c r="N30">
        <v>-9.856302192902313E-5</v>
      </c>
      <c r="O30">
        <v>-1.0142456259948709E-4</v>
      </c>
      <c r="P30" s="3">
        <v>7.9787632765360427E-5</v>
      </c>
      <c r="Q30" s="3">
        <v>7.7995234279430045E-5</v>
      </c>
      <c r="R30" s="3">
        <v>7.8285051071512471E-5</v>
      </c>
      <c r="S30" s="3">
        <v>7.8642683849530927E-5</v>
      </c>
      <c r="T30">
        <f>Constraint[[#This Row],[nx]]</f>
        <v>21</v>
      </c>
      <c r="U30">
        <v>15</v>
      </c>
    </row>
    <row r="31" spans="1:21" x14ac:dyDescent="0.3">
      <c r="A31">
        <v>0</v>
      </c>
      <c r="B31">
        <v>0</v>
      </c>
      <c r="C31">
        <v>0</v>
      </c>
      <c r="D31">
        <v>0</v>
      </c>
      <c r="E31">
        <v>1.382013798399348E-6</v>
      </c>
      <c r="F31">
        <v>0</v>
      </c>
      <c r="G31">
        <v>1.4705831536988845E-6</v>
      </c>
      <c r="H31">
        <v>0</v>
      </c>
      <c r="I31">
        <v>1.4234948352998683E-6</v>
      </c>
      <c r="J31">
        <v>0</v>
      </c>
      <c r="K31">
        <v>1.4740245546998598E-6</v>
      </c>
      <c r="L31">
        <v>-9.4875089134967977E-5</v>
      </c>
      <c r="M31">
        <v>-1.0095536524248536E-4</v>
      </c>
      <c r="N31">
        <v>-9.7722757572073714E-5</v>
      </c>
      <c r="O31">
        <v>-1.0119161702745044E-4</v>
      </c>
      <c r="P31" s="3">
        <v>8.0611351114841118E-5</v>
      </c>
      <c r="Q31" s="3">
        <v>7.8150397957431998E-5</v>
      </c>
      <c r="R31" s="3">
        <v>7.8685155621041481E-5</v>
      </c>
      <c r="S31" s="3">
        <v>7.8797500581308187E-5</v>
      </c>
      <c r="T31">
        <f>Constraint[[#This Row],[nx]]</f>
        <v>18</v>
      </c>
      <c r="U31">
        <v>15</v>
      </c>
    </row>
    <row r="32" spans="1:21" x14ac:dyDescent="0.3">
      <c r="A32">
        <v>0</v>
      </c>
      <c r="B32">
        <v>0</v>
      </c>
      <c r="C32">
        <v>0</v>
      </c>
      <c r="D32">
        <v>0</v>
      </c>
      <c r="E32">
        <v>1.3631649410008467E-6</v>
      </c>
      <c r="F32">
        <v>0</v>
      </c>
      <c r="G32">
        <v>1.4677041769994847E-6</v>
      </c>
      <c r="H32">
        <v>0</v>
      </c>
      <c r="I32">
        <v>1.4061336196993096E-6</v>
      </c>
      <c r="J32">
        <v>0</v>
      </c>
      <c r="K32">
        <v>1.4705511991990744E-6</v>
      </c>
      <c r="L32">
        <v>-9.3581117231178457E-5</v>
      </c>
      <c r="M32">
        <v>-1.0075772382147491E-4</v>
      </c>
      <c r="N32">
        <v>-9.6530912107505029E-5</v>
      </c>
      <c r="O32">
        <v>-1.0095317156972976E-4</v>
      </c>
      <c r="P32" s="3">
        <v>8.1868648317432599E-5</v>
      </c>
      <c r="Q32" s="3">
        <v>7.8359893630260217E-5</v>
      </c>
      <c r="R32" s="3">
        <v>7.9309224890708902E-5</v>
      </c>
      <c r="S32" s="3">
        <v>7.9005787244184602E-5</v>
      </c>
      <c r="T32">
        <f>Constraint[[#This Row],[nx]]</f>
        <v>15</v>
      </c>
      <c r="U32">
        <v>15</v>
      </c>
    </row>
    <row r="33" spans="1:21" x14ac:dyDescent="0.3">
      <c r="A33">
        <v>0</v>
      </c>
      <c r="B33">
        <v>0</v>
      </c>
      <c r="C33">
        <v>0</v>
      </c>
      <c r="D33">
        <v>0</v>
      </c>
      <c r="E33">
        <v>1.3497579457993208E-6</v>
      </c>
      <c r="F33">
        <v>0</v>
      </c>
      <c r="G33">
        <v>1.4644759943997776E-6</v>
      </c>
      <c r="H33">
        <v>0</v>
      </c>
      <c r="I33">
        <v>1.3815198241992621E-6</v>
      </c>
      <c r="J33">
        <v>0</v>
      </c>
      <c r="K33">
        <v>1.4667402549010944E-6</v>
      </c>
      <c r="L33">
        <v>-9.2660728544573245E-5</v>
      </c>
      <c r="M33">
        <v>-1.005361094553632E-4</v>
      </c>
      <c r="N33">
        <v>-9.4841177862649978E-5</v>
      </c>
      <c r="O33">
        <v>-1.0069155067971014E-4</v>
      </c>
      <c r="P33" s="3">
        <v>8.3901726425961954E-5</v>
      </c>
      <c r="Q33" s="3">
        <v>7.8662863099034476E-5</v>
      </c>
      <c r="R33" s="3">
        <v>8.0367376993271261E-5</v>
      </c>
      <c r="S33" s="3">
        <v>7.9308836055309409E-5</v>
      </c>
      <c r="T33">
        <f>Constraint[[#This Row],[nx]]</f>
        <v>12</v>
      </c>
      <c r="U33">
        <v>15</v>
      </c>
    </row>
    <row r="34" spans="1:21" x14ac:dyDescent="0.3">
      <c r="A34">
        <v>0</v>
      </c>
      <c r="B34">
        <v>0</v>
      </c>
      <c r="C34">
        <v>0</v>
      </c>
      <c r="D34">
        <v>0</v>
      </c>
      <c r="E34">
        <v>1.3698128230009432E-6</v>
      </c>
      <c r="F34">
        <v>0</v>
      </c>
      <c r="G34">
        <v>1.4603918014992334E-6</v>
      </c>
      <c r="H34">
        <v>0</v>
      </c>
      <c r="I34">
        <v>1.3520243092000894E-6</v>
      </c>
      <c r="J34">
        <v>0</v>
      </c>
      <c r="K34">
        <v>1.462648468500069E-6</v>
      </c>
      <c r="L34">
        <v>-9.40374935698568E-5</v>
      </c>
      <c r="M34">
        <v>-1.0025573008003944E-4</v>
      </c>
      <c r="N34">
        <v>-9.2816314132729283E-5</v>
      </c>
      <c r="O34">
        <v>-1.0041065001144701E-4</v>
      </c>
      <c r="P34" s="3">
        <v>8.7392284339159578E-5</v>
      </c>
      <c r="Q34" s="3">
        <v>7.9135360398960709E-5</v>
      </c>
      <c r="R34" s="3">
        <v>8.2371065833121602E-5</v>
      </c>
      <c r="S34" s="3">
        <v>7.9775493702145993E-5</v>
      </c>
      <c r="T34">
        <f>Constraint[[#This Row],[nx]]</f>
        <v>9</v>
      </c>
      <c r="U34">
        <v>15</v>
      </c>
    </row>
    <row r="35" spans="1:21" x14ac:dyDescent="0.3">
      <c r="A35">
        <v>0</v>
      </c>
      <c r="B35">
        <v>0</v>
      </c>
      <c r="C35">
        <v>0</v>
      </c>
      <c r="D35">
        <v>0</v>
      </c>
      <c r="E35">
        <v>1.5061239588987779E-6</v>
      </c>
      <c r="F35">
        <v>0</v>
      </c>
      <c r="G35">
        <v>1.4535579591998943E-6</v>
      </c>
      <c r="H35">
        <v>0</v>
      </c>
      <c r="I35">
        <v>1.3603995663007823E-6</v>
      </c>
      <c r="J35">
        <v>0</v>
      </c>
      <c r="K35">
        <v>1.4555704306012246E-6</v>
      </c>
      <c r="L35">
        <v>-1.0339523745300783E-4</v>
      </c>
      <c r="M35">
        <v>-9.9786587588093778E-5</v>
      </c>
      <c r="N35">
        <v>-9.339127457443086E-5</v>
      </c>
      <c r="O35">
        <v>-9.9924743519535369E-5</v>
      </c>
      <c r="P35" s="3">
        <v>9.3466607271321854E-5</v>
      </c>
      <c r="Q35" s="3">
        <v>7.9834841394259043E-5</v>
      </c>
      <c r="R35" s="3">
        <v>8.6645762617634686E-5</v>
      </c>
      <c r="S35" s="3">
        <v>8.0471347495515485E-5</v>
      </c>
      <c r="T35">
        <f>Constraint[[#This Row],[nx]]</f>
        <v>6</v>
      </c>
      <c r="U35">
        <v>15</v>
      </c>
    </row>
    <row r="36" spans="1:21" x14ac:dyDescent="0.3">
      <c r="A36">
        <v>0</v>
      </c>
      <c r="B36">
        <v>0</v>
      </c>
      <c r="C36">
        <v>0</v>
      </c>
      <c r="D36">
        <v>0</v>
      </c>
      <c r="E36">
        <v>2.034616166799591E-6</v>
      </c>
      <c r="F36">
        <v>0</v>
      </c>
      <c r="G36">
        <v>2.0634614413990449E-6</v>
      </c>
      <c r="H36">
        <v>0</v>
      </c>
      <c r="I36">
        <v>2.0322154001013032E-6</v>
      </c>
      <c r="J36">
        <v>0</v>
      </c>
      <c r="K36">
        <v>2.0878050079990718E-6</v>
      </c>
      <c r="L36">
        <v>-1.3967616705718236E-4</v>
      </c>
      <c r="M36">
        <v>-1.4165639185806378E-4</v>
      </c>
      <c r="N36">
        <v>-1.3951135469802978E-4</v>
      </c>
      <c r="O36">
        <v>-1.4332757491984649E-4</v>
      </c>
      <c r="P36" s="3">
        <v>7.7271434379777332E-5</v>
      </c>
      <c r="Q36" s="3">
        <v>7.6519212136328866E-5</v>
      </c>
      <c r="R36" s="3">
        <v>7.6940575873041411E-5</v>
      </c>
      <c r="S36" s="3">
        <v>7.6763518068744585E-5</v>
      </c>
      <c r="T36">
        <f>Constraint[[#This Row],[nx]]</f>
        <v>120</v>
      </c>
      <c r="U36">
        <v>11</v>
      </c>
    </row>
    <row r="37" spans="1:21" x14ac:dyDescent="0.3">
      <c r="A37">
        <v>0</v>
      </c>
      <c r="B37">
        <v>0</v>
      </c>
      <c r="C37">
        <v>0</v>
      </c>
      <c r="D37">
        <v>0</v>
      </c>
      <c r="E37">
        <v>2.0171593639994184E-6</v>
      </c>
      <c r="F37">
        <v>0</v>
      </c>
      <c r="G37">
        <v>2.0492586942002372E-6</v>
      </c>
      <c r="H37">
        <v>0</v>
      </c>
      <c r="I37">
        <v>2.0178426301999813E-6</v>
      </c>
      <c r="J37">
        <v>0</v>
      </c>
      <c r="K37">
        <v>2.0762956383004599E-6</v>
      </c>
      <c r="L37">
        <v>-1.3847775954229508E-4</v>
      </c>
      <c r="M37">
        <v>-1.4068137488788823E-4</v>
      </c>
      <c r="N37">
        <v>-1.3852466568878979E-4</v>
      </c>
      <c r="O37">
        <v>-1.4253745800690137E-4</v>
      </c>
      <c r="P37" s="3">
        <v>7.7326771248283064E-5</v>
      </c>
      <c r="Q37" s="3">
        <v>7.659593049816907E-5</v>
      </c>
      <c r="R37" s="3">
        <v>7.6980018140759563E-5</v>
      </c>
      <c r="S37" s="3">
        <v>7.6906515737522376E-5</v>
      </c>
      <c r="T37">
        <f>Constraint[[#This Row],[nx]]</f>
        <v>102</v>
      </c>
      <c r="U37">
        <v>11</v>
      </c>
    </row>
    <row r="38" spans="1:21" x14ac:dyDescent="0.3">
      <c r="A38">
        <v>0</v>
      </c>
      <c r="B38">
        <v>0</v>
      </c>
      <c r="C38">
        <v>0</v>
      </c>
      <c r="D38">
        <v>0</v>
      </c>
      <c r="E38">
        <v>2.0001444643990424E-6</v>
      </c>
      <c r="F38">
        <v>0</v>
      </c>
      <c r="G38">
        <v>2.0351544083984513E-6</v>
      </c>
      <c r="H38">
        <v>0</v>
      </c>
      <c r="I38">
        <v>2.0038615591005254E-6</v>
      </c>
      <c r="J38">
        <v>0</v>
      </c>
      <c r="K38">
        <v>2.0640157321009239E-6</v>
      </c>
      <c r="L38">
        <v>-1.3730968863151505E-4</v>
      </c>
      <c r="M38">
        <v>-1.3971311728136482E-4</v>
      </c>
      <c r="N38">
        <v>-1.3756486675747456E-4</v>
      </c>
      <c r="O38">
        <v>-1.4169444385132152E-4</v>
      </c>
      <c r="P38" s="3">
        <v>7.739083838950153E-5</v>
      </c>
      <c r="Q38" s="3">
        <v>7.6680321978767505E-5</v>
      </c>
      <c r="R38" s="3">
        <v>7.7022056054462608E-5</v>
      </c>
      <c r="S38" s="3">
        <v>7.7056008109598214E-5</v>
      </c>
      <c r="T38">
        <f>Constraint[[#This Row],[nx]]</f>
        <v>87</v>
      </c>
      <c r="U38">
        <v>11</v>
      </c>
    </row>
    <row r="39" spans="1:21" x14ac:dyDescent="0.3">
      <c r="A39">
        <v>0</v>
      </c>
      <c r="B39">
        <v>0</v>
      </c>
      <c r="C39">
        <v>0</v>
      </c>
      <c r="D39">
        <v>0</v>
      </c>
      <c r="E39">
        <v>1.9805854519008848E-6</v>
      </c>
      <c r="F39">
        <v>0</v>
      </c>
      <c r="G39">
        <v>2.0189976921002745E-6</v>
      </c>
      <c r="H39">
        <v>0</v>
      </c>
      <c r="I39">
        <v>1.9880235351994735E-6</v>
      </c>
      <c r="J39">
        <v>0</v>
      </c>
      <c r="K39">
        <v>2.0485496540992992E-6</v>
      </c>
      <c r="L39">
        <v>-1.3596696466138675E-4</v>
      </c>
      <c r="M39">
        <v>-1.3860396055608015E-4</v>
      </c>
      <c r="N39">
        <v>-1.3647758822879497E-4</v>
      </c>
      <c r="O39">
        <v>-1.4063269936608058E-4</v>
      </c>
      <c r="P39" s="3">
        <v>7.7486126057325612E-5</v>
      </c>
      <c r="Q39" s="3">
        <v>7.6791910417502431E-5</v>
      </c>
      <c r="R39" s="3">
        <v>7.7079347623001916E-5</v>
      </c>
      <c r="S39" s="3">
        <v>7.7240925905112075E-5</v>
      </c>
      <c r="T39">
        <f>Constraint[[#This Row],[nx]]</f>
        <v>72</v>
      </c>
      <c r="U39">
        <v>11</v>
      </c>
    </row>
    <row r="40" spans="1:21" x14ac:dyDescent="0.3">
      <c r="A40">
        <v>0</v>
      </c>
      <c r="B40">
        <v>0</v>
      </c>
      <c r="C40">
        <v>0</v>
      </c>
      <c r="D40">
        <v>0</v>
      </c>
      <c r="E40">
        <v>1.9672794764006435E-6</v>
      </c>
      <c r="F40">
        <v>0</v>
      </c>
      <c r="G40">
        <v>2.0082891978995265E-6</v>
      </c>
      <c r="H40">
        <v>0</v>
      </c>
      <c r="I40">
        <v>1.9775174642001903E-6</v>
      </c>
      <c r="J40">
        <v>0</v>
      </c>
      <c r="K40">
        <v>2.0372610161998456E-6</v>
      </c>
      <c r="L40">
        <v>-1.3505351096572069E-4</v>
      </c>
      <c r="M40">
        <v>-1.3786882365442871E-4</v>
      </c>
      <c r="N40">
        <v>-1.3575634765676525E-4</v>
      </c>
      <c r="O40">
        <v>-1.3985773566589643E-4</v>
      </c>
      <c r="P40" s="3">
        <v>7.7571562955867801E-5</v>
      </c>
      <c r="Q40" s="3">
        <v>7.6877879608629575E-5</v>
      </c>
      <c r="R40" s="3">
        <v>7.7127484218603414E-5</v>
      </c>
      <c r="S40" s="3">
        <v>7.7373349866154879E-5</v>
      </c>
      <c r="T40">
        <f>Constraint[[#This Row],[nx]]</f>
        <v>63</v>
      </c>
      <c r="U40">
        <v>11</v>
      </c>
    </row>
    <row r="41" spans="1:21" x14ac:dyDescent="0.3">
      <c r="A41">
        <v>0</v>
      </c>
      <c r="B41">
        <v>0</v>
      </c>
      <c r="C41">
        <v>0</v>
      </c>
      <c r="D41">
        <v>0</v>
      </c>
      <c r="E41">
        <v>1.9522229746000985E-6</v>
      </c>
      <c r="F41">
        <v>0</v>
      </c>
      <c r="G41">
        <v>1.9967436148005807E-6</v>
      </c>
      <c r="H41">
        <v>0</v>
      </c>
      <c r="I41">
        <v>1.9660184088013399E-6</v>
      </c>
      <c r="J41">
        <v>0</v>
      </c>
      <c r="K41">
        <v>2.0240606283007667E-6</v>
      </c>
      <c r="L41">
        <v>-1.3401988383982336E-4</v>
      </c>
      <c r="M41">
        <v>-1.3707622069569769E-4</v>
      </c>
      <c r="N41">
        <v>-1.3496693881931421E-4</v>
      </c>
      <c r="O41">
        <v>-1.3895153054696574E-4</v>
      </c>
      <c r="P41" s="3">
        <v>7.7696648004629999E-5</v>
      </c>
      <c r="Q41" s="3">
        <v>7.6984631945650913E-5</v>
      </c>
      <c r="R41" s="3">
        <v>7.719497978387413E-5</v>
      </c>
      <c r="S41" s="3">
        <v>7.7526267867604782E-5</v>
      </c>
      <c r="T41">
        <f>Constraint[[#This Row],[nx]]</f>
        <v>54</v>
      </c>
      <c r="U41">
        <v>11</v>
      </c>
    </row>
    <row r="42" spans="1:21" x14ac:dyDescent="0.3">
      <c r="A42">
        <v>0</v>
      </c>
      <c r="B42">
        <v>0</v>
      </c>
      <c r="C42">
        <v>0</v>
      </c>
      <c r="D42">
        <v>0</v>
      </c>
      <c r="E42">
        <v>1.9343023874990317E-6</v>
      </c>
      <c r="F42">
        <v>0</v>
      </c>
      <c r="G42">
        <v>1.9842283450997866E-6</v>
      </c>
      <c r="H42">
        <v>0</v>
      </c>
      <c r="I42">
        <v>1.9530015017994035E-6</v>
      </c>
      <c r="J42">
        <v>0</v>
      </c>
      <c r="K42">
        <v>2.0086110151997655E-6</v>
      </c>
      <c r="L42">
        <v>-1.3278963758574583E-4</v>
      </c>
      <c r="M42">
        <v>-1.3621704886268571E-4</v>
      </c>
      <c r="N42">
        <v>-1.3407332964297802E-4</v>
      </c>
      <c r="O42">
        <v>-1.3789091637527243E-4</v>
      </c>
      <c r="P42" s="3">
        <v>7.7894643062033145E-5</v>
      </c>
      <c r="Q42" s="3">
        <v>7.7121259987335462E-5</v>
      </c>
      <c r="R42" s="3">
        <v>7.7297963462333124E-5</v>
      </c>
      <c r="S42" s="3">
        <v>7.7705842179940182E-5</v>
      </c>
      <c r="T42">
        <f>Constraint[[#This Row],[nx]]</f>
        <v>45</v>
      </c>
      <c r="U42">
        <v>11</v>
      </c>
    </row>
    <row r="43" spans="1:21" x14ac:dyDescent="0.3">
      <c r="A43">
        <v>0</v>
      </c>
      <c r="B43">
        <v>0</v>
      </c>
      <c r="C43">
        <v>0</v>
      </c>
      <c r="D43">
        <v>0</v>
      </c>
      <c r="E43">
        <v>1.9196035519006976E-6</v>
      </c>
      <c r="F43">
        <v>0</v>
      </c>
      <c r="G43">
        <v>1.9752354328012728E-6</v>
      </c>
      <c r="H43">
        <v>0</v>
      </c>
      <c r="I43">
        <v>1.9429004862007992E-6</v>
      </c>
      <c r="J43">
        <v>0</v>
      </c>
      <c r="K43">
        <v>1.996928390599409E-6</v>
      </c>
      <c r="L43">
        <v>-1.3178056420370954E-4</v>
      </c>
      <c r="M43">
        <v>-1.3559968646233156E-4</v>
      </c>
      <c r="N43">
        <v>-1.3337989607785719E-4</v>
      </c>
      <c r="O43">
        <v>-1.3708890553314201E-4</v>
      </c>
      <c r="P43" s="3">
        <v>7.8101030225444248E-5</v>
      </c>
      <c r="Q43" s="3">
        <v>7.7236261869404461E-5</v>
      </c>
      <c r="R43" s="3">
        <v>7.7402534118305061E-5</v>
      </c>
      <c r="S43" s="3">
        <v>7.784577930005603E-5</v>
      </c>
      <c r="T43">
        <f>Constraint[[#This Row],[nx]]</f>
        <v>39</v>
      </c>
      <c r="U43">
        <v>11</v>
      </c>
    </row>
    <row r="44" spans="1:21" x14ac:dyDescent="0.3">
      <c r="A44">
        <v>0</v>
      </c>
      <c r="B44">
        <v>0</v>
      </c>
      <c r="C44">
        <v>0</v>
      </c>
      <c r="D44">
        <v>0</v>
      </c>
      <c r="E44">
        <v>1.9010080149987202E-6</v>
      </c>
      <c r="F44">
        <v>0</v>
      </c>
      <c r="G44">
        <v>1.9656098438000646E-6</v>
      </c>
      <c r="H44">
        <v>0</v>
      </c>
      <c r="I44">
        <v>1.9307486381001104E-6</v>
      </c>
      <c r="J44">
        <v>0</v>
      </c>
      <c r="K44">
        <v>1.984089717200696E-6</v>
      </c>
      <c r="L44">
        <v>-1.3050398272302461E-4</v>
      </c>
      <c r="M44">
        <v>-1.349388908787226E-4</v>
      </c>
      <c r="N44">
        <v>-1.3254567309611831E-4</v>
      </c>
      <c r="O44">
        <v>-1.3620753207327363E-4</v>
      </c>
      <c r="P44" s="3">
        <v>7.8417515590717274E-5</v>
      </c>
      <c r="Q44" s="3">
        <v>7.7379204773561828E-5</v>
      </c>
      <c r="R44" s="3">
        <v>7.7559795531730694E-5</v>
      </c>
      <c r="S44" s="3">
        <v>7.8009208068547395E-5</v>
      </c>
      <c r="T44">
        <f>Constraint[[#This Row],[nx]]</f>
        <v>33</v>
      </c>
      <c r="U44">
        <v>11</v>
      </c>
    </row>
    <row r="45" spans="1:21" x14ac:dyDescent="0.3">
      <c r="A45">
        <v>0</v>
      </c>
      <c r="B45">
        <v>0</v>
      </c>
      <c r="C45">
        <v>0</v>
      </c>
      <c r="D45">
        <v>0</v>
      </c>
      <c r="E45">
        <v>1.8755146224003899E-6</v>
      </c>
      <c r="F45">
        <v>0</v>
      </c>
      <c r="G45">
        <v>1.9552191868003194E-6</v>
      </c>
      <c r="H45">
        <v>0</v>
      </c>
      <c r="I45">
        <v>1.9147535577010433E-6</v>
      </c>
      <c r="J45">
        <v>0</v>
      </c>
      <c r="K45">
        <v>1.9700896546001601E-6</v>
      </c>
      <c r="L45">
        <v>-1.2875386423801373E-4</v>
      </c>
      <c r="M45">
        <v>-1.3422557346455186E-4</v>
      </c>
      <c r="N45">
        <v>-1.3144761265682266E-4</v>
      </c>
      <c r="O45">
        <v>-1.3524642937758763E-4</v>
      </c>
      <c r="P45" s="3">
        <v>7.8941140168464931E-5</v>
      </c>
      <c r="Q45" s="3">
        <v>7.7564299571818E-5</v>
      </c>
      <c r="R45" s="3">
        <v>7.781583028703666E-5</v>
      </c>
      <c r="S45" s="3">
        <v>7.8209166570154462E-5</v>
      </c>
      <c r="T45">
        <f>Constraint[[#This Row],[nx]]</f>
        <v>27</v>
      </c>
      <c r="U45">
        <v>11</v>
      </c>
    </row>
    <row r="46" spans="1:21" x14ac:dyDescent="0.3">
      <c r="A46">
        <v>0</v>
      </c>
      <c r="B46">
        <v>0</v>
      </c>
      <c r="C46">
        <v>0</v>
      </c>
      <c r="D46">
        <v>0</v>
      </c>
      <c r="E46">
        <v>1.8585194807001909E-6</v>
      </c>
      <c r="F46">
        <v>0</v>
      </c>
      <c r="G46">
        <v>1.9496815389999367E-6</v>
      </c>
      <c r="H46">
        <v>0</v>
      </c>
      <c r="I46">
        <v>1.9041590165001093E-6</v>
      </c>
      <c r="J46">
        <v>0</v>
      </c>
      <c r="K46">
        <v>1.9626581059997011E-6</v>
      </c>
      <c r="L46">
        <v>-1.2758714970481991E-4</v>
      </c>
      <c r="M46">
        <v>-1.3384541457665822E-4</v>
      </c>
      <c r="N46">
        <v>-1.3072029861556887E-4</v>
      </c>
      <c r="O46">
        <v>-1.3473625441645654E-4</v>
      </c>
      <c r="P46" s="3">
        <v>7.9342821740494782E-5</v>
      </c>
      <c r="Q46" s="3">
        <v>7.7680854443902366E-5</v>
      </c>
      <c r="R46" s="3">
        <v>7.8010872643727725E-5</v>
      </c>
      <c r="S46" s="3">
        <v>7.8330802281480742E-5</v>
      </c>
      <c r="T46">
        <f>Constraint[[#This Row],[nx]]</f>
        <v>24</v>
      </c>
      <c r="U46">
        <v>11</v>
      </c>
    </row>
    <row r="47" spans="1:21" x14ac:dyDescent="0.3">
      <c r="A47">
        <v>0</v>
      </c>
      <c r="B47">
        <v>0</v>
      </c>
      <c r="C47">
        <v>0</v>
      </c>
      <c r="D47">
        <v>0</v>
      </c>
      <c r="E47">
        <v>1.8373193601990689E-6</v>
      </c>
      <c r="F47">
        <v>0</v>
      </c>
      <c r="G47">
        <v>1.943876003799791E-6</v>
      </c>
      <c r="H47">
        <v>0</v>
      </c>
      <c r="I47">
        <v>1.890620276999086E-6</v>
      </c>
      <c r="J47">
        <v>0</v>
      </c>
      <c r="K47">
        <v>1.9549568819991758E-6</v>
      </c>
      <c r="L47">
        <v>-1.2613176385805995E-4</v>
      </c>
      <c r="M47">
        <v>-1.3344686524941266E-4</v>
      </c>
      <c r="N47">
        <v>-1.2979086569787912E-4</v>
      </c>
      <c r="O47">
        <v>-1.3420756626996572E-4</v>
      </c>
      <c r="P47" s="3">
        <v>7.9903947917969823E-5</v>
      </c>
      <c r="Q47" s="3">
        <v>7.7821577968310973E-5</v>
      </c>
      <c r="R47" s="3">
        <v>7.8283429777563333E-5</v>
      </c>
      <c r="S47" s="3">
        <v>7.8474889382103372E-5</v>
      </c>
      <c r="T47">
        <f>Constraint[[#This Row],[nx]]</f>
        <v>21</v>
      </c>
      <c r="U47">
        <v>11</v>
      </c>
    </row>
    <row r="48" spans="1:21" x14ac:dyDescent="0.3">
      <c r="A48">
        <v>0</v>
      </c>
      <c r="B48">
        <v>0</v>
      </c>
      <c r="C48">
        <v>0</v>
      </c>
      <c r="D48">
        <v>0</v>
      </c>
      <c r="E48">
        <v>1.8107170409002726E-6</v>
      </c>
      <c r="F48">
        <v>0</v>
      </c>
      <c r="G48">
        <v>1.9377628531994789E-6</v>
      </c>
      <c r="H48">
        <v>0</v>
      </c>
      <c r="I48">
        <v>1.872465836699061E-6</v>
      </c>
      <c r="J48">
        <v>0</v>
      </c>
      <c r="K48">
        <v>1.9469556183995818E-6</v>
      </c>
      <c r="L48">
        <v>-1.2430551768194062E-4</v>
      </c>
      <c r="M48">
        <v>-1.3302719816014885E-4</v>
      </c>
      <c r="N48">
        <v>-1.2854456544844866E-4</v>
      </c>
      <c r="O48">
        <v>-1.3365828043932979E-4</v>
      </c>
      <c r="P48" s="3">
        <v>8.0720195155173054E-5</v>
      </c>
      <c r="Q48" s="3">
        <v>7.7997803526795318E-5</v>
      </c>
      <c r="R48" s="3">
        <v>7.8683098477397778E-5</v>
      </c>
      <c r="S48" s="3">
        <v>7.8653153407467875E-5</v>
      </c>
      <c r="T48">
        <f>Constraint[[#This Row],[nx]]</f>
        <v>18</v>
      </c>
      <c r="U48">
        <v>11</v>
      </c>
    </row>
    <row r="49" spans="1:21" x14ac:dyDescent="0.3">
      <c r="A49">
        <v>0</v>
      </c>
      <c r="B49">
        <v>0</v>
      </c>
      <c r="C49">
        <v>0</v>
      </c>
      <c r="D49">
        <v>0</v>
      </c>
      <c r="E49">
        <v>1.7783446356004623E-6</v>
      </c>
      <c r="F49">
        <v>0</v>
      </c>
      <c r="G49">
        <v>1.9312854879008357E-6</v>
      </c>
      <c r="H49">
        <v>0</v>
      </c>
      <c r="I49">
        <v>1.8468896889004688E-6</v>
      </c>
      <c r="J49">
        <v>0</v>
      </c>
      <c r="K49">
        <v>1.9387921517000778E-6</v>
      </c>
      <c r="L49">
        <v>-1.2208315576204415E-4</v>
      </c>
      <c r="M49">
        <v>-1.3258252777351501E-4</v>
      </c>
      <c r="N49">
        <v>-1.2678876582840858E-4</v>
      </c>
      <c r="O49">
        <v>-1.3309785938444597E-4</v>
      </c>
      <c r="P49" s="3">
        <v>8.1967151813258426E-5</v>
      </c>
      <c r="Q49" s="3">
        <v>7.8229894960076506E-5</v>
      </c>
      <c r="R49" s="3">
        <v>7.9307033606975673E-5</v>
      </c>
      <c r="S49" s="3">
        <v>7.8884819735280752E-5</v>
      </c>
      <c r="T49">
        <f>Constraint[[#This Row],[nx]]</f>
        <v>15</v>
      </c>
      <c r="U49">
        <v>11</v>
      </c>
    </row>
    <row r="50" spans="1:21" x14ac:dyDescent="0.3">
      <c r="A50">
        <v>0</v>
      </c>
      <c r="B50">
        <v>0</v>
      </c>
      <c r="C50">
        <v>0</v>
      </c>
      <c r="D50">
        <v>0</v>
      </c>
      <c r="E50">
        <v>1.7445256087992439E-6</v>
      </c>
      <c r="F50">
        <v>0</v>
      </c>
      <c r="G50">
        <v>1.9243160951001176E-6</v>
      </c>
      <c r="H50">
        <v>0</v>
      </c>
      <c r="I50">
        <v>1.8095925057009382E-6</v>
      </c>
      <c r="J50">
        <v>0</v>
      </c>
      <c r="K50">
        <v>1.9300558675005436E-6</v>
      </c>
      <c r="L50">
        <v>-1.197614834416022E-4</v>
      </c>
      <c r="M50">
        <v>-1.3210407975515828E-4</v>
      </c>
      <c r="N50">
        <v>-1.2422831846917171E-4</v>
      </c>
      <c r="O50">
        <v>-1.3249811447372216E-4</v>
      </c>
      <c r="P50" s="3">
        <v>8.3985314288839829E-5</v>
      </c>
      <c r="Q50" s="3">
        <v>7.8556914453421959E-5</v>
      </c>
      <c r="R50" s="3">
        <v>8.0365470423570358E-5</v>
      </c>
      <c r="S50" s="3">
        <v>7.9212890998005126E-5</v>
      </c>
      <c r="T50">
        <f>Constraint[[#This Row],[nx]]</f>
        <v>12</v>
      </c>
      <c r="U50">
        <v>11</v>
      </c>
    </row>
    <row r="51" spans="1:21" x14ac:dyDescent="0.3">
      <c r="A51">
        <v>0</v>
      </c>
      <c r="B51">
        <v>0</v>
      </c>
      <c r="C51">
        <v>0</v>
      </c>
      <c r="D51">
        <v>0</v>
      </c>
      <c r="E51">
        <v>1.7318498654987635E-6</v>
      </c>
      <c r="F51">
        <v>0</v>
      </c>
      <c r="G51">
        <v>1.9163591232999183E-6</v>
      </c>
      <c r="H51">
        <v>0</v>
      </c>
      <c r="I51">
        <v>1.7575856659998723E-6</v>
      </c>
      <c r="J51">
        <v>0</v>
      </c>
      <c r="K51">
        <v>1.9215220364993124E-6</v>
      </c>
      <c r="L51">
        <v>-1.1889129511433172E-4</v>
      </c>
      <c r="M51">
        <v>-1.3155783455148264E-4</v>
      </c>
      <c r="N51">
        <v>-1.2065805487413567E-4</v>
      </c>
      <c r="O51">
        <v>-1.3191226795189904E-4</v>
      </c>
      <c r="P51" s="3">
        <v>8.7454290619568781E-5</v>
      </c>
      <c r="Q51" s="3">
        <v>7.9054899328633E-5</v>
      </c>
      <c r="R51" s="3">
        <v>8.2370119461107225E-5</v>
      </c>
      <c r="S51" s="3">
        <v>7.9700820454772331E-5</v>
      </c>
      <c r="T51">
        <f>Constraint[[#This Row],[nx]]</f>
        <v>9</v>
      </c>
      <c r="U51">
        <v>11</v>
      </c>
    </row>
    <row r="52" spans="1:21" x14ac:dyDescent="0.3">
      <c r="A52">
        <v>0</v>
      </c>
      <c r="B52">
        <v>0</v>
      </c>
      <c r="C52">
        <v>0</v>
      </c>
      <c r="D52">
        <v>0</v>
      </c>
      <c r="E52">
        <v>1.8161935073993107E-6</v>
      </c>
      <c r="F52">
        <v>0</v>
      </c>
      <c r="G52">
        <v>1.9050613700999364E-6</v>
      </c>
      <c r="H52">
        <v>0</v>
      </c>
      <c r="I52">
        <v>1.7216097625994548E-6</v>
      </c>
      <c r="J52">
        <v>0</v>
      </c>
      <c r="K52">
        <v>1.9088630610012564E-6</v>
      </c>
      <c r="L52">
        <v>-1.2468147648050931E-4</v>
      </c>
      <c r="M52">
        <v>-1.3078224508695233E-4</v>
      </c>
      <c r="N52">
        <v>-1.181883132219258E-4</v>
      </c>
      <c r="O52">
        <v>-1.3104323073235245E-4</v>
      </c>
      <c r="P52" s="3">
        <v>9.350060073689321E-5</v>
      </c>
      <c r="Q52" s="3">
        <v>7.9781508963981448E-5</v>
      </c>
      <c r="R52" s="3">
        <v>8.6646997651324654E-5</v>
      </c>
      <c r="S52" s="3">
        <v>8.042890668639847E-5</v>
      </c>
      <c r="T52">
        <f>Constraint[[#This Row],[nx]]</f>
        <v>6</v>
      </c>
      <c r="U52">
        <v>11</v>
      </c>
    </row>
    <row r="53" spans="1:21" x14ac:dyDescent="0.3">
      <c r="A53">
        <v>0</v>
      </c>
      <c r="B53">
        <v>0</v>
      </c>
      <c r="C53">
        <v>0</v>
      </c>
      <c r="D53">
        <v>0</v>
      </c>
      <c r="E53">
        <v>2.4620983430992394E-6</v>
      </c>
      <c r="F53">
        <v>0</v>
      </c>
      <c r="G53">
        <v>2.4978313538006475E-6</v>
      </c>
      <c r="H53">
        <v>0</v>
      </c>
      <c r="I53">
        <v>2.4566823856996683E-6</v>
      </c>
      <c r="J53">
        <v>0</v>
      </c>
      <c r="K53">
        <v>2.5265442323996884E-6</v>
      </c>
      <c r="L53">
        <v>-1.6902276954914794E-4</v>
      </c>
      <c r="M53">
        <v>-1.7147583664535448E-4</v>
      </c>
      <c r="N53">
        <v>-1.6865096469334193E-4</v>
      </c>
      <c r="O53">
        <v>-1.734469724759477E-4</v>
      </c>
      <c r="P53" s="3">
        <v>7.7353456394535421E-5</v>
      </c>
      <c r="Q53" s="3">
        <v>7.6131311523158879E-5</v>
      </c>
      <c r="R53" s="3">
        <v>7.6869487570835023E-5</v>
      </c>
      <c r="S53" s="3">
        <v>7.6186321806165597E-5</v>
      </c>
      <c r="T53">
        <f>Constraint[[#This Row],[nx]]</f>
        <v>120</v>
      </c>
      <c r="U53">
        <v>9</v>
      </c>
    </row>
    <row r="54" spans="1:21" x14ac:dyDescent="0.3">
      <c r="A54">
        <v>0</v>
      </c>
      <c r="B54">
        <v>0</v>
      </c>
      <c r="C54">
        <v>0</v>
      </c>
      <c r="D54">
        <v>0</v>
      </c>
      <c r="E54">
        <v>2.4378606747008785E-6</v>
      </c>
      <c r="F54">
        <v>0</v>
      </c>
      <c r="G54">
        <v>2.4793851874996276E-6</v>
      </c>
      <c r="H54">
        <v>0</v>
      </c>
      <c r="I54">
        <v>2.4370428828995871E-6</v>
      </c>
      <c r="J54">
        <v>0</v>
      </c>
      <c r="K54">
        <v>2.5129588386990642E-6</v>
      </c>
      <c r="L54">
        <v>-1.6735885638679074E-4</v>
      </c>
      <c r="M54">
        <v>-1.7020950943933549E-4</v>
      </c>
      <c r="N54">
        <v>-1.6730271507319969E-4</v>
      </c>
      <c r="O54">
        <v>-1.7251433675279787E-4</v>
      </c>
      <c r="P54" s="3">
        <v>7.7421187202164228E-5</v>
      </c>
      <c r="Q54" s="3">
        <v>7.6217478028977505E-5</v>
      </c>
      <c r="R54" s="3">
        <v>7.6921727491542245E-5</v>
      </c>
      <c r="S54" s="3">
        <v>7.6347372466392397E-5</v>
      </c>
      <c r="T54">
        <f>Constraint[[#This Row],[nx]]</f>
        <v>102</v>
      </c>
      <c r="U54">
        <v>9</v>
      </c>
    </row>
    <row r="55" spans="1:21" x14ac:dyDescent="0.3">
      <c r="A55">
        <v>0</v>
      </c>
      <c r="B55">
        <v>0</v>
      </c>
      <c r="C55">
        <v>0</v>
      </c>
      <c r="D55">
        <v>0</v>
      </c>
      <c r="E55">
        <v>2.4125559383008505E-6</v>
      </c>
      <c r="F55">
        <v>0</v>
      </c>
      <c r="G55">
        <v>2.4592064454993789E-6</v>
      </c>
      <c r="H55">
        <v>0</v>
      </c>
      <c r="I55">
        <v>2.4162849901997185E-6</v>
      </c>
      <c r="J55">
        <v>0</v>
      </c>
      <c r="K55">
        <v>2.4970526341996924E-6</v>
      </c>
      <c r="L55">
        <v>-1.6562168912820363E-4</v>
      </c>
      <c r="M55">
        <v>-1.6882424110979677E-4</v>
      </c>
      <c r="N55">
        <v>-1.658776881143971E-4</v>
      </c>
      <c r="O55">
        <v>-1.7142237763384527E-4</v>
      </c>
      <c r="P55" s="3">
        <v>7.7497881821898265E-5</v>
      </c>
      <c r="Q55" s="3">
        <v>7.6315855640470806E-5</v>
      </c>
      <c r="R55" s="3">
        <v>7.6977283742801084E-5</v>
      </c>
      <c r="S55" s="3">
        <v>7.6523950575021514E-5</v>
      </c>
      <c r="T55">
        <f>Constraint[[#This Row],[nx]]</f>
        <v>87</v>
      </c>
      <c r="U55">
        <v>9</v>
      </c>
    </row>
    <row r="56" spans="1:21" x14ac:dyDescent="0.3">
      <c r="A56">
        <v>0</v>
      </c>
      <c r="B56">
        <v>0</v>
      </c>
      <c r="C56">
        <v>0</v>
      </c>
      <c r="D56">
        <v>0</v>
      </c>
      <c r="E56">
        <v>2.3821992669002812E-6</v>
      </c>
      <c r="F56">
        <v>0</v>
      </c>
      <c r="G56">
        <v>2.4345144764015281E-6</v>
      </c>
      <c r="H56">
        <v>0</v>
      </c>
      <c r="I56">
        <v>2.3914032874997743E-6</v>
      </c>
      <c r="J56">
        <v>0</v>
      </c>
      <c r="K56">
        <v>2.4760322032014309E-6</v>
      </c>
      <c r="L56">
        <v>-1.6353770710985857E-4</v>
      </c>
      <c r="M56">
        <v>-1.6712914025639874E-4</v>
      </c>
      <c r="N56">
        <v>-1.6416956207092326E-4</v>
      </c>
      <c r="O56">
        <v>-1.6997932745090039E-4</v>
      </c>
      <c r="P56" s="3">
        <v>7.7606172883417735E-5</v>
      </c>
      <c r="Q56" s="3">
        <v>7.6447705483895364E-5</v>
      </c>
      <c r="R56" s="3">
        <v>7.7049117008050493E-5</v>
      </c>
      <c r="S56" s="3">
        <v>7.6750632936050341E-5</v>
      </c>
      <c r="T56">
        <f>Constraint[[#This Row],[nx]]</f>
        <v>72</v>
      </c>
      <c r="U56">
        <v>9</v>
      </c>
    </row>
    <row r="57" spans="1:21" x14ac:dyDescent="0.3">
      <c r="A57">
        <v>0</v>
      </c>
      <c r="B57">
        <v>0</v>
      </c>
      <c r="C57">
        <v>0</v>
      </c>
      <c r="D57">
        <v>0</v>
      </c>
      <c r="E57">
        <v>2.3612523835005866E-6</v>
      </c>
      <c r="F57">
        <v>0</v>
      </c>
      <c r="G57">
        <v>2.4175483562989541E-6</v>
      </c>
      <c r="H57">
        <v>0</v>
      </c>
      <c r="I57">
        <v>2.3744391339994286E-6</v>
      </c>
      <c r="J57">
        <v>0</v>
      </c>
      <c r="K57">
        <v>2.4602937803985814E-6</v>
      </c>
      <c r="L57">
        <v>-1.6209970596113912E-4</v>
      </c>
      <c r="M57">
        <v>-1.6596441805255546E-4</v>
      </c>
      <c r="N57">
        <v>-1.630049748741029E-4</v>
      </c>
      <c r="O57">
        <v>-1.6889888652622115E-4</v>
      </c>
      <c r="P57" s="3">
        <v>7.7698338462969796E-5</v>
      </c>
      <c r="Q57" s="3">
        <v>7.6549103539674503E-5</v>
      </c>
      <c r="R57" s="3">
        <v>7.7105305038980851E-5</v>
      </c>
      <c r="S57" s="3">
        <v>7.6916918508520117E-5</v>
      </c>
      <c r="T57">
        <f>Constraint[[#This Row],[nx]]</f>
        <v>63</v>
      </c>
      <c r="U57">
        <v>9</v>
      </c>
    </row>
    <row r="58" spans="1:21" x14ac:dyDescent="0.3">
      <c r="A58">
        <v>0</v>
      </c>
      <c r="B58">
        <v>0</v>
      </c>
      <c r="C58">
        <v>0</v>
      </c>
      <c r="D58">
        <v>0</v>
      </c>
      <c r="E58">
        <v>2.3377140849004108E-6</v>
      </c>
      <c r="F58">
        <v>0</v>
      </c>
      <c r="G58">
        <v>2.3989450022993131E-6</v>
      </c>
      <c r="H58">
        <v>0</v>
      </c>
      <c r="I58">
        <v>2.3557688488985012E-6</v>
      </c>
      <c r="J58">
        <v>0</v>
      </c>
      <c r="K58">
        <v>2.4414709221005221E-6</v>
      </c>
      <c r="L58">
        <v>-1.6048380445540626E-4</v>
      </c>
      <c r="M58">
        <v>-1.6468729992901582E-4</v>
      </c>
      <c r="N58">
        <v>-1.6172326193811259E-4</v>
      </c>
      <c r="O58">
        <v>-1.6760669945770079E-4</v>
      </c>
      <c r="P58" s="3">
        <v>7.7828239104194114E-5</v>
      </c>
      <c r="Q58" s="3">
        <v>7.6674189141826663E-5</v>
      </c>
      <c r="R58" s="3">
        <v>7.717937172550544E-5</v>
      </c>
      <c r="S58" s="3">
        <v>7.7111489032460618E-5</v>
      </c>
      <c r="T58">
        <f>Constraint[[#This Row],[nx]]</f>
        <v>54</v>
      </c>
      <c r="U58">
        <v>9</v>
      </c>
    </row>
    <row r="59" spans="1:21" x14ac:dyDescent="0.3">
      <c r="A59">
        <v>0</v>
      </c>
      <c r="B59">
        <v>0</v>
      </c>
      <c r="C59">
        <v>0</v>
      </c>
      <c r="D59">
        <v>0</v>
      </c>
      <c r="E59">
        <v>2.3104042052995988E-6</v>
      </c>
      <c r="F59">
        <v>0</v>
      </c>
      <c r="G59">
        <v>2.3785692769996009E-6</v>
      </c>
      <c r="H59">
        <v>0</v>
      </c>
      <c r="I59">
        <v>2.3348723678998096E-6</v>
      </c>
      <c r="J59">
        <v>0</v>
      </c>
      <c r="K59">
        <v>2.4186968004009241E-6</v>
      </c>
      <c r="L59">
        <v>-1.586089843455124E-4</v>
      </c>
      <c r="M59">
        <v>-1.6328850871850931E-4</v>
      </c>
      <c r="N59">
        <v>-1.6028872090845248E-4</v>
      </c>
      <c r="O59">
        <v>-1.6604325860875707E-4</v>
      </c>
      <c r="P59" s="3">
        <v>7.8028140903041153E-5</v>
      </c>
      <c r="Q59" s="3">
        <v>7.6833175357935286E-5</v>
      </c>
      <c r="R59" s="3">
        <v>7.7286727831587173E-5</v>
      </c>
      <c r="S59" s="3">
        <v>7.7341329023574421E-5</v>
      </c>
      <c r="T59">
        <f>Constraint[[#This Row],[nx]]</f>
        <v>45</v>
      </c>
      <c r="U59">
        <v>9</v>
      </c>
    </row>
    <row r="60" spans="1:21" x14ac:dyDescent="0.3">
      <c r="A60">
        <v>0</v>
      </c>
      <c r="B60">
        <v>0</v>
      </c>
      <c r="C60">
        <v>0</v>
      </c>
      <c r="D60">
        <v>0</v>
      </c>
      <c r="E60">
        <v>2.2887989160995381E-6</v>
      </c>
      <c r="F60">
        <v>0</v>
      </c>
      <c r="G60">
        <v>2.3638423217002547E-6</v>
      </c>
      <c r="H60">
        <v>0</v>
      </c>
      <c r="I60">
        <v>2.3190618082986891E-6</v>
      </c>
      <c r="J60">
        <v>0</v>
      </c>
      <c r="K60">
        <v>2.4008478264996025E-6</v>
      </c>
      <c r="L60">
        <v>-1.5712578371392723E-4</v>
      </c>
      <c r="M60">
        <v>-1.6227750492221749E-4</v>
      </c>
      <c r="N60">
        <v>-1.592033278008248E-4</v>
      </c>
      <c r="O60">
        <v>-1.6481792859265182E-4</v>
      </c>
      <c r="P60" s="3">
        <v>7.8233725009691518E-5</v>
      </c>
      <c r="Q60" s="3">
        <v>7.6966475078219692E-5</v>
      </c>
      <c r="R60" s="3">
        <v>7.7392839082275131E-5</v>
      </c>
      <c r="S60" s="3">
        <v>7.7519783757332974E-5</v>
      </c>
      <c r="T60">
        <f>Constraint[[#This Row],[nx]]</f>
        <v>39</v>
      </c>
      <c r="U60">
        <v>9</v>
      </c>
    </row>
    <row r="61" spans="1:21" x14ac:dyDescent="0.3">
      <c r="A61">
        <v>0</v>
      </c>
      <c r="B61">
        <v>0</v>
      </c>
      <c r="C61">
        <v>0</v>
      </c>
      <c r="D61">
        <v>0</v>
      </c>
      <c r="E61">
        <v>2.2624993555996759E-6</v>
      </c>
      <c r="F61">
        <v>0</v>
      </c>
      <c r="G61">
        <v>2.3480015375991481E-6</v>
      </c>
      <c r="H61">
        <v>0</v>
      </c>
      <c r="I61">
        <v>2.3006945331985329E-6</v>
      </c>
      <c r="J61">
        <v>0</v>
      </c>
      <c r="K61">
        <v>2.380577627301636E-6</v>
      </c>
      <c r="L61">
        <v>-1.5532032189471533E-4</v>
      </c>
      <c r="M61">
        <v>-1.6119003690612255E-4</v>
      </c>
      <c r="N61">
        <v>-1.5794241646671994E-4</v>
      </c>
      <c r="O61">
        <v>-1.6342638173695231E-4</v>
      </c>
      <c r="P61" s="3">
        <v>7.8547406402620343E-5</v>
      </c>
      <c r="Q61" s="3">
        <v>7.7131766035553638E-5</v>
      </c>
      <c r="R61" s="3">
        <v>7.7550667620124373E-5</v>
      </c>
      <c r="S61" s="3">
        <v>7.7725686555620615E-5</v>
      </c>
      <c r="T61">
        <f>Constraint[[#This Row],[nx]]</f>
        <v>33</v>
      </c>
      <c r="U61">
        <v>9</v>
      </c>
    </row>
    <row r="62" spans="1:21" x14ac:dyDescent="0.3">
      <c r="A62">
        <v>0</v>
      </c>
      <c r="B62">
        <v>0</v>
      </c>
      <c r="C62">
        <v>0</v>
      </c>
      <c r="D62">
        <v>0</v>
      </c>
      <c r="E62">
        <v>2.2279229021995861E-6</v>
      </c>
      <c r="F62">
        <v>0</v>
      </c>
      <c r="G62">
        <v>2.3307839545003151E-6</v>
      </c>
      <c r="H62">
        <v>0</v>
      </c>
      <c r="I62">
        <v>2.27766037469955E-6</v>
      </c>
      <c r="J62">
        <v>0</v>
      </c>
      <c r="K62">
        <v>2.3577426426016346E-6</v>
      </c>
      <c r="L62">
        <v>-1.5294665232491473E-4</v>
      </c>
      <c r="M62">
        <v>-1.6000805179635855E-4</v>
      </c>
      <c r="N62">
        <v>-1.5636112412125043E-4</v>
      </c>
      <c r="O62">
        <v>-1.6185876264999954E-4</v>
      </c>
      <c r="P62" s="3">
        <v>7.9065663227403542E-5</v>
      </c>
      <c r="Q62" s="3">
        <v>7.7344756981912412E-5</v>
      </c>
      <c r="R62" s="3">
        <v>7.7806619274938655E-5</v>
      </c>
      <c r="S62" s="3">
        <v>7.7971802202394914E-5</v>
      </c>
      <c r="T62">
        <f>Constraint[[#This Row],[nx]]</f>
        <v>27</v>
      </c>
      <c r="U62">
        <v>9</v>
      </c>
    </row>
    <row r="63" spans="1:21" x14ac:dyDescent="0.3">
      <c r="A63">
        <v>0</v>
      </c>
      <c r="B63">
        <v>0</v>
      </c>
      <c r="C63">
        <v>0</v>
      </c>
      <c r="D63">
        <v>0</v>
      </c>
      <c r="E63">
        <v>2.2054833728989143E-6</v>
      </c>
      <c r="F63">
        <v>0</v>
      </c>
      <c r="G63">
        <v>2.3215491631988633E-6</v>
      </c>
      <c r="H63">
        <v>0</v>
      </c>
      <c r="I63">
        <v>2.2630240808004659E-6</v>
      </c>
      <c r="J63">
        <v>0</v>
      </c>
      <c r="K63">
        <v>2.3453469392992893E-6</v>
      </c>
      <c r="L63">
        <v>-1.5140618120587646E-4</v>
      </c>
      <c r="M63">
        <v>-1.5937408443012641E-4</v>
      </c>
      <c r="N63">
        <v>-1.5535634421971235E-4</v>
      </c>
      <c r="O63">
        <v>-1.6100779903656381E-4</v>
      </c>
      <c r="P63" s="3">
        <v>7.9463299231648379E-5</v>
      </c>
      <c r="Q63" s="3">
        <v>7.7477826496253642E-5</v>
      </c>
      <c r="R63" s="3">
        <v>7.8001525725111801E-5</v>
      </c>
      <c r="S63" s="3">
        <v>7.8117748836710452E-5</v>
      </c>
      <c r="T63">
        <f>Constraint[[#This Row],[nx]]</f>
        <v>24</v>
      </c>
      <c r="U63">
        <v>9</v>
      </c>
    </row>
    <row r="64" spans="1:21" x14ac:dyDescent="0.3">
      <c r="A64">
        <v>0</v>
      </c>
      <c r="B64">
        <v>0</v>
      </c>
      <c r="C64">
        <v>0</v>
      </c>
      <c r="D64">
        <v>0</v>
      </c>
      <c r="E64">
        <v>2.1778313110988601E-6</v>
      </c>
      <c r="F64">
        <v>0</v>
      </c>
      <c r="G64">
        <v>2.3118270860000151E-6</v>
      </c>
      <c r="H64">
        <v>0</v>
      </c>
      <c r="I64">
        <v>2.2448629357005312E-6</v>
      </c>
      <c r="J64">
        <v>0</v>
      </c>
      <c r="K64">
        <v>2.3323319937994941E-6</v>
      </c>
      <c r="L64">
        <v>-1.4950787032715421E-4</v>
      </c>
      <c r="M64">
        <v>-1.5870666494279331E-4</v>
      </c>
      <c r="N64">
        <v>-1.541095836865361E-4</v>
      </c>
      <c r="O64">
        <v>-1.6011432451713131E-4</v>
      </c>
      <c r="P64" s="3">
        <v>8.0019018920850503E-5</v>
      </c>
      <c r="Q64" s="3">
        <v>7.763699971840436E-5</v>
      </c>
      <c r="R64" s="3">
        <v>7.827398727587439E-5</v>
      </c>
      <c r="S64" s="3">
        <v>7.8286828797822705E-5</v>
      </c>
      <c r="T64">
        <f>Constraint[[#This Row],[nx]]</f>
        <v>21</v>
      </c>
      <c r="U64">
        <v>9</v>
      </c>
    </row>
    <row r="65" spans="1:21" x14ac:dyDescent="0.3">
      <c r="A65">
        <v>0</v>
      </c>
      <c r="B65">
        <v>0</v>
      </c>
      <c r="C65">
        <v>0</v>
      </c>
      <c r="D65">
        <v>0</v>
      </c>
      <c r="E65">
        <v>2.143176315800091E-6</v>
      </c>
      <c r="F65">
        <v>0</v>
      </c>
      <c r="G65">
        <v>2.3015649640995006E-6</v>
      </c>
      <c r="H65">
        <v>0</v>
      </c>
      <c r="I65">
        <v>2.2211457384006816E-6</v>
      </c>
      <c r="J65">
        <v>0</v>
      </c>
      <c r="K65">
        <v>2.3186643934008239E-6</v>
      </c>
      <c r="L65">
        <v>-1.4712880886499566E-4</v>
      </c>
      <c r="M65">
        <v>-1.5800217144848125E-4</v>
      </c>
      <c r="N65">
        <v>-1.5248140080553947E-4</v>
      </c>
      <c r="O65">
        <v>-1.5917604531355545E-4</v>
      </c>
      <c r="P65" s="3">
        <v>8.0827854865059563E-5</v>
      </c>
      <c r="Q65" s="3">
        <v>7.7833731176220805E-5</v>
      </c>
      <c r="R65" s="3">
        <v>7.8673702840334811E-5</v>
      </c>
      <c r="S65" s="3">
        <v>7.8490813285671653E-5</v>
      </c>
      <c r="T65">
        <f>Constraint[[#This Row],[nx]]</f>
        <v>18</v>
      </c>
      <c r="U65">
        <v>9</v>
      </c>
    </row>
    <row r="66" spans="1:21" x14ac:dyDescent="0.3">
      <c r="A66">
        <v>0</v>
      </c>
      <c r="B66">
        <v>0</v>
      </c>
      <c r="C66">
        <v>0</v>
      </c>
      <c r="D66">
        <v>0</v>
      </c>
      <c r="E66">
        <v>2.1000576712996988E-6</v>
      </c>
      <c r="F66">
        <v>0</v>
      </c>
      <c r="G66">
        <v>2.290712873500092E-6</v>
      </c>
      <c r="H66">
        <v>0</v>
      </c>
      <c r="I66">
        <v>2.1883734798999743E-6</v>
      </c>
      <c r="J66">
        <v>0</v>
      </c>
      <c r="K66">
        <v>2.3046309752996347E-6</v>
      </c>
      <c r="L66">
        <v>-1.4416871885352539E-4</v>
      </c>
      <c r="M66">
        <v>-1.5725717667048819E-4</v>
      </c>
      <c r="N66">
        <v>-1.5023158900915202E-4</v>
      </c>
      <c r="O66">
        <v>-1.5821265276656782E-4</v>
      </c>
      <c r="P66" s="3">
        <v>8.2064314277707082E-5</v>
      </c>
      <c r="Q66" s="3">
        <v>7.8088460293525153E-5</v>
      </c>
      <c r="R66" s="3">
        <v>7.9297970656898781E-5</v>
      </c>
      <c r="S66" s="3">
        <v>7.8748321923313919E-5</v>
      </c>
      <c r="T66">
        <f>Constraint[[#This Row],[nx]]</f>
        <v>15</v>
      </c>
      <c r="U66">
        <v>9</v>
      </c>
    </row>
    <row r="67" spans="1:21" x14ac:dyDescent="0.3">
      <c r="A67">
        <v>0</v>
      </c>
      <c r="B67">
        <v>0</v>
      </c>
      <c r="C67">
        <v>0</v>
      </c>
      <c r="D67">
        <v>0</v>
      </c>
      <c r="E67">
        <v>2.0506717731006568E-6</v>
      </c>
      <c r="F67">
        <v>0</v>
      </c>
      <c r="G67">
        <v>2.2792059590007185E-6</v>
      </c>
      <c r="H67">
        <v>0</v>
      </c>
      <c r="I67">
        <v>2.1407203018002779E-6</v>
      </c>
      <c r="J67">
        <v>0</v>
      </c>
      <c r="K67">
        <v>2.2896784377997997E-6</v>
      </c>
      <c r="L67">
        <v>-1.4077838259271558E-4</v>
      </c>
      <c r="M67">
        <v>-1.5646722830668647E-4</v>
      </c>
      <c r="N67">
        <v>-1.4696020378491409E-4</v>
      </c>
      <c r="O67">
        <v>-1.5718616277801863E-4</v>
      </c>
      <c r="P67" s="3">
        <v>8.4067186700844583E-5</v>
      </c>
      <c r="Q67" s="3">
        <v>7.8440298277257278E-5</v>
      </c>
      <c r="R67" s="3">
        <v>8.0357257633567302E-5</v>
      </c>
      <c r="S67" s="3">
        <v>7.9104126276690134E-5</v>
      </c>
      <c r="T67">
        <f>Constraint[[#This Row],[nx]]</f>
        <v>12</v>
      </c>
      <c r="U67">
        <v>9</v>
      </c>
    </row>
    <row r="68" spans="1:21" x14ac:dyDescent="0.3">
      <c r="A68">
        <v>0</v>
      </c>
      <c r="B68">
        <v>0</v>
      </c>
      <c r="C68">
        <v>0</v>
      </c>
      <c r="D68">
        <v>0</v>
      </c>
      <c r="E68">
        <v>2.0134707355012882E-6</v>
      </c>
      <c r="F68">
        <v>0</v>
      </c>
      <c r="G68">
        <v>2.2666772049994427E-6</v>
      </c>
      <c r="H68">
        <v>0</v>
      </c>
      <c r="I68">
        <v>2.0713649363998665E-6</v>
      </c>
      <c r="J68">
        <v>0</v>
      </c>
      <c r="K68">
        <v>2.2756247192012163E-6</v>
      </c>
      <c r="L68">
        <v>-1.3822453561793124E-4</v>
      </c>
      <c r="M68">
        <v>-1.5560713077799378E-4</v>
      </c>
      <c r="N68">
        <v>-1.4219896588557601E-4</v>
      </c>
      <c r="O68">
        <v>-1.5622137660420334E-4</v>
      </c>
      <c r="P68" s="3">
        <v>8.751406470578827E-5</v>
      </c>
      <c r="Q68" s="3">
        <v>7.8965428721562348E-5</v>
      </c>
      <c r="R68" s="3">
        <v>8.2363741239621207E-5</v>
      </c>
      <c r="S68" s="3">
        <v>7.9616130472053291E-5</v>
      </c>
      <c r="T68">
        <f>Constraint[[#This Row],[nx]]</f>
        <v>9</v>
      </c>
      <c r="U68">
        <v>9</v>
      </c>
    </row>
    <row r="69" spans="1:21" x14ac:dyDescent="0.3">
      <c r="A69">
        <v>0</v>
      </c>
      <c r="B69">
        <v>0</v>
      </c>
      <c r="C69">
        <v>0</v>
      </c>
      <c r="D69">
        <v>0</v>
      </c>
      <c r="E69">
        <v>2.0584294824002591E-6</v>
      </c>
      <c r="F69">
        <v>0</v>
      </c>
      <c r="G69">
        <v>2.2506353498010639E-6</v>
      </c>
      <c r="H69">
        <v>0</v>
      </c>
      <c r="I69">
        <v>2.0020515250004922E-6</v>
      </c>
      <c r="J69">
        <v>0</v>
      </c>
      <c r="K69">
        <v>2.2564973246996106E-6</v>
      </c>
      <c r="L69">
        <v>-1.4131094844854752E-4</v>
      </c>
      <c r="M69">
        <v>-1.5450585925407814E-4</v>
      </c>
      <c r="N69">
        <v>-1.3744060812360959E-4</v>
      </c>
      <c r="O69">
        <v>-1.5490828316015726E-4</v>
      </c>
      <c r="P69" s="3">
        <v>9.3532801248596902E-5</v>
      </c>
      <c r="Q69" s="3">
        <v>7.9722392607402311E-5</v>
      </c>
      <c r="R69" s="3">
        <v>8.6644909424312081E-5</v>
      </c>
      <c r="S69" s="3">
        <v>8.0380863171516264E-5</v>
      </c>
      <c r="T69">
        <f>Constraint[[#This Row],[nx]]</f>
        <v>6</v>
      </c>
      <c r="U69">
        <v>9</v>
      </c>
    </row>
    <row r="70" spans="1:21" x14ac:dyDescent="0.3">
      <c r="A70">
        <v>0</v>
      </c>
      <c r="B70">
        <v>0</v>
      </c>
      <c r="C70">
        <v>0</v>
      </c>
      <c r="D70">
        <v>0</v>
      </c>
      <c r="E70">
        <v>3.107120393299953E-6</v>
      </c>
      <c r="F70">
        <v>0</v>
      </c>
      <c r="G70">
        <v>3.146251049199536E-6</v>
      </c>
      <c r="H70">
        <v>0</v>
      </c>
      <c r="I70">
        <v>3.0956009960010633E-6</v>
      </c>
      <c r="J70">
        <v>0</v>
      </c>
      <c r="K70">
        <v>3.175937523100178E-6</v>
      </c>
      <c r="L70">
        <v>-2.1330345949427745E-4</v>
      </c>
      <c r="M70">
        <v>-2.1598977454458795E-4</v>
      </c>
      <c r="N70">
        <v>-2.1251265418771592E-4</v>
      </c>
      <c r="O70">
        <v>-2.1802774758124255E-4</v>
      </c>
      <c r="P70" s="3">
        <v>7.7459142644239836E-5</v>
      </c>
      <c r="Q70" s="3">
        <v>7.5454792222156853E-5</v>
      </c>
      <c r="R70" s="3">
        <v>7.668409158375989E-5</v>
      </c>
      <c r="S70" s="3">
        <v>7.5208449713181735E-5</v>
      </c>
      <c r="T70">
        <f>Constraint[[#This Row],[nx]]</f>
        <v>120</v>
      </c>
      <c r="U70">
        <v>7</v>
      </c>
    </row>
    <row r="71" spans="1:21" x14ac:dyDescent="0.3">
      <c r="A71">
        <v>0</v>
      </c>
      <c r="B71">
        <v>0</v>
      </c>
      <c r="C71">
        <v>0</v>
      </c>
      <c r="D71">
        <v>0</v>
      </c>
      <c r="E71">
        <v>3.077661616999669E-6</v>
      </c>
      <c r="F71">
        <v>0</v>
      </c>
      <c r="G71">
        <v>3.1276541792996104E-6</v>
      </c>
      <c r="H71">
        <v>0</v>
      </c>
      <c r="I71">
        <v>3.0730754558994794E-6</v>
      </c>
      <c r="J71">
        <v>0</v>
      </c>
      <c r="K71">
        <v>3.1654579463000904E-6</v>
      </c>
      <c r="L71">
        <v>-2.1128111787183101E-4</v>
      </c>
      <c r="M71">
        <v>-2.1471310155374984E-4</v>
      </c>
      <c r="N71">
        <v>-2.1096627843703725E-4</v>
      </c>
      <c r="O71">
        <v>-2.1730832583295723E-4</v>
      </c>
      <c r="P71" s="3">
        <v>7.7541963580536984E-5</v>
      </c>
      <c r="Q71" s="3">
        <v>7.5541481679152403E-5</v>
      </c>
      <c r="R71" s="3">
        <v>7.6750392767563748E-5</v>
      </c>
      <c r="S71" s="3">
        <v>7.5371938979542822E-5</v>
      </c>
      <c r="T71">
        <f>Constraint[[#This Row],[nx]]</f>
        <v>102</v>
      </c>
      <c r="U71">
        <v>7</v>
      </c>
    </row>
    <row r="72" spans="1:21" x14ac:dyDescent="0.3">
      <c r="A72">
        <v>0</v>
      </c>
      <c r="B72">
        <v>0</v>
      </c>
      <c r="C72">
        <v>0</v>
      </c>
      <c r="D72">
        <v>0</v>
      </c>
      <c r="E72">
        <v>3.0418555428003008E-6</v>
      </c>
      <c r="F72">
        <v>0</v>
      </c>
      <c r="G72">
        <v>3.1018943508001606E-6</v>
      </c>
      <c r="H72">
        <v>0</v>
      </c>
      <c r="I72">
        <v>3.0444620428993902E-6</v>
      </c>
      <c r="J72">
        <v>0</v>
      </c>
      <c r="K72">
        <v>3.1479424619992868E-6</v>
      </c>
      <c r="L72">
        <v>-2.0882303497484975E-4</v>
      </c>
      <c r="M72">
        <v>-2.1294469227461227E-4</v>
      </c>
      <c r="N72">
        <v>-2.0900197090842343E-4</v>
      </c>
      <c r="O72">
        <v>-2.1610588983976553E-4</v>
      </c>
      <c r="P72" s="3">
        <v>7.7640146976717427E-5</v>
      </c>
      <c r="Q72" s="3">
        <v>7.5653630907510265E-5</v>
      </c>
      <c r="R72" s="3">
        <v>7.6827536809886759E-5</v>
      </c>
      <c r="S72" s="3">
        <v>7.5570601514422442E-5</v>
      </c>
      <c r="T72">
        <f>Constraint[[#This Row],[nx]]</f>
        <v>87</v>
      </c>
      <c r="U72">
        <v>7</v>
      </c>
    </row>
    <row r="73" spans="1:21" x14ac:dyDescent="0.3">
      <c r="A73">
        <v>0</v>
      </c>
      <c r="B73">
        <v>0</v>
      </c>
      <c r="C73">
        <v>0</v>
      </c>
      <c r="D73">
        <v>0</v>
      </c>
      <c r="E73">
        <v>2.9939877728007991E-6</v>
      </c>
      <c r="F73">
        <v>0</v>
      </c>
      <c r="G73">
        <v>3.0650184993999408E-6</v>
      </c>
      <c r="H73">
        <v>0</v>
      </c>
      <c r="I73">
        <v>3.005373985899909E-6</v>
      </c>
      <c r="J73">
        <v>0</v>
      </c>
      <c r="K73">
        <v>3.1203836162001231E-6</v>
      </c>
      <c r="L73">
        <v>-2.0553691804124467E-4</v>
      </c>
      <c r="M73">
        <v>-2.1041316929519549E-4</v>
      </c>
      <c r="N73">
        <v>-2.0631858026773017E-4</v>
      </c>
      <c r="O73">
        <v>-2.1421397822884297E-4</v>
      </c>
      <c r="P73" s="3">
        <v>7.7777749058645295E-5</v>
      </c>
      <c r="Q73" s="3">
        <v>7.5815622547236532E-5</v>
      </c>
      <c r="R73" s="3">
        <v>7.6930249214950702E-5</v>
      </c>
      <c r="S73" s="3">
        <v>7.5846417333300274E-5</v>
      </c>
      <c r="T73">
        <f>Constraint[[#This Row],[nx]]</f>
        <v>72</v>
      </c>
      <c r="U73">
        <v>7</v>
      </c>
    </row>
    <row r="74" spans="1:21" x14ac:dyDescent="0.3">
      <c r="A74">
        <v>0</v>
      </c>
      <c r="B74">
        <v>0</v>
      </c>
      <c r="C74">
        <v>0</v>
      </c>
      <c r="D74">
        <v>0</v>
      </c>
      <c r="E74">
        <v>2.9588630972004343E-6</v>
      </c>
      <c r="F74">
        <v>0</v>
      </c>
      <c r="G74">
        <v>3.037197327899685E-6</v>
      </c>
      <c r="H74">
        <v>0</v>
      </c>
      <c r="I74">
        <v>2.9765333815004458E-6</v>
      </c>
      <c r="J74">
        <v>0</v>
      </c>
      <c r="K74">
        <v>3.0980836735004097E-6</v>
      </c>
      <c r="L74">
        <v>-2.0312561308012331E-4</v>
      </c>
      <c r="M74">
        <v>-2.0850324905490047E-4</v>
      </c>
      <c r="N74">
        <v>-2.0433867607554806E-4</v>
      </c>
      <c r="O74">
        <v>-2.1268308971398447E-4</v>
      </c>
      <c r="P74" s="3">
        <v>7.7889833241261388E-5</v>
      </c>
      <c r="Q74" s="3">
        <v>7.5944297001024174E-5</v>
      </c>
      <c r="R74" s="3">
        <v>7.700830131260485E-5</v>
      </c>
      <c r="S74" s="3">
        <v>7.6059605752853718E-5</v>
      </c>
      <c r="T74">
        <f>Constraint[[#This Row],[nx]]</f>
        <v>63</v>
      </c>
      <c r="U74">
        <v>7</v>
      </c>
    </row>
    <row r="75" spans="1:21" x14ac:dyDescent="0.3">
      <c r="A75">
        <v>0</v>
      </c>
      <c r="B75">
        <v>0</v>
      </c>
      <c r="C75">
        <v>0</v>
      </c>
      <c r="D75">
        <v>0</v>
      </c>
      <c r="E75">
        <v>2.9184186788010213E-6</v>
      </c>
      <c r="F75">
        <v>0</v>
      </c>
      <c r="G75">
        <v>3.0051031131000244E-6</v>
      </c>
      <c r="H75">
        <v>0</v>
      </c>
      <c r="I75">
        <v>2.9435045523999032E-6</v>
      </c>
      <c r="J75">
        <v>0</v>
      </c>
      <c r="K75">
        <v>3.0704691751995417E-6</v>
      </c>
      <c r="L75">
        <v>-2.0034910838451041E-4</v>
      </c>
      <c r="M75">
        <v>-2.0629998488101015E-4</v>
      </c>
      <c r="N75">
        <v>-2.0207125073683566E-4</v>
      </c>
      <c r="O75">
        <v>-2.107873575651828E-4</v>
      </c>
      <c r="P75" s="3">
        <v>7.8039290329851024E-5</v>
      </c>
      <c r="Q75" s="3">
        <v>7.6104088681862406E-5</v>
      </c>
      <c r="R75" s="3">
        <v>7.7104914533952459E-5</v>
      </c>
      <c r="S75" s="3">
        <v>7.6317664844427187E-5</v>
      </c>
      <c r="T75">
        <f>Constraint[[#This Row],[nx]]</f>
        <v>54</v>
      </c>
      <c r="U75">
        <v>7</v>
      </c>
    </row>
    <row r="76" spans="1:21" x14ac:dyDescent="0.3">
      <c r="A76">
        <v>0</v>
      </c>
      <c r="B76">
        <v>0</v>
      </c>
      <c r="C76">
        <v>0</v>
      </c>
      <c r="D76">
        <v>0</v>
      </c>
      <c r="E76">
        <v>2.8715973048997617E-6</v>
      </c>
      <c r="F76">
        <v>0</v>
      </c>
      <c r="G76">
        <v>2.9687737503007045E-6</v>
      </c>
      <c r="H76">
        <v>0</v>
      </c>
      <c r="I76">
        <v>2.9059284648007971E-6</v>
      </c>
      <c r="J76">
        <v>0</v>
      </c>
      <c r="K76">
        <v>3.0359874588006819E-6</v>
      </c>
      <c r="L76">
        <v>-1.9713482642332546E-4</v>
      </c>
      <c r="M76">
        <v>-2.038059782815127E-4</v>
      </c>
      <c r="N76">
        <v>-1.9949165662247817E-4</v>
      </c>
      <c r="O76">
        <v>-2.084201916796799E-4</v>
      </c>
      <c r="P76" s="3">
        <v>7.8255515492422879E-5</v>
      </c>
      <c r="Q76" s="3">
        <v>7.6305780536191137E-5</v>
      </c>
      <c r="R76" s="3">
        <v>7.7233130398387764E-5</v>
      </c>
      <c r="S76" s="3">
        <v>7.6630877886860351E-5</v>
      </c>
      <c r="T76">
        <f>Constraint[[#This Row],[nx]]</f>
        <v>45</v>
      </c>
      <c r="U76">
        <v>7</v>
      </c>
    </row>
    <row r="77" spans="1:21" x14ac:dyDescent="0.3">
      <c r="A77">
        <v>0</v>
      </c>
      <c r="B77">
        <v>0</v>
      </c>
      <c r="C77">
        <v>0</v>
      </c>
      <c r="D77">
        <v>0</v>
      </c>
      <c r="E77">
        <v>2.8355255364993781E-6</v>
      </c>
      <c r="F77">
        <v>0</v>
      </c>
      <c r="G77">
        <v>2.9421041313013735E-6</v>
      </c>
      <c r="H77">
        <v>0</v>
      </c>
      <c r="I77">
        <v>2.8777622459001673E-6</v>
      </c>
      <c r="J77">
        <v>0</v>
      </c>
      <c r="K77">
        <v>3.0079474041006665E-6</v>
      </c>
      <c r="L77">
        <v>-1.9465850364984395E-4</v>
      </c>
      <c r="M77">
        <v>-2.0197511198865453E-4</v>
      </c>
      <c r="N77">
        <v>-1.9755804891763429E-4</v>
      </c>
      <c r="O77">
        <v>-2.0649524513276923E-4</v>
      </c>
      <c r="P77" s="3">
        <v>7.8468313657666173E-5</v>
      </c>
      <c r="Q77" s="3">
        <v>7.6472847002701303E-5</v>
      </c>
      <c r="R77" s="3">
        <v>7.7350887331204644E-5</v>
      </c>
      <c r="S77" s="3">
        <v>7.6877470974032915E-5</v>
      </c>
      <c r="T77">
        <f>Constraint[[#This Row],[nx]]</f>
        <v>39</v>
      </c>
      <c r="U77">
        <v>7</v>
      </c>
    </row>
    <row r="78" spans="1:21" x14ac:dyDescent="0.3">
      <c r="A78">
        <v>0</v>
      </c>
      <c r="B78">
        <v>0</v>
      </c>
      <c r="C78">
        <v>0</v>
      </c>
      <c r="D78">
        <v>0</v>
      </c>
      <c r="E78">
        <v>2.7933837819012902E-6</v>
      </c>
      <c r="F78">
        <v>0</v>
      </c>
      <c r="G78">
        <v>2.9132031715006779E-6</v>
      </c>
      <c r="H78">
        <v>0</v>
      </c>
      <c r="I78">
        <v>2.8459599443995953E-6</v>
      </c>
      <c r="J78">
        <v>0</v>
      </c>
      <c r="K78">
        <v>2.9747265832998082E-6</v>
      </c>
      <c r="L78">
        <v>-1.9176547701839613E-4</v>
      </c>
      <c r="M78">
        <v>-1.9999106440508202E-4</v>
      </c>
      <c r="N78">
        <v>-1.9537482455832603E-4</v>
      </c>
      <c r="O78">
        <v>-2.0421463958579522E-4</v>
      </c>
      <c r="P78" s="3">
        <v>7.8784679899809748E-5</v>
      </c>
      <c r="Q78" s="3">
        <v>7.6677702978794599E-5</v>
      </c>
      <c r="R78" s="3">
        <v>7.7517822220241596E-5</v>
      </c>
      <c r="S78" s="3">
        <v>7.7162151590502457E-5</v>
      </c>
      <c r="T78">
        <f>Constraint[[#This Row],[nx]]</f>
        <v>33</v>
      </c>
      <c r="U78">
        <v>7</v>
      </c>
    </row>
    <row r="79" spans="1:21" x14ac:dyDescent="0.3">
      <c r="A79">
        <v>0</v>
      </c>
      <c r="B79">
        <v>0</v>
      </c>
      <c r="C79">
        <v>0</v>
      </c>
      <c r="D79">
        <v>0</v>
      </c>
      <c r="E79">
        <v>2.7409797019994214E-6</v>
      </c>
      <c r="F79">
        <v>0</v>
      </c>
      <c r="G79">
        <v>2.881565952000259E-6</v>
      </c>
      <c r="H79">
        <v>0</v>
      </c>
      <c r="I79">
        <v>2.8080536117001259E-6</v>
      </c>
      <c r="J79">
        <v>0</v>
      </c>
      <c r="K79">
        <v>2.9353363785004916E-6</v>
      </c>
      <c r="L79">
        <v>-1.8816794292902256E-4</v>
      </c>
      <c r="M79">
        <v>-1.9781917290619816E-4</v>
      </c>
      <c r="N79">
        <v>-1.9277255915561495E-4</v>
      </c>
      <c r="O79">
        <v>-2.0151050653321317E-4</v>
      </c>
      <c r="P79" s="3">
        <v>7.9299274631395574E-5</v>
      </c>
      <c r="Q79" s="3">
        <v>7.6938691586288645E-5</v>
      </c>
      <c r="R79" s="3">
        <v>7.7780200734300551E-5</v>
      </c>
      <c r="S79" s="3">
        <v>7.7497421637756617E-5</v>
      </c>
      <c r="T79">
        <f>Constraint[[#This Row],[nx]]</f>
        <v>27</v>
      </c>
      <c r="U79">
        <v>7</v>
      </c>
    </row>
    <row r="80" spans="1:21" x14ac:dyDescent="0.3">
      <c r="A80">
        <v>0</v>
      </c>
      <c r="B80">
        <v>0</v>
      </c>
      <c r="C80">
        <v>0</v>
      </c>
      <c r="D80">
        <v>0</v>
      </c>
      <c r="E80">
        <v>2.7084597748004008E-6</v>
      </c>
      <c r="F80">
        <v>0</v>
      </c>
      <c r="G80">
        <v>2.8644765324003368E-6</v>
      </c>
      <c r="H80">
        <v>0</v>
      </c>
      <c r="I80">
        <v>2.7851790679999516E-6</v>
      </c>
      <c r="J80">
        <v>0</v>
      </c>
      <c r="K80">
        <v>2.9130899352001333E-6</v>
      </c>
      <c r="L80">
        <v>-1.8593545364762633E-4</v>
      </c>
      <c r="M80">
        <v>-1.9664598620597329E-4</v>
      </c>
      <c r="N80">
        <v>-1.91202224347823E-4</v>
      </c>
      <c r="O80">
        <v>-1.9998329074600793E-4</v>
      </c>
      <c r="P80" s="3">
        <v>7.969178921486278E-5</v>
      </c>
      <c r="Q80" s="3">
        <v>7.7100106904300195E-5</v>
      </c>
      <c r="R80" s="3">
        <v>7.7977460011321599E-5</v>
      </c>
      <c r="S80" s="3">
        <v>7.7691484964744956E-5</v>
      </c>
      <c r="T80">
        <f>Constraint[[#This Row],[nx]]</f>
        <v>24</v>
      </c>
      <c r="U80">
        <v>7</v>
      </c>
    </row>
    <row r="81" spans="1:21" x14ac:dyDescent="0.3">
      <c r="A81">
        <v>0</v>
      </c>
      <c r="B81">
        <v>0</v>
      </c>
      <c r="C81">
        <v>0</v>
      </c>
      <c r="D81">
        <v>0</v>
      </c>
      <c r="E81">
        <v>2.6694985014001638E-6</v>
      </c>
      <c r="F81">
        <v>0</v>
      </c>
      <c r="G81">
        <v>2.8463841048997213E-6</v>
      </c>
      <c r="H81">
        <v>0</v>
      </c>
      <c r="I81">
        <v>2.7579582261988422E-6</v>
      </c>
      <c r="J81">
        <v>0</v>
      </c>
      <c r="K81">
        <v>2.8891166909007088E-6</v>
      </c>
      <c r="L81">
        <v>-1.8326076668651048E-4</v>
      </c>
      <c r="M81">
        <v>-1.9540394312812792E-4</v>
      </c>
      <c r="N81">
        <v>-1.8933351667268974E-4</v>
      </c>
      <c r="O81">
        <v>-1.9833753026778436E-4</v>
      </c>
      <c r="P81" s="3">
        <v>8.023929980335776E-5</v>
      </c>
      <c r="Q81" s="3">
        <v>7.729126593799461E-5</v>
      </c>
      <c r="R81" s="3">
        <v>7.8251881983540462E-5</v>
      </c>
      <c r="S81" s="3">
        <v>7.7910692099822932E-5</v>
      </c>
      <c r="T81">
        <f>Constraint[[#This Row],[nx]]</f>
        <v>21</v>
      </c>
      <c r="U81">
        <v>7</v>
      </c>
    </row>
    <row r="82" spans="1:21" x14ac:dyDescent="0.3">
      <c r="A82">
        <v>0</v>
      </c>
      <c r="B82">
        <v>0</v>
      </c>
      <c r="C82">
        <v>0</v>
      </c>
      <c r="D82">
        <v>0</v>
      </c>
      <c r="E82">
        <v>2.6216423124995891E-6</v>
      </c>
      <c r="F82">
        <v>0</v>
      </c>
      <c r="G82">
        <v>2.8271877968010645E-6</v>
      </c>
      <c r="H82">
        <v>0</v>
      </c>
      <c r="I82">
        <v>2.723943534500145E-6</v>
      </c>
      <c r="J82">
        <v>0</v>
      </c>
      <c r="K82">
        <v>2.8633727865001041E-6</v>
      </c>
      <c r="L82">
        <v>-1.7997544479401995E-4</v>
      </c>
      <c r="M82">
        <v>-1.9408611877352877E-4</v>
      </c>
      <c r="N82">
        <v>-1.8699841197941593E-4</v>
      </c>
      <c r="O82">
        <v>-1.9657021417621157E-4</v>
      </c>
      <c r="P82" s="3">
        <v>8.1035604452670058E-5</v>
      </c>
      <c r="Q82" s="3">
        <v>7.7524166422808597E-5</v>
      </c>
      <c r="R82" s="3">
        <v>7.8653379650892708E-5</v>
      </c>
      <c r="S82" s="3">
        <v>7.8166669925801055E-5</v>
      </c>
      <c r="T82">
        <f>Constraint[[#This Row],[nx]]</f>
        <v>18</v>
      </c>
      <c r="U82">
        <v>7</v>
      </c>
    </row>
    <row r="83" spans="1:21" x14ac:dyDescent="0.3">
      <c r="A83">
        <v>0</v>
      </c>
      <c r="B83">
        <v>0</v>
      </c>
      <c r="C83">
        <v>0</v>
      </c>
      <c r="D83">
        <v>0</v>
      </c>
      <c r="E83">
        <v>2.5621649397001428E-6</v>
      </c>
      <c r="F83">
        <v>0</v>
      </c>
      <c r="G83">
        <v>2.8068716596014315E-6</v>
      </c>
      <c r="H83">
        <v>0</v>
      </c>
      <c r="I83">
        <v>2.6788155958988591E-6</v>
      </c>
      <c r="J83">
        <v>0</v>
      </c>
      <c r="K83">
        <v>2.8364486240987918E-6</v>
      </c>
      <c r="L83">
        <v>-1.7589232995653126E-4</v>
      </c>
      <c r="M83">
        <v>-1.9269141827927411E-4</v>
      </c>
      <c r="N83">
        <v>-1.839003841578174E-4</v>
      </c>
      <c r="O83">
        <v>-1.9472187350792758E-4</v>
      </c>
      <c r="P83" s="3">
        <v>8.2253134083826426E-5</v>
      </c>
      <c r="Q83" s="3">
        <v>7.781970208508539E-5</v>
      </c>
      <c r="R83" s="3">
        <v>7.9279560825078676E-5</v>
      </c>
      <c r="S83" s="3">
        <v>7.8476832139392941E-5</v>
      </c>
      <c r="T83">
        <f>Constraint[[#This Row],[nx]]</f>
        <v>15</v>
      </c>
      <c r="U83">
        <v>7</v>
      </c>
    </row>
    <row r="84" spans="1:21" x14ac:dyDescent="0.3">
      <c r="A84">
        <v>0</v>
      </c>
      <c r="B84">
        <v>0</v>
      </c>
      <c r="C84">
        <v>0</v>
      </c>
      <c r="D84">
        <v>0</v>
      </c>
      <c r="E84">
        <v>2.4906008934000995E-6</v>
      </c>
      <c r="F84">
        <v>0</v>
      </c>
      <c r="G84">
        <v>2.7855598258991199E-6</v>
      </c>
      <c r="H84">
        <v>0</v>
      </c>
      <c r="I84">
        <v>2.614917836199146E-6</v>
      </c>
      <c r="J84">
        <v>0</v>
      </c>
      <c r="K84">
        <v>2.8076060429003957E-6</v>
      </c>
      <c r="L84">
        <v>-1.7097946636614181E-4</v>
      </c>
      <c r="M84">
        <v>-1.9122836333403809E-4</v>
      </c>
      <c r="N84">
        <v>-1.7951381026538871E-4</v>
      </c>
      <c r="O84">
        <v>-1.9274183360872173E-4</v>
      </c>
      <c r="P84" s="3">
        <v>8.422738441448804E-5</v>
      </c>
      <c r="Q84" s="3">
        <v>7.8217318903282647E-5</v>
      </c>
      <c r="R84" s="3">
        <v>8.0341388326157019E-5</v>
      </c>
      <c r="S84" s="3">
        <v>7.8888865883964038E-5</v>
      </c>
      <c r="T84">
        <f>Constraint[[#This Row],[nx]]</f>
        <v>12</v>
      </c>
      <c r="U84">
        <v>7</v>
      </c>
    </row>
    <row r="85" spans="1:21" x14ac:dyDescent="0.3">
      <c r="A85">
        <v>0</v>
      </c>
      <c r="B85">
        <v>0</v>
      </c>
      <c r="C85">
        <v>0</v>
      </c>
      <c r="D85">
        <v>0</v>
      </c>
      <c r="E85">
        <v>2.4197401300007221E-6</v>
      </c>
      <c r="F85">
        <v>0</v>
      </c>
      <c r="G85">
        <v>2.7633334888001876E-6</v>
      </c>
      <c r="H85">
        <v>0</v>
      </c>
      <c r="I85">
        <v>2.520587988601164E-6</v>
      </c>
      <c r="J85">
        <v>0</v>
      </c>
      <c r="K85">
        <v>2.7812051597003035E-6</v>
      </c>
      <c r="L85">
        <v>-1.6611488306642053E-4</v>
      </c>
      <c r="M85">
        <v>-1.897025278352546E-4</v>
      </c>
      <c r="N85">
        <v>-1.7303807702067492E-4</v>
      </c>
      <c r="O85">
        <v>-1.9092941599773393E-4</v>
      </c>
      <c r="P85" s="3">
        <v>8.7632020221649622E-5</v>
      </c>
      <c r="Q85" s="3">
        <v>7.8793589044441332E-5</v>
      </c>
      <c r="R85" s="3">
        <v>8.2352023589925437E-5</v>
      </c>
      <c r="S85" s="3">
        <v>7.9449847196417367E-5</v>
      </c>
      <c r="T85">
        <f>Constraint[[#This Row],[nx]]</f>
        <v>9</v>
      </c>
      <c r="U85">
        <v>7</v>
      </c>
    </row>
    <row r="86" spans="1:21" x14ac:dyDescent="0.3">
      <c r="A86">
        <v>0</v>
      </c>
      <c r="B86">
        <v>0</v>
      </c>
      <c r="C86">
        <v>0</v>
      </c>
      <c r="D86">
        <v>0</v>
      </c>
      <c r="E86">
        <v>2.410364209500665E-6</v>
      </c>
      <c r="F86">
        <v>0</v>
      </c>
      <c r="G86">
        <v>2.7379345568009222E-6</v>
      </c>
      <c r="H86">
        <v>0</v>
      </c>
      <c r="I86">
        <v>2.4055966656010702E-6</v>
      </c>
      <c r="J86">
        <v>0</v>
      </c>
      <c r="K86">
        <v>2.7482115431010784E-6</v>
      </c>
      <c r="L86">
        <v>-1.6547122719684504E-4</v>
      </c>
      <c r="M86">
        <v>-1.8795889405956077E-4</v>
      </c>
      <c r="N86">
        <v>-1.651439358536233E-4</v>
      </c>
      <c r="O86">
        <v>-1.8866440799320981E-4</v>
      </c>
      <c r="P86" s="3">
        <v>9.359598601405979E-5</v>
      </c>
      <c r="Q86" s="3">
        <v>7.9607664569978406E-5</v>
      </c>
      <c r="R86" s="3">
        <v>8.6640712721530527E-5</v>
      </c>
      <c r="S86" s="3">
        <v>8.0286408900682557E-5</v>
      </c>
      <c r="T86">
        <f>Constraint[[#This Row],[nx]]</f>
        <v>6</v>
      </c>
      <c r="U86">
        <v>7</v>
      </c>
    </row>
    <row r="87" spans="1:21" x14ac:dyDescent="0.3">
      <c r="A87">
        <v>0</v>
      </c>
      <c r="B87">
        <v>0</v>
      </c>
      <c r="C87">
        <v>0</v>
      </c>
      <c r="D87">
        <v>0</v>
      </c>
      <c r="E87">
        <v>4.12954262270053E-6</v>
      </c>
      <c r="F87">
        <v>0</v>
      </c>
      <c r="G87">
        <v>4.1426116605004087E-6</v>
      </c>
      <c r="H87">
        <v>0</v>
      </c>
      <c r="I87">
        <v>4.1077622769999239E-6</v>
      </c>
      <c r="J87">
        <v>0</v>
      </c>
      <c r="K87">
        <v>4.1527344437006231E-6</v>
      </c>
      <c r="L87">
        <v>-2.8349262856067897E-4</v>
      </c>
      <c r="M87">
        <v>-2.8438981651032758E-4</v>
      </c>
      <c r="N87">
        <v>-2.8199741032036707E-4</v>
      </c>
      <c r="O87">
        <v>-2.8508474441880927E-4</v>
      </c>
      <c r="P87" s="3">
        <v>7.7629967675402629E-5</v>
      </c>
      <c r="Q87" s="3">
        <v>7.4157545015526974E-5</v>
      </c>
      <c r="R87" s="3">
        <v>7.6203870914703407E-5</v>
      </c>
      <c r="S87" s="3">
        <v>7.343306275787E-5</v>
      </c>
      <c r="T87">
        <f>Constraint[[#This Row],[nx]]</f>
        <v>120</v>
      </c>
      <c r="U87">
        <v>5</v>
      </c>
    </row>
    <row r="88" spans="1:21" x14ac:dyDescent="0.3">
      <c r="A88">
        <v>0</v>
      </c>
      <c r="B88">
        <v>0</v>
      </c>
      <c r="C88">
        <v>0</v>
      </c>
      <c r="D88">
        <v>0</v>
      </c>
      <c r="E88">
        <v>4.1157521603000374E-6</v>
      </c>
      <c r="F88">
        <v>0</v>
      </c>
      <c r="G88">
        <v>4.1468835956012112E-6</v>
      </c>
      <c r="H88">
        <v>0</v>
      </c>
      <c r="I88">
        <v>4.1025544197988845E-6</v>
      </c>
      <c r="J88">
        <v>0</v>
      </c>
      <c r="K88">
        <v>4.1695949341002958E-6</v>
      </c>
      <c r="L88">
        <v>-2.8254591489474019E-4</v>
      </c>
      <c r="M88">
        <v>-2.8468308436621625E-4</v>
      </c>
      <c r="N88">
        <v>-2.8163989151937935E-4</v>
      </c>
      <c r="O88">
        <v>-2.8624221515562154E-4</v>
      </c>
      <c r="P88" s="3">
        <v>7.7704820439051048E-5</v>
      </c>
      <c r="Q88" s="3">
        <v>7.4188980508449839E-5</v>
      </c>
      <c r="R88" s="3">
        <v>7.6256853372045347E-5</v>
      </c>
      <c r="S88" s="3">
        <v>7.3520861579837152E-5</v>
      </c>
      <c r="T88">
        <f>Constraint[[#This Row],[nx]]</f>
        <v>102</v>
      </c>
      <c r="U88">
        <v>5</v>
      </c>
    </row>
    <row r="89" spans="1:21" x14ac:dyDescent="0.3">
      <c r="A89">
        <v>0</v>
      </c>
      <c r="B89">
        <v>0</v>
      </c>
      <c r="C89">
        <v>0</v>
      </c>
      <c r="D89">
        <v>0</v>
      </c>
      <c r="E89">
        <v>4.0824703756003194E-6</v>
      </c>
      <c r="F89">
        <v>0</v>
      </c>
      <c r="G89">
        <v>4.1335088857997332E-6</v>
      </c>
      <c r="H89">
        <v>0</v>
      </c>
      <c r="I89">
        <v>4.0799058583992909E-6</v>
      </c>
      <c r="J89">
        <v>0</v>
      </c>
      <c r="K89">
        <v>4.1707347823993768E-6</v>
      </c>
      <c r="L89">
        <v>-2.8026112418308956E-4</v>
      </c>
      <c r="M89">
        <v>-2.8376491206862087E-4</v>
      </c>
      <c r="N89">
        <v>-2.8008507037066005E-4</v>
      </c>
      <c r="O89">
        <v>-2.8632046561094526E-4</v>
      </c>
      <c r="P89" s="3">
        <v>7.781751335901028E-5</v>
      </c>
      <c r="Q89" s="3">
        <v>7.4274785211335176E-5</v>
      </c>
      <c r="R89" s="3">
        <v>7.6344038431311654E-5</v>
      </c>
      <c r="S89" s="3">
        <v>7.368096324716042E-5</v>
      </c>
      <c r="T89">
        <f>Constraint[[#This Row],[nx]]</f>
        <v>87</v>
      </c>
      <c r="U89">
        <v>5</v>
      </c>
    </row>
    <row r="90" spans="1:21" x14ac:dyDescent="0.3">
      <c r="A90">
        <v>0</v>
      </c>
      <c r="B90">
        <v>0</v>
      </c>
      <c r="C90">
        <v>0</v>
      </c>
      <c r="D90">
        <v>0</v>
      </c>
      <c r="E90">
        <v>4.0198659784010382E-6</v>
      </c>
      <c r="F90">
        <v>0</v>
      </c>
      <c r="G90">
        <v>4.0952343177986378E-6</v>
      </c>
      <c r="H90">
        <v>0</v>
      </c>
      <c r="I90">
        <v>4.0317876813002196E-6</v>
      </c>
      <c r="J90">
        <v>0</v>
      </c>
      <c r="K90">
        <v>4.1517510688017512E-6</v>
      </c>
      <c r="L90">
        <v>-2.7596333947833319E-4</v>
      </c>
      <c r="M90">
        <v>-2.8113736735459194E-4</v>
      </c>
      <c r="N90">
        <v>-2.7678176301832239E-4</v>
      </c>
      <c r="O90">
        <v>-2.8501723584452299E-4</v>
      </c>
      <c r="P90" s="3">
        <v>7.7998811006925307E-5</v>
      </c>
      <c r="Q90" s="3">
        <v>7.4446885385574127E-5</v>
      </c>
      <c r="R90" s="3">
        <v>7.6487670955652936E-5</v>
      </c>
      <c r="S90" s="3">
        <v>7.396504559357205E-5</v>
      </c>
      <c r="T90">
        <f>Constraint[[#This Row],[nx]]</f>
        <v>72</v>
      </c>
      <c r="U90">
        <v>5</v>
      </c>
    </row>
    <row r="91" spans="1:21" x14ac:dyDescent="0.3">
      <c r="A91">
        <v>0</v>
      </c>
      <c r="B91">
        <v>0</v>
      </c>
      <c r="C91">
        <v>0</v>
      </c>
      <c r="D91">
        <v>0</v>
      </c>
      <c r="E91">
        <v>3.9640965206998169E-6</v>
      </c>
      <c r="F91">
        <v>0</v>
      </c>
      <c r="G91">
        <v>4.0561285042008816E-6</v>
      </c>
      <c r="H91">
        <v>0</v>
      </c>
      <c r="I91">
        <v>3.9868709182013656E-6</v>
      </c>
      <c r="J91">
        <v>0</v>
      </c>
      <c r="K91">
        <v>4.126826908000536E-6</v>
      </c>
      <c r="L91">
        <v>-2.7213477258808925E-4</v>
      </c>
      <c r="M91">
        <v>-2.7845275772546418E-4</v>
      </c>
      <c r="N91">
        <v>-2.7369823237080246E-4</v>
      </c>
      <c r="O91">
        <v>-2.8330619505724519E-4</v>
      </c>
      <c r="P91" s="3">
        <v>7.8154113001566733E-5</v>
      </c>
      <c r="Q91" s="3">
        <v>7.4608546493996731E-5</v>
      </c>
      <c r="R91" s="3">
        <v>7.6609312058291084E-5</v>
      </c>
      <c r="S91" s="3">
        <v>7.4219213814296484E-5</v>
      </c>
      <c r="T91">
        <f>Constraint[[#This Row],[nx]]</f>
        <v>63</v>
      </c>
      <c r="U91">
        <v>5</v>
      </c>
    </row>
    <row r="92" spans="1:21" x14ac:dyDescent="0.3">
      <c r="A92">
        <v>0</v>
      </c>
      <c r="B92">
        <v>0</v>
      </c>
      <c r="C92">
        <v>0</v>
      </c>
      <c r="D92">
        <v>0</v>
      </c>
      <c r="E92">
        <v>3.8922098266006705E-6</v>
      </c>
      <c r="F92">
        <v>0</v>
      </c>
      <c r="G92">
        <v>4.0026847517998787E-6</v>
      </c>
      <c r="H92">
        <v>0</v>
      </c>
      <c r="I92">
        <v>3.9278007721993413E-6</v>
      </c>
      <c r="J92">
        <v>0</v>
      </c>
      <c r="K92">
        <v>4.0892437817019456E-6</v>
      </c>
      <c r="L92">
        <v>-2.6719975926320534E-4</v>
      </c>
      <c r="M92">
        <v>-2.7478385023797791E-4</v>
      </c>
      <c r="N92">
        <v>-2.6964307360636403E-4</v>
      </c>
      <c r="O92">
        <v>-2.8072611773696798E-4</v>
      </c>
      <c r="P92" s="3">
        <v>7.8359057104445656E-5</v>
      </c>
      <c r="Q92" s="3">
        <v>7.4827655298772853E-5</v>
      </c>
      <c r="R92" s="3">
        <v>7.6764533013795412E-5</v>
      </c>
      <c r="S92" s="3">
        <v>7.4556292784877596E-5</v>
      </c>
      <c r="T92">
        <f>Constraint[[#This Row],[nx]]</f>
        <v>54</v>
      </c>
      <c r="U92">
        <v>5</v>
      </c>
    </row>
    <row r="93" spans="1:21" x14ac:dyDescent="0.3">
      <c r="A93">
        <v>0</v>
      </c>
      <c r="B93">
        <v>0</v>
      </c>
      <c r="C93">
        <v>0</v>
      </c>
      <c r="D93">
        <v>0</v>
      </c>
      <c r="E93">
        <v>3.8024007712987584E-6</v>
      </c>
      <c r="F93">
        <v>0</v>
      </c>
      <c r="G93">
        <v>3.9340618777986003E-6</v>
      </c>
      <c r="H93">
        <v>0</v>
      </c>
      <c r="I93">
        <v>3.8534184794002807E-6</v>
      </c>
      <c r="J93">
        <v>0</v>
      </c>
      <c r="K93">
        <v>4.0367342871005379E-6</v>
      </c>
      <c r="L93">
        <v>-2.6103437789236458E-4</v>
      </c>
      <c r="M93">
        <v>-2.7007289778937377E-4</v>
      </c>
      <c r="N93">
        <v>-2.6453673771626926E-4</v>
      </c>
      <c r="O93">
        <v>-2.7712134694053703E-4</v>
      </c>
      <c r="P93" s="3">
        <v>7.8638603151131824E-5</v>
      </c>
      <c r="Q93" s="3">
        <v>7.5118683375996763E-5</v>
      </c>
      <c r="R93" s="3">
        <v>7.6963512126832737E-5</v>
      </c>
      <c r="S93" s="3">
        <v>7.499796479147234E-5</v>
      </c>
      <c r="T93">
        <f>Constraint[[#This Row],[nx]]</f>
        <v>45</v>
      </c>
      <c r="U93">
        <v>5</v>
      </c>
    </row>
    <row r="94" spans="1:21" x14ac:dyDescent="0.3">
      <c r="A94">
        <v>0</v>
      </c>
      <c r="B94">
        <v>0</v>
      </c>
      <c r="C94">
        <v>0</v>
      </c>
      <c r="D94">
        <v>0</v>
      </c>
      <c r="E94">
        <v>3.7313830939002257E-6</v>
      </c>
      <c r="F94">
        <v>0</v>
      </c>
      <c r="G94">
        <v>3.879927483000159E-6</v>
      </c>
      <c r="H94">
        <v>0</v>
      </c>
      <c r="I94">
        <v>3.7948217575002607E-6</v>
      </c>
      <c r="J94">
        <v>0</v>
      </c>
      <c r="K94">
        <v>3.991664364400363E-6</v>
      </c>
      <c r="L94">
        <v>-2.5615902246454753E-4</v>
      </c>
      <c r="M94">
        <v>-2.6635657778033284E-4</v>
      </c>
      <c r="N94">
        <v>-2.6051407946226304E-4</v>
      </c>
      <c r="O94">
        <v>-2.7402730190391467E-4</v>
      </c>
      <c r="P94" s="3">
        <v>7.8893055184432197E-5</v>
      </c>
      <c r="Q94" s="3">
        <v>7.5362832118184946E-5</v>
      </c>
      <c r="R94" s="3">
        <v>7.713161367940855E-5</v>
      </c>
      <c r="S94" s="3">
        <v>7.5364641625463879E-5</v>
      </c>
      <c r="T94">
        <f>Constraint[[#This Row],[nx]]</f>
        <v>39</v>
      </c>
      <c r="U94">
        <v>5</v>
      </c>
    </row>
    <row r="95" spans="1:21" x14ac:dyDescent="0.3">
      <c r="A95">
        <v>0</v>
      </c>
      <c r="B95">
        <v>0</v>
      </c>
      <c r="C95">
        <v>0</v>
      </c>
      <c r="D95">
        <v>0</v>
      </c>
      <c r="E95">
        <v>3.6495665866002197E-6</v>
      </c>
      <c r="F95">
        <v>0</v>
      </c>
      <c r="G95">
        <v>3.8191284663004893E-6</v>
      </c>
      <c r="H95">
        <v>0</v>
      </c>
      <c r="I95">
        <v>3.7281222201000774E-6</v>
      </c>
      <c r="J95">
        <v>0</v>
      </c>
      <c r="K95">
        <v>3.9360865271009793E-6</v>
      </c>
      <c r="L95">
        <v>-2.5054232859955932E-4</v>
      </c>
      <c r="M95">
        <v>-2.6218273224030975E-4</v>
      </c>
      <c r="N95">
        <v>-2.5593516385126469E-4</v>
      </c>
      <c r="O95">
        <v>-2.7021188973232885E-4</v>
      </c>
      <c r="P95" s="3">
        <v>7.9244720453849237E-5</v>
      </c>
      <c r="Q95" s="3">
        <v>7.5659144326987334E-5</v>
      </c>
      <c r="R95" s="3">
        <v>7.7347417724200475E-5</v>
      </c>
      <c r="S95" s="3">
        <v>7.5802600325519293E-5</v>
      </c>
      <c r="T95">
        <f>Constraint[[#This Row],[nx]]</f>
        <v>33</v>
      </c>
      <c r="U95">
        <v>5</v>
      </c>
    </row>
    <row r="96" spans="1:21" x14ac:dyDescent="0.3">
      <c r="A96">
        <v>0</v>
      </c>
      <c r="B96">
        <v>0</v>
      </c>
      <c r="C96">
        <v>0</v>
      </c>
      <c r="D96">
        <v>0</v>
      </c>
      <c r="E96">
        <v>3.5528723527009087E-6</v>
      </c>
      <c r="F96">
        <v>0</v>
      </c>
      <c r="G96">
        <v>3.7511084525990862E-6</v>
      </c>
      <c r="H96">
        <v>0</v>
      </c>
      <c r="I96">
        <v>3.6508455890007369E-6</v>
      </c>
      <c r="J96">
        <v>0</v>
      </c>
      <c r="K96">
        <v>3.8661315659004741E-6</v>
      </c>
      <c r="L96">
        <v>-2.4390428050578492E-4</v>
      </c>
      <c r="M96">
        <v>-2.5751316608231545E-4</v>
      </c>
      <c r="N96">
        <v>-2.5063013196801459E-4</v>
      </c>
      <c r="O96">
        <v>-2.6540948964991901E-4</v>
      </c>
      <c r="P96" s="3">
        <v>7.9780549055612958E-5</v>
      </c>
      <c r="Q96" s="3">
        <v>7.6027608364981217E-5</v>
      </c>
      <c r="R96" s="3">
        <v>7.7653199458279669E-5</v>
      </c>
      <c r="S96" s="3">
        <v>7.632851807342401E-5</v>
      </c>
      <c r="T96">
        <f>Constraint[[#This Row],[nx]]</f>
        <v>27</v>
      </c>
      <c r="U96">
        <v>5</v>
      </c>
    </row>
    <row r="97" spans="1:21" x14ac:dyDescent="0.3">
      <c r="A97">
        <v>0</v>
      </c>
      <c r="B97">
        <v>0</v>
      </c>
      <c r="C97">
        <v>0</v>
      </c>
      <c r="D97">
        <v>0</v>
      </c>
      <c r="E97">
        <v>3.4963748516986942E-6</v>
      </c>
      <c r="F97">
        <v>0</v>
      </c>
      <c r="G97">
        <v>3.7139215398000053E-6</v>
      </c>
      <c r="H97">
        <v>0</v>
      </c>
      <c r="I97">
        <v>3.6064392796002903E-6</v>
      </c>
      <c r="J97">
        <v>0</v>
      </c>
      <c r="K97">
        <v>3.8240715238002654E-6</v>
      </c>
      <c r="L97">
        <v>-2.4002573352622722E-4</v>
      </c>
      <c r="M97">
        <v>-2.5496028877345506E-4</v>
      </c>
      <c r="N97">
        <v>-2.4758164390848748E-4</v>
      </c>
      <c r="O97">
        <v>-2.6252207257210225E-4</v>
      </c>
      <c r="P97" s="3">
        <v>8.0174965225481934E-5</v>
      </c>
      <c r="Q97" s="3">
        <v>7.625029215831563E-5</v>
      </c>
      <c r="R97" s="3">
        <v>7.7869074707360967E-5</v>
      </c>
      <c r="S97" s="3">
        <v>7.663237075894192E-5</v>
      </c>
      <c r="T97">
        <f>Constraint[[#This Row],[nx]]</f>
        <v>24</v>
      </c>
      <c r="U97">
        <v>5</v>
      </c>
    </row>
    <row r="98" spans="1:21" x14ac:dyDescent="0.3">
      <c r="A98">
        <v>0</v>
      </c>
      <c r="B98">
        <v>0</v>
      </c>
      <c r="C98">
        <v>0</v>
      </c>
      <c r="D98">
        <v>0</v>
      </c>
      <c r="E98">
        <v>3.4320392362993668E-6</v>
      </c>
      <c r="F98">
        <v>0</v>
      </c>
      <c r="G98">
        <v>3.6742566969991119E-6</v>
      </c>
      <c r="H98">
        <v>0</v>
      </c>
      <c r="I98">
        <v>3.556255165900607E-6</v>
      </c>
      <c r="J98">
        <v>0</v>
      </c>
      <c r="K98">
        <v>3.7763509376006338E-6</v>
      </c>
      <c r="L98">
        <v>-2.3560910089011691E-4</v>
      </c>
      <c r="M98">
        <v>-2.5223730185348209E-4</v>
      </c>
      <c r="N98">
        <v>-2.4413651024489391E-4</v>
      </c>
      <c r="O98">
        <v>-2.5924605978951826E-4</v>
      </c>
      <c r="P98" s="3">
        <v>8.0715814975974593E-5</v>
      </c>
      <c r="Q98" s="3">
        <v>7.65093310089256E-5</v>
      </c>
      <c r="R98" s="3">
        <v>7.8159802947380983E-5</v>
      </c>
      <c r="S98" s="3">
        <v>7.6970576376319424E-5</v>
      </c>
      <c r="T98">
        <f>Constraint[[#This Row],[nx]]</f>
        <v>21</v>
      </c>
      <c r="U98">
        <v>5</v>
      </c>
    </row>
    <row r="99" spans="1:21" x14ac:dyDescent="0.3">
      <c r="A99">
        <v>0</v>
      </c>
      <c r="B99">
        <v>0</v>
      </c>
      <c r="C99">
        <v>0</v>
      </c>
      <c r="D99">
        <v>0</v>
      </c>
      <c r="E99">
        <v>3.3570898555004836E-6</v>
      </c>
      <c r="F99">
        <v>0</v>
      </c>
      <c r="G99">
        <v>3.6319281750997467E-6</v>
      </c>
      <c r="H99">
        <v>0</v>
      </c>
      <c r="I99">
        <v>3.4975933380001351E-6</v>
      </c>
      <c r="J99">
        <v>0</v>
      </c>
      <c r="K99">
        <v>3.7224027417005062E-6</v>
      </c>
      <c r="L99">
        <v>-2.3046383447371949E-4</v>
      </c>
      <c r="M99">
        <v>-2.4933145366817788E-4</v>
      </c>
      <c r="N99">
        <v>-2.4010938247140618E-4</v>
      </c>
      <c r="O99">
        <v>-2.5554252231353713E-4</v>
      </c>
      <c r="P99" s="3">
        <v>8.1493628130175179E-5</v>
      </c>
      <c r="Q99" s="3">
        <v>7.681847738413428E-5</v>
      </c>
      <c r="R99" s="3">
        <v>7.8575429386429935E-5</v>
      </c>
      <c r="S99" s="3">
        <v>7.7353745163899934E-5</v>
      </c>
      <c r="T99">
        <f>Constraint[[#This Row],[nx]]</f>
        <v>18</v>
      </c>
      <c r="U99">
        <v>5</v>
      </c>
    </row>
    <row r="100" spans="1:21" x14ac:dyDescent="0.3">
      <c r="A100">
        <v>0</v>
      </c>
      <c r="B100">
        <v>0</v>
      </c>
      <c r="C100">
        <v>0</v>
      </c>
      <c r="D100">
        <v>0</v>
      </c>
      <c r="E100">
        <v>3.2679333123002141E-6</v>
      </c>
      <c r="F100">
        <v>0</v>
      </c>
      <c r="G100">
        <v>3.5870872195000597E-6</v>
      </c>
      <c r="H100">
        <v>0</v>
      </c>
      <c r="I100">
        <v>3.4256252845997481E-6</v>
      </c>
      <c r="J100">
        <v>0</v>
      </c>
      <c r="K100">
        <v>3.6631127332993618E-6</v>
      </c>
      <c r="L100">
        <v>-2.2434324798400324E-4</v>
      </c>
      <c r="M100">
        <v>-2.4625312719680006E-4</v>
      </c>
      <c r="N100">
        <v>-2.3516878383980037E-4</v>
      </c>
      <c r="O100">
        <v>-2.5147227002055017E-4</v>
      </c>
      <c r="P100" s="3">
        <v>8.2675727507786114E-5</v>
      </c>
      <c r="Q100" s="3">
        <v>7.7200703840298808E-5</v>
      </c>
      <c r="R100" s="3">
        <v>7.9214087291855362E-5</v>
      </c>
      <c r="S100" s="3">
        <v>7.7796729618645827E-5</v>
      </c>
      <c r="T100">
        <f>Constraint[[#This Row],[nx]]</f>
        <v>15</v>
      </c>
      <c r="U100">
        <v>5</v>
      </c>
    </row>
    <row r="101" spans="1:21" x14ac:dyDescent="0.3">
      <c r="A101">
        <v>0</v>
      </c>
      <c r="B101">
        <v>0</v>
      </c>
      <c r="C101">
        <v>0</v>
      </c>
      <c r="D101">
        <v>0</v>
      </c>
      <c r="E101">
        <v>3.1615122312988325E-6</v>
      </c>
      <c r="F101">
        <v>0</v>
      </c>
      <c r="G101">
        <v>3.5405761474992942E-6</v>
      </c>
      <c r="H101">
        <v>0</v>
      </c>
      <c r="I101">
        <v>3.331238451600993E-6</v>
      </c>
      <c r="J101">
        <v>0</v>
      </c>
      <c r="K101">
        <v>3.5978251945005535E-6</v>
      </c>
      <c r="L101">
        <v>-2.1703745294958388E-4</v>
      </c>
      <c r="M101">
        <v>-2.4306014742558196E-4</v>
      </c>
      <c r="N101">
        <v>-2.2868913855384268E-4</v>
      </c>
      <c r="O101">
        <v>-2.4699028795198419E-4</v>
      </c>
      <c r="P101" s="3">
        <v>8.4589793915863877E-5</v>
      </c>
      <c r="Q101" s="3">
        <v>7.7697651496727794E-5</v>
      </c>
      <c r="R101" s="3">
        <v>8.0287930962599246E-5</v>
      </c>
      <c r="S101" s="3">
        <v>7.8350904292220702E-5</v>
      </c>
      <c r="T101">
        <f>Constraint[[#This Row],[nx]]</f>
        <v>12</v>
      </c>
      <c r="U101">
        <v>5</v>
      </c>
    </row>
    <row r="102" spans="1:21" x14ac:dyDescent="0.3">
      <c r="A102">
        <v>0</v>
      </c>
      <c r="B102">
        <v>0</v>
      </c>
      <c r="C102">
        <v>0</v>
      </c>
      <c r="D102">
        <v>0</v>
      </c>
      <c r="E102">
        <v>3.0432476342996673E-6</v>
      </c>
      <c r="F102">
        <v>0</v>
      </c>
      <c r="G102">
        <v>3.494069594600635E-6</v>
      </c>
      <c r="H102">
        <v>0</v>
      </c>
      <c r="I102">
        <v>3.1978015242999785E-6</v>
      </c>
      <c r="J102">
        <v>0</v>
      </c>
      <c r="K102">
        <v>3.5381161080996759E-6</v>
      </c>
      <c r="L102">
        <v>-2.0891860189700684E-4</v>
      </c>
      <c r="M102">
        <v>-2.3986747789020609E-4</v>
      </c>
      <c r="N102">
        <v>-2.1952870876201097E-4</v>
      </c>
      <c r="O102">
        <v>-2.4289126600226738E-4</v>
      </c>
      <c r="P102" s="3">
        <v>8.7900368728631499E-5</v>
      </c>
      <c r="Q102" s="3">
        <v>7.8388348218023679E-5</v>
      </c>
      <c r="R102" s="3">
        <v>8.2312906109386803E-5</v>
      </c>
      <c r="S102" s="3">
        <v>7.9038760827942556E-5</v>
      </c>
      <c r="T102">
        <f>Constraint[[#This Row],[nx]]</f>
        <v>9</v>
      </c>
      <c r="U102">
        <v>5</v>
      </c>
    </row>
    <row r="103" spans="1:21" x14ac:dyDescent="0.3">
      <c r="A103">
        <v>0</v>
      </c>
      <c r="B103">
        <v>0</v>
      </c>
      <c r="C103">
        <v>0</v>
      </c>
      <c r="D103">
        <v>0</v>
      </c>
      <c r="E103">
        <v>2.9583079849994365E-6</v>
      </c>
      <c r="F103">
        <v>0</v>
      </c>
      <c r="G103">
        <v>3.4469738604998856E-6</v>
      </c>
      <c r="H103">
        <v>0</v>
      </c>
      <c r="I103">
        <v>3.0205007220014679E-6</v>
      </c>
      <c r="J103">
        <v>0</v>
      </c>
      <c r="K103">
        <v>3.4689905206997107E-6</v>
      </c>
      <c r="L103">
        <v>-2.0308750469105741E-4</v>
      </c>
      <c r="M103">
        <v>-2.366343611327165E-4</v>
      </c>
      <c r="N103">
        <v>-2.0735702897035913E-4</v>
      </c>
      <c r="O103">
        <v>-2.3814580233636569E-4</v>
      </c>
      <c r="P103" s="3">
        <v>9.3740074957022557E-5</v>
      </c>
      <c r="Q103" s="3">
        <v>7.9335156162573106E-5</v>
      </c>
      <c r="R103" s="3">
        <v>8.6624089904907848E-5</v>
      </c>
      <c r="S103" s="3">
        <v>8.0054608629289751E-5</v>
      </c>
      <c r="T103">
        <f>Constraint[[#This Row],[nx]]</f>
        <v>6</v>
      </c>
      <c r="U103">
        <v>5</v>
      </c>
    </row>
    <row r="104" spans="1:21" x14ac:dyDescent="0.3">
      <c r="A104">
        <v>0</v>
      </c>
      <c r="B104">
        <v>0</v>
      </c>
      <c r="C104">
        <v>0</v>
      </c>
      <c r="D104">
        <v>0</v>
      </c>
      <c r="E104">
        <v>4.8120190222992326E-6</v>
      </c>
      <c r="F104">
        <v>0</v>
      </c>
      <c r="G104">
        <v>4.7711620667009735E-6</v>
      </c>
      <c r="H104">
        <v>0</v>
      </c>
      <c r="I104">
        <v>4.7941573902005041E-6</v>
      </c>
      <c r="J104">
        <v>0</v>
      </c>
      <c r="K104">
        <v>4.7446461344004265E-6</v>
      </c>
      <c r="L104">
        <v>-3.3034455530658521E-4</v>
      </c>
      <c r="M104">
        <v>-3.2753972997946745E-4</v>
      </c>
      <c r="N104">
        <v>-3.2911835630667491E-4</v>
      </c>
      <c r="O104">
        <v>-3.2571941426090545E-4</v>
      </c>
      <c r="P104" s="3">
        <v>7.7831809939288225E-5</v>
      </c>
      <c r="Q104" s="3">
        <v>7.307756749690768E-5</v>
      </c>
      <c r="R104" s="3">
        <v>7.573005809093451E-5</v>
      </c>
      <c r="S104" s="3">
        <v>7.2056269313761602E-5</v>
      </c>
      <c r="T104">
        <f>Constraint[[#This Row],[nx]]</f>
        <v>120</v>
      </c>
      <c r="U104">
        <v>4</v>
      </c>
    </row>
    <row r="105" spans="1:21" x14ac:dyDescent="0.3">
      <c r="A105">
        <v>0</v>
      </c>
      <c r="B105">
        <v>0</v>
      </c>
      <c r="C105">
        <v>0</v>
      </c>
      <c r="D105">
        <v>0</v>
      </c>
      <c r="E105">
        <v>4.8343697662996121E-6</v>
      </c>
      <c r="F105">
        <v>0</v>
      </c>
      <c r="G105">
        <v>4.8081766021029759E-6</v>
      </c>
      <c r="H105">
        <v>0</v>
      </c>
      <c r="I105">
        <v>4.8201819457006911E-6</v>
      </c>
      <c r="J105">
        <v>0</v>
      </c>
      <c r="K105">
        <v>4.7936081257020369E-6</v>
      </c>
      <c r="L105">
        <v>-3.3187893132491722E-4</v>
      </c>
      <c r="M105">
        <v>-3.3008077359975019E-4</v>
      </c>
      <c r="N105">
        <v>-3.3090493906412499E-4</v>
      </c>
      <c r="O105">
        <v>-3.2908064936169878E-4</v>
      </c>
      <c r="P105" s="3">
        <v>7.786097193714538E-5</v>
      </c>
      <c r="Q105" s="3">
        <v>7.3016925197858423E-5</v>
      </c>
      <c r="R105" s="3">
        <v>7.573351113250591E-5</v>
      </c>
      <c r="S105" s="3">
        <v>7.2020213472434694E-5</v>
      </c>
      <c r="T105">
        <f>Constraint[[#This Row],[nx]]</f>
        <v>102</v>
      </c>
      <c r="U105">
        <v>4</v>
      </c>
    </row>
    <row r="106" spans="1:21" x14ac:dyDescent="0.3">
      <c r="A106">
        <v>0</v>
      </c>
      <c r="B106">
        <v>0</v>
      </c>
      <c r="C106">
        <v>0</v>
      </c>
      <c r="D106">
        <v>0</v>
      </c>
      <c r="E106">
        <v>4.8302779175994626E-6</v>
      </c>
      <c r="F106">
        <v>0</v>
      </c>
      <c r="G106">
        <v>4.8252655501998531E-6</v>
      </c>
      <c r="H106">
        <v>0</v>
      </c>
      <c r="I106">
        <v>4.8241111739004416E-6</v>
      </c>
      <c r="J106">
        <v>0</v>
      </c>
      <c r="K106">
        <v>4.8269715953001835E-6</v>
      </c>
      <c r="L106">
        <v>-3.315980263798278E-4</v>
      </c>
      <c r="M106">
        <v>-3.3125392793133257E-4</v>
      </c>
      <c r="N106">
        <v>-3.3117468013046242E-4</v>
      </c>
      <c r="O106">
        <v>-3.3137104773228732E-4</v>
      </c>
      <c r="P106" s="3">
        <v>7.7946614254638882E-5</v>
      </c>
      <c r="Q106" s="3">
        <v>7.3024977966465958E-5</v>
      </c>
      <c r="R106" s="3">
        <v>7.5788148583954995E-5</v>
      </c>
      <c r="S106" s="3">
        <v>7.207241153977151E-5</v>
      </c>
      <c r="T106">
        <f>Constraint[[#This Row],[nx]]</f>
        <v>87</v>
      </c>
      <c r="U106">
        <v>4</v>
      </c>
    </row>
    <row r="107" spans="1:21" x14ac:dyDescent="0.3">
      <c r="A107">
        <v>0</v>
      </c>
      <c r="B107">
        <v>0</v>
      </c>
      <c r="C107">
        <v>0</v>
      </c>
      <c r="D107">
        <v>0</v>
      </c>
      <c r="E107">
        <v>4.7874903295001131E-6</v>
      </c>
      <c r="F107">
        <v>0</v>
      </c>
      <c r="G107">
        <v>4.8141229276009445E-6</v>
      </c>
      <c r="H107">
        <v>0</v>
      </c>
      <c r="I107">
        <v>4.7960408193995635E-6</v>
      </c>
      <c r="J107">
        <v>0</v>
      </c>
      <c r="K107">
        <v>4.8404852249980812E-6</v>
      </c>
      <c r="L107">
        <v>-3.2866066335241265E-4</v>
      </c>
      <c r="M107">
        <v>-3.3048898816483152E-4</v>
      </c>
      <c r="N107">
        <v>-3.292476535056918E-4</v>
      </c>
      <c r="O107">
        <v>-3.3229875686485721E-4</v>
      </c>
      <c r="P107" s="3">
        <v>7.8126511133470243E-5</v>
      </c>
      <c r="Q107" s="3">
        <v>7.3137008528686398E-5</v>
      </c>
      <c r="R107" s="3">
        <v>7.5923400630755023E-5</v>
      </c>
      <c r="S107" s="3">
        <v>7.2266263246085441E-5</v>
      </c>
      <c r="T107">
        <f>Constraint[[#This Row],[nx]]</f>
        <v>72</v>
      </c>
      <c r="U107">
        <v>4</v>
      </c>
    </row>
    <row r="108" spans="1:21" x14ac:dyDescent="0.3">
      <c r="A108">
        <v>0</v>
      </c>
      <c r="B108">
        <v>0</v>
      </c>
      <c r="C108">
        <v>0</v>
      </c>
      <c r="D108">
        <v>0</v>
      </c>
      <c r="E108">
        <v>4.7331557524992601E-6</v>
      </c>
      <c r="F108">
        <v>0</v>
      </c>
      <c r="G108">
        <v>4.7844580369979517E-6</v>
      </c>
      <c r="H108">
        <v>0</v>
      </c>
      <c r="I108">
        <v>4.7546995814995441E-6</v>
      </c>
      <c r="J108">
        <v>0</v>
      </c>
      <c r="K108">
        <v>4.8309550464975537E-6</v>
      </c>
      <c r="L108">
        <v>-3.2493060085807442E-4</v>
      </c>
      <c r="M108">
        <v>-3.2845249681909272E-4</v>
      </c>
      <c r="N108">
        <v>-3.2640958225397393E-4</v>
      </c>
      <c r="O108">
        <v>-3.316445112012123E-4</v>
      </c>
      <c r="P108" s="3">
        <v>7.830232874467853E-5</v>
      </c>
      <c r="Q108" s="3">
        <v>7.328505081693394E-5</v>
      </c>
      <c r="R108" s="3">
        <v>7.6061737452724011E-5</v>
      </c>
      <c r="S108" s="3">
        <v>7.2491531965995743E-5</v>
      </c>
      <c r="T108">
        <f>Constraint[[#This Row],[nx]]</f>
        <v>63</v>
      </c>
      <c r="U108">
        <v>4</v>
      </c>
    </row>
    <row r="109" spans="1:21" x14ac:dyDescent="0.3">
      <c r="A109">
        <v>0</v>
      </c>
      <c r="B109">
        <v>0</v>
      </c>
      <c r="C109">
        <v>0</v>
      </c>
      <c r="D109">
        <v>0</v>
      </c>
      <c r="E109">
        <v>4.6496260556003893E-6</v>
      </c>
      <c r="F109">
        <v>0</v>
      </c>
      <c r="G109">
        <v>4.7302240025991205E-6</v>
      </c>
      <c r="H109">
        <v>0</v>
      </c>
      <c r="I109">
        <v>4.6878955933006561E-6</v>
      </c>
      <c r="J109">
        <v>0</v>
      </c>
      <c r="K109">
        <v>4.801759765700464E-6</v>
      </c>
      <c r="L109">
        <v>-3.1919629672314031E-4</v>
      </c>
      <c r="M109">
        <v>-3.2472933656287062E-4</v>
      </c>
      <c r="N109">
        <v>-3.2182349610759831E-4</v>
      </c>
      <c r="O109">
        <v>-3.2964025851490997E-4</v>
      </c>
      <c r="P109" s="3">
        <v>7.8550018931932043E-5</v>
      </c>
      <c r="Q109" s="3">
        <v>7.352053409458712E-5</v>
      </c>
      <c r="R109" s="3">
        <v>7.6257710128103387E-5</v>
      </c>
      <c r="S109" s="3">
        <v>7.2834980705651007E-5</v>
      </c>
      <c r="T109">
        <f>Constraint[[#This Row],[nx]]</f>
        <v>54</v>
      </c>
      <c r="U109">
        <v>4</v>
      </c>
    </row>
    <row r="110" spans="1:21" x14ac:dyDescent="0.3">
      <c r="A110">
        <v>0</v>
      </c>
      <c r="B110">
        <v>0</v>
      </c>
      <c r="C110">
        <v>0</v>
      </c>
      <c r="D110">
        <v>0</v>
      </c>
      <c r="E110">
        <v>4.5305203318999482E-6</v>
      </c>
      <c r="F110">
        <v>0</v>
      </c>
      <c r="G110">
        <v>4.6458123598991374E-6</v>
      </c>
      <c r="H110">
        <v>0</v>
      </c>
      <c r="I110">
        <v>4.5898053830008972E-6</v>
      </c>
      <c r="J110">
        <v>0</v>
      </c>
      <c r="K110">
        <v>4.7475846663008747E-6</v>
      </c>
      <c r="L110">
        <v>-3.110197024187621E-4</v>
      </c>
      <c r="M110">
        <v>-3.1893448694959858E-4</v>
      </c>
      <c r="N110">
        <v>-3.1508961439365504E-4</v>
      </c>
      <c r="O110">
        <v>-3.2592114413965145E-4</v>
      </c>
      <c r="P110" s="3">
        <v>7.8897109538702206E-5</v>
      </c>
      <c r="Q110" s="3">
        <v>7.3870531919660766E-5</v>
      </c>
      <c r="R110" s="3">
        <v>7.6526329451228023E-5</v>
      </c>
      <c r="S110" s="3">
        <v>7.3335688035413069E-5</v>
      </c>
      <c r="T110">
        <f>Constraint[[#This Row],[nx]]</f>
        <v>45</v>
      </c>
      <c r="U110">
        <v>4</v>
      </c>
    </row>
    <row r="111" spans="1:21" x14ac:dyDescent="0.3">
      <c r="A111">
        <v>0</v>
      </c>
      <c r="B111">
        <v>0</v>
      </c>
      <c r="C111">
        <v>0</v>
      </c>
      <c r="D111">
        <v>0</v>
      </c>
      <c r="E111">
        <v>4.4284594143996492E-6</v>
      </c>
      <c r="F111">
        <v>0</v>
      </c>
      <c r="G111">
        <v>4.5709017486000175E-6</v>
      </c>
      <c r="H111">
        <v>0</v>
      </c>
      <c r="I111">
        <v>4.5045413534991474E-6</v>
      </c>
      <c r="J111">
        <v>0</v>
      </c>
      <c r="K111">
        <v>4.6950069868996469E-6</v>
      </c>
      <c r="L111">
        <v>-3.0401323210981716E-4</v>
      </c>
      <c r="M111">
        <v>-3.1379188205492292E-4</v>
      </c>
      <c r="N111">
        <v>-3.0923624852397316E-4</v>
      </c>
      <c r="O111">
        <v>-3.2231169246450808E-4</v>
      </c>
      <c r="P111" s="3">
        <v>7.9208472744436009E-5</v>
      </c>
      <c r="Q111" s="3">
        <v>7.4183025815865888E-5</v>
      </c>
      <c r="R111" s="3">
        <v>7.675679199570385E-5</v>
      </c>
      <c r="S111" s="3">
        <v>7.3780968032798034E-5</v>
      </c>
      <c r="T111">
        <f>Constraint[[#This Row],[nx]]</f>
        <v>39</v>
      </c>
      <c r="U111">
        <v>4</v>
      </c>
    </row>
    <row r="112" spans="1:21" x14ac:dyDescent="0.3">
      <c r="A112">
        <v>0</v>
      </c>
      <c r="B112">
        <v>0</v>
      </c>
      <c r="C112">
        <v>0</v>
      </c>
      <c r="D112">
        <v>0</v>
      </c>
      <c r="E112">
        <v>4.3060972895001687E-6</v>
      </c>
      <c r="F112">
        <v>0</v>
      </c>
      <c r="G112">
        <v>4.4804786365013755E-6</v>
      </c>
      <c r="H112">
        <v>0</v>
      </c>
      <c r="I112">
        <v>4.4017222497003822E-6</v>
      </c>
      <c r="J112">
        <v>0</v>
      </c>
      <c r="K112">
        <v>4.6264436624997296E-6</v>
      </c>
      <c r="L112">
        <v>-2.9561308623571141E-4</v>
      </c>
      <c r="M112">
        <v>-3.0758434575524352E-4</v>
      </c>
      <c r="N112">
        <v>-3.0217772881238614E-4</v>
      </c>
      <c r="O112">
        <v>-3.176048280892213E-4</v>
      </c>
      <c r="P112" s="3">
        <v>7.96211845620777E-5</v>
      </c>
      <c r="Q112" s="3">
        <v>7.4572761719638892E-5</v>
      </c>
      <c r="R112" s="3">
        <v>7.7044543084704719E-5</v>
      </c>
      <c r="S112" s="3">
        <v>7.4337161112085712E-5</v>
      </c>
      <c r="T112">
        <f>Constraint[[#This Row],[nx]]</f>
        <v>33</v>
      </c>
      <c r="U112">
        <v>4</v>
      </c>
    </row>
    <row r="113" spans="1:21" x14ac:dyDescent="0.3">
      <c r="A113">
        <v>0</v>
      </c>
      <c r="B113">
        <v>0</v>
      </c>
      <c r="C113">
        <v>0</v>
      </c>
      <c r="D113">
        <v>0</v>
      </c>
      <c r="E113">
        <v>4.160264069800329E-6</v>
      </c>
      <c r="F113">
        <v>0</v>
      </c>
      <c r="G113">
        <v>4.3739956540004427E-6</v>
      </c>
      <c r="H113">
        <v>0</v>
      </c>
      <c r="I113">
        <v>4.2790001016004137E-6</v>
      </c>
      <c r="J113">
        <v>0</v>
      </c>
      <c r="K113">
        <v>4.5361283834005617E-6</v>
      </c>
      <c r="L113">
        <v>-2.85601652389042E-4</v>
      </c>
      <c r="M113">
        <v>-3.0027430118996501E-4</v>
      </c>
      <c r="N113">
        <v>-2.9375286738675746E-4</v>
      </c>
      <c r="O113">
        <v>-3.114046945126292E-4</v>
      </c>
      <c r="P113" s="3">
        <v>8.0212212710299323E-5</v>
      </c>
      <c r="Q113" s="3">
        <v>7.5059305792358124E-5</v>
      </c>
      <c r="R113" s="3">
        <v>7.7425899327696906E-5</v>
      </c>
      <c r="S113" s="3">
        <v>7.5029728108404477E-5</v>
      </c>
      <c r="T113">
        <f>Constraint[[#This Row],[nx]]</f>
        <v>27</v>
      </c>
      <c r="U113">
        <v>4</v>
      </c>
    </row>
    <row r="114" spans="1:21" x14ac:dyDescent="0.3">
      <c r="A114">
        <v>0</v>
      </c>
      <c r="B114">
        <v>0</v>
      </c>
      <c r="C114">
        <v>0</v>
      </c>
      <c r="D114">
        <v>0</v>
      </c>
      <c r="E114">
        <v>4.0766772442992621E-6</v>
      </c>
      <c r="F114">
        <v>0</v>
      </c>
      <c r="G114">
        <v>4.3143409319996995E-6</v>
      </c>
      <c r="H114">
        <v>0</v>
      </c>
      <c r="I114">
        <v>4.2086888998003891E-6</v>
      </c>
      <c r="J114">
        <v>0</v>
      </c>
      <c r="K114">
        <v>4.4793400802000533E-6</v>
      </c>
      <c r="L114">
        <v>-2.7986342638210149E-4</v>
      </c>
      <c r="M114">
        <v>-2.9617901135009506E-4</v>
      </c>
      <c r="N114">
        <v>-2.8892601142794551E-4</v>
      </c>
      <c r="O114">
        <v>-3.0750618399542906E-4</v>
      </c>
      <c r="P114" s="3">
        <v>8.0626858781414061E-5</v>
      </c>
      <c r="Q114" s="3">
        <v>7.5349992623310546E-5</v>
      </c>
      <c r="R114" s="3">
        <v>7.767832835256165E-5</v>
      </c>
      <c r="S114" s="3">
        <v>7.5438151261934895E-5</v>
      </c>
      <c r="T114">
        <f>Constraint[[#This Row],[nx]]</f>
        <v>24</v>
      </c>
      <c r="U114">
        <v>4</v>
      </c>
    </row>
    <row r="115" spans="1:21" x14ac:dyDescent="0.3">
      <c r="A115">
        <v>0</v>
      </c>
      <c r="B115">
        <v>0</v>
      </c>
      <c r="C115">
        <v>0</v>
      </c>
      <c r="D115">
        <v>0</v>
      </c>
      <c r="E115">
        <v>3.9842354308990136E-6</v>
      </c>
      <c r="F115">
        <v>0</v>
      </c>
      <c r="G115">
        <v>4.2501570390995197E-6</v>
      </c>
      <c r="H115">
        <v>0</v>
      </c>
      <c r="I115">
        <v>4.1308654346993573E-6</v>
      </c>
      <c r="J115">
        <v>0</v>
      </c>
      <c r="K115">
        <v>4.4121395789999129E-6</v>
      </c>
      <c r="L115">
        <v>-2.7351730646904202E-4</v>
      </c>
      <c r="M115">
        <v>-2.9177279444619203E-4</v>
      </c>
      <c r="N115">
        <v>-2.8358343945304731E-4</v>
      </c>
      <c r="O115">
        <v>-3.0289287727688213E-4</v>
      </c>
      <c r="P115" s="3">
        <v>8.11787933815084E-5</v>
      </c>
      <c r="Q115" s="3">
        <v>7.5683232308276511E-5</v>
      </c>
      <c r="R115" s="3">
        <v>7.8003261326934788E-5</v>
      </c>
      <c r="S115" s="3">
        <v>7.5896558202737295E-5</v>
      </c>
      <c r="T115">
        <f>Constraint[[#This Row],[nx]]</f>
        <v>21</v>
      </c>
      <c r="U115">
        <v>4</v>
      </c>
    </row>
    <row r="116" spans="1:21" x14ac:dyDescent="0.3">
      <c r="A116">
        <v>0</v>
      </c>
      <c r="B116">
        <v>0</v>
      </c>
      <c r="C116">
        <v>0</v>
      </c>
      <c r="D116">
        <v>0</v>
      </c>
      <c r="E116">
        <v>3.8808981993997821E-6</v>
      </c>
      <c r="F116">
        <v>0</v>
      </c>
      <c r="G116">
        <v>4.1815048569000118E-6</v>
      </c>
      <c r="H116">
        <v>0</v>
      </c>
      <c r="I116">
        <v>4.0433687218989489E-6</v>
      </c>
      <c r="J116">
        <v>0</v>
      </c>
      <c r="K116">
        <v>4.3325116055991514E-6</v>
      </c>
      <c r="L116">
        <v>-2.66423217350098E-4</v>
      </c>
      <c r="M116">
        <v>-2.8705982999313595E-4</v>
      </c>
      <c r="N116">
        <v>-2.7757680013036374E-4</v>
      </c>
      <c r="O116">
        <v>-2.974264260136722E-4</v>
      </c>
      <c r="P116" s="3">
        <v>8.1953847080253997E-5</v>
      </c>
      <c r="Q116" s="3">
        <v>7.6073609386766717E-5</v>
      </c>
      <c r="R116" s="3">
        <v>7.8449744623880046E-5</v>
      </c>
      <c r="S116" s="3">
        <v>7.6415399566649264E-5</v>
      </c>
      <c r="T116">
        <f>Constraint[[#This Row],[nx]]</f>
        <v>18</v>
      </c>
      <c r="U116">
        <v>4</v>
      </c>
    </row>
    <row r="117" spans="1:21" x14ac:dyDescent="0.3">
      <c r="A117">
        <v>0</v>
      </c>
      <c r="B117">
        <v>0</v>
      </c>
      <c r="C117">
        <v>0</v>
      </c>
      <c r="D117">
        <v>0</v>
      </c>
      <c r="E117">
        <v>3.7638561306008178E-6</v>
      </c>
      <c r="F117">
        <v>0</v>
      </c>
      <c r="G117">
        <v>4.109148587399733E-6</v>
      </c>
      <c r="H117">
        <v>0</v>
      </c>
      <c r="I117">
        <v>3.9422231512993566E-6</v>
      </c>
      <c r="J117">
        <v>0</v>
      </c>
      <c r="K117">
        <v>4.2406315678995138E-6</v>
      </c>
      <c r="L117">
        <v>-2.5838829271859071E-4</v>
      </c>
      <c r="M117">
        <v>-2.8209258037069362E-4</v>
      </c>
      <c r="N117">
        <v>-2.7063316828142107E-4</v>
      </c>
      <c r="O117">
        <v>-2.9111887193818131E-4</v>
      </c>
      <c r="P117" s="3">
        <v>8.311261833238818E-5</v>
      </c>
      <c r="Q117" s="3">
        <v>7.6545812428247337E-5</v>
      </c>
      <c r="R117" s="3">
        <v>7.9115359064475544E-5</v>
      </c>
      <c r="S117" s="3">
        <v>7.7008551704173386E-5</v>
      </c>
      <c r="T117">
        <f>Constraint[[#This Row],[nx]]</f>
        <v>15</v>
      </c>
      <c r="U117">
        <v>4</v>
      </c>
    </row>
    <row r="118" spans="1:21" x14ac:dyDescent="0.3">
      <c r="A118">
        <v>0</v>
      </c>
      <c r="B118">
        <v>0</v>
      </c>
      <c r="C118">
        <v>0</v>
      </c>
      <c r="D118">
        <v>0</v>
      </c>
      <c r="E118">
        <v>3.6300806972987959E-6</v>
      </c>
      <c r="F118">
        <v>0</v>
      </c>
      <c r="G118">
        <v>4.0351745667997069E-6</v>
      </c>
      <c r="H118">
        <v>0</v>
      </c>
      <c r="I118">
        <v>3.8190890391011367E-6</v>
      </c>
      <c r="J118">
        <v>0</v>
      </c>
      <c r="K118">
        <v>4.1365127536000662E-6</v>
      </c>
      <c r="L118">
        <v>-2.4920462452852898E-4</v>
      </c>
      <c r="M118">
        <v>-2.7701427232034934E-4</v>
      </c>
      <c r="N118">
        <v>-2.6218002556758352E-4</v>
      </c>
      <c r="O118">
        <v>-2.8397112724943413E-4</v>
      </c>
      <c r="P118" s="3">
        <v>8.4973244918104922E-5</v>
      </c>
      <c r="Q118" s="3">
        <v>7.7144325961095279E-5</v>
      </c>
      <c r="R118" s="3">
        <v>8.0212670625215134E-5</v>
      </c>
      <c r="S118" s="3">
        <v>7.7726759574450722E-5</v>
      </c>
      <c r="T118">
        <f>Constraint[[#This Row],[nx]]</f>
        <v>12</v>
      </c>
      <c r="U118">
        <v>4</v>
      </c>
    </row>
    <row r="119" spans="1:21" x14ac:dyDescent="0.3">
      <c r="A119">
        <v>0</v>
      </c>
      <c r="B119">
        <v>0</v>
      </c>
      <c r="C119">
        <v>0</v>
      </c>
      <c r="D119">
        <v>0</v>
      </c>
      <c r="E119">
        <v>3.4815719336996759E-6</v>
      </c>
      <c r="F119">
        <v>0</v>
      </c>
      <c r="G119">
        <v>3.9633751557008323E-6</v>
      </c>
      <c r="H119">
        <v>0</v>
      </c>
      <c r="I119">
        <v>3.6568545570998812E-6</v>
      </c>
      <c r="J119">
        <v>0</v>
      </c>
      <c r="K119">
        <v>4.0393580185010824E-6</v>
      </c>
      <c r="L119">
        <v>-2.3900951489928823E-4</v>
      </c>
      <c r="M119">
        <v>-2.7208525096344624E-4</v>
      </c>
      <c r="N119">
        <v>-2.5104264694049416E-4</v>
      </c>
      <c r="O119">
        <v>-2.7730146580099216E-4</v>
      </c>
      <c r="P119" s="3">
        <v>8.8189472220466511E-5</v>
      </c>
      <c r="Q119" s="3">
        <v>7.7952499994792695E-5</v>
      </c>
      <c r="R119" s="3">
        <v>8.226040703082059E-5</v>
      </c>
      <c r="S119" s="3">
        <v>7.8568304898174048E-5</v>
      </c>
      <c r="T119">
        <f>Constraint[[#This Row],[nx]]</f>
        <v>9</v>
      </c>
      <c r="U119">
        <v>4</v>
      </c>
    </row>
    <row r="120" spans="1:21" x14ac:dyDescent="0.3">
      <c r="A120">
        <v>0</v>
      </c>
      <c r="B120">
        <v>0</v>
      </c>
      <c r="C120">
        <v>0</v>
      </c>
      <c r="D120">
        <v>0</v>
      </c>
      <c r="E120">
        <v>3.35135281640149E-6</v>
      </c>
      <c r="F120">
        <v>0</v>
      </c>
      <c r="G120">
        <v>3.8954101582999723E-6</v>
      </c>
      <c r="H120">
        <v>0</v>
      </c>
      <c r="I120">
        <v>3.445060418300061E-6</v>
      </c>
      <c r="J120">
        <v>0</v>
      </c>
      <c r="K120">
        <v>3.93098801629993E-6</v>
      </c>
      <c r="L120">
        <v>-2.3006998739596995E-4</v>
      </c>
      <c r="M120">
        <v>-2.6741946166819117E-4</v>
      </c>
      <c r="N120">
        <v>-2.3650300354463583E-4</v>
      </c>
      <c r="O120">
        <v>-2.6986187754919622E-4</v>
      </c>
      <c r="P120" s="3">
        <v>9.3896431888204735E-5</v>
      </c>
      <c r="Q120" s="3">
        <v>7.9038160546659867E-5</v>
      </c>
      <c r="R120" s="3">
        <v>8.6600096837792658E-5</v>
      </c>
      <c r="S120" s="3">
        <v>7.97904526551803E-5</v>
      </c>
      <c r="T120">
        <f>Constraint[[#This Row],[nx]]</f>
        <v>6</v>
      </c>
      <c r="U120">
        <v>4</v>
      </c>
    </row>
    <row r="121" spans="1:21" x14ac:dyDescent="0.3">
      <c r="A121">
        <v>0</v>
      </c>
      <c r="B121">
        <v>0</v>
      </c>
      <c r="C121">
        <v>0</v>
      </c>
      <c r="D121">
        <v>0</v>
      </c>
      <c r="E121">
        <v>5.4924134443006672E-6</v>
      </c>
      <c r="F121">
        <v>0</v>
      </c>
      <c r="G121">
        <v>5.2279906475015403E-6</v>
      </c>
      <c r="H121">
        <v>0</v>
      </c>
      <c r="I121">
        <v>5.4290537523996041E-6</v>
      </c>
      <c r="J121">
        <v>0</v>
      </c>
      <c r="K121">
        <v>5.1649764414990473E-6</v>
      </c>
      <c r="L121">
        <v>-3.7705355452865175E-4</v>
      </c>
      <c r="M121">
        <v>-3.5890095978270697E-4</v>
      </c>
      <c r="N121">
        <v>-3.7270391892903904E-4</v>
      </c>
      <c r="O121">
        <v>-3.5457504175051557E-4</v>
      </c>
      <c r="P121" s="3">
        <v>7.8398313260346527E-5</v>
      </c>
      <c r="Q121" s="3">
        <v>7.1595511752109041E-5</v>
      </c>
      <c r="R121" s="3">
        <v>7.498164250809178E-5</v>
      </c>
      <c r="S121" s="3">
        <v>7.0404675833944661E-5</v>
      </c>
      <c r="T121">
        <f>Constraint[[#This Row],[nx]]</f>
        <v>120</v>
      </c>
      <c r="U121">
        <v>3</v>
      </c>
    </row>
    <row r="122" spans="1:21" x14ac:dyDescent="0.3">
      <c r="A122">
        <v>0</v>
      </c>
      <c r="B122">
        <v>0</v>
      </c>
      <c r="C122">
        <v>0</v>
      </c>
      <c r="D122">
        <v>0</v>
      </c>
      <c r="E122">
        <v>5.5954620488997409E-6</v>
      </c>
      <c r="F122">
        <v>0</v>
      </c>
      <c r="G122">
        <v>5.3159329530989841E-6</v>
      </c>
      <c r="H122">
        <v>0</v>
      </c>
      <c r="I122">
        <v>5.5317029388993882E-6</v>
      </c>
      <c r="J122">
        <v>0</v>
      </c>
      <c r="K122">
        <v>5.2467723466974314E-6</v>
      </c>
      <c r="L122">
        <v>-3.841278294439204E-4</v>
      </c>
      <c r="M122">
        <v>-3.6493818899993591E-4</v>
      </c>
      <c r="N122">
        <v>-3.7975077383748529E-4</v>
      </c>
      <c r="O122">
        <v>-3.601903212835933E-4</v>
      </c>
      <c r="P122" s="3">
        <v>7.8305833468088169E-5</v>
      </c>
      <c r="Q122" s="3">
        <v>7.1355549051220325E-5</v>
      </c>
      <c r="R122" s="3">
        <v>7.4872135639900852E-5</v>
      </c>
      <c r="S122" s="3">
        <v>7.0141629858066817E-5</v>
      </c>
      <c r="T122">
        <f>Constraint[[#This Row],[nx]]</f>
        <v>102</v>
      </c>
      <c r="U122">
        <v>3</v>
      </c>
    </row>
    <row r="123" spans="1:21" x14ac:dyDescent="0.3">
      <c r="A123">
        <v>0</v>
      </c>
      <c r="B123">
        <v>0</v>
      </c>
      <c r="C123">
        <v>0</v>
      </c>
      <c r="D123">
        <v>0</v>
      </c>
      <c r="E123">
        <v>5.6710293303008363E-6</v>
      </c>
      <c r="F123">
        <v>0</v>
      </c>
      <c r="G123">
        <v>5.395407241398642E-6</v>
      </c>
      <c r="H123">
        <v>0</v>
      </c>
      <c r="I123">
        <v>5.6149796858005058E-6</v>
      </c>
      <c r="J123">
        <v>0</v>
      </c>
      <c r="K123">
        <v>5.3281514676983832E-6</v>
      </c>
      <c r="L123">
        <v>-3.8931551466596295E-4</v>
      </c>
      <c r="M123">
        <v>-3.7039408979852584E-4</v>
      </c>
      <c r="N123">
        <v>-3.8546771298401949E-4</v>
      </c>
      <c r="O123">
        <v>-3.6577698862919061E-4</v>
      </c>
      <c r="P123" s="3">
        <v>7.8281331327049447E-5</v>
      </c>
      <c r="Q123" s="3">
        <v>7.117892546925493E-5</v>
      </c>
      <c r="R123" s="3">
        <v>7.4820983185605323E-5</v>
      </c>
      <c r="S123" s="3">
        <v>6.9954813591435286E-5</v>
      </c>
      <c r="T123">
        <f>Constraint[[#This Row],[nx]]</f>
        <v>87</v>
      </c>
      <c r="U123">
        <v>3</v>
      </c>
    </row>
    <row r="124" spans="1:21" x14ac:dyDescent="0.3">
      <c r="A124">
        <v>0</v>
      </c>
      <c r="B124">
        <v>0</v>
      </c>
      <c r="C124">
        <v>0</v>
      </c>
      <c r="D124">
        <v>0</v>
      </c>
      <c r="E124">
        <v>5.7122601933995432E-6</v>
      </c>
      <c r="F124">
        <v>0</v>
      </c>
      <c r="G124">
        <v>5.466544364299275E-6</v>
      </c>
      <c r="H124">
        <v>0</v>
      </c>
      <c r="I124">
        <v>5.6753157789014158E-6</v>
      </c>
      <c r="J124">
        <v>0</v>
      </c>
      <c r="K124">
        <v>5.4146534278001757E-6</v>
      </c>
      <c r="L124">
        <v>-3.9214600870019888E-4</v>
      </c>
      <c r="M124">
        <v>-3.7527764514640183E-4</v>
      </c>
      <c r="N124">
        <v>-3.8960977887195214E-4</v>
      </c>
      <c r="O124">
        <v>-3.717153382929439E-4</v>
      </c>
      <c r="P124" s="3">
        <v>7.8362494593428827E-5</v>
      </c>
      <c r="Q124" s="3">
        <v>7.1085162943278609E-5</v>
      </c>
      <c r="R124" s="3">
        <v>7.4856232608060529E-5</v>
      </c>
      <c r="S124" s="3">
        <v>6.9874119585477766E-5</v>
      </c>
      <c r="T124">
        <f>Constraint[[#This Row],[nx]]</f>
        <v>72</v>
      </c>
      <c r="U124">
        <v>3</v>
      </c>
    </row>
    <row r="125" spans="1:21" x14ac:dyDescent="0.3">
      <c r="A125">
        <v>0</v>
      </c>
      <c r="B125">
        <v>0</v>
      </c>
      <c r="C125">
        <v>0</v>
      </c>
      <c r="D125">
        <v>0</v>
      </c>
      <c r="E125">
        <v>5.7016998882015307E-6</v>
      </c>
      <c r="F125">
        <v>0</v>
      </c>
      <c r="G125">
        <v>5.4915589734992609E-6</v>
      </c>
      <c r="H125">
        <v>0</v>
      </c>
      <c r="I125">
        <v>5.6833752042993041E-6</v>
      </c>
      <c r="J125">
        <v>0</v>
      </c>
      <c r="K125">
        <v>5.4598520526014105E-6</v>
      </c>
      <c r="L125">
        <v>-3.9142104495662857E-4</v>
      </c>
      <c r="M125">
        <v>-3.7699489520590101E-4</v>
      </c>
      <c r="N125">
        <v>-3.9016305750338293E-4</v>
      </c>
      <c r="O125">
        <v>-3.7481821871404586E-4</v>
      </c>
      <c r="P125" s="3">
        <v>7.8502380807614827E-5</v>
      </c>
      <c r="Q125" s="3">
        <v>7.1116926192704198E-5</v>
      </c>
      <c r="R125" s="3">
        <v>7.4953949040168161E-5</v>
      </c>
      <c r="S125" s="3">
        <v>6.9936494766689115E-5</v>
      </c>
      <c r="T125">
        <f>Constraint[[#This Row],[nx]]</f>
        <v>63</v>
      </c>
      <c r="U125">
        <v>3</v>
      </c>
    </row>
    <row r="126" spans="1:21" x14ac:dyDescent="0.3">
      <c r="A126">
        <v>0</v>
      </c>
      <c r="B126">
        <v>0</v>
      </c>
      <c r="C126">
        <v>0</v>
      </c>
      <c r="D126">
        <v>0</v>
      </c>
      <c r="E126">
        <v>5.6454205374992239E-6</v>
      </c>
      <c r="F126">
        <v>0</v>
      </c>
      <c r="G126">
        <v>5.4867966217016229E-6</v>
      </c>
      <c r="H126">
        <v>0</v>
      </c>
      <c r="I126">
        <v>5.6517436219996608E-6</v>
      </c>
      <c r="J126">
        <v>0</v>
      </c>
      <c r="K126">
        <v>5.4873855953978257E-6</v>
      </c>
      <c r="L126">
        <v>-3.8755747397020024E-4</v>
      </c>
      <c r="M126">
        <v>-3.7666796029989236E-4</v>
      </c>
      <c r="N126">
        <v>-3.8799155299768656E-4</v>
      </c>
      <c r="O126">
        <v>-3.7670839327674788E-4</v>
      </c>
      <c r="P126" s="3">
        <v>7.875168891880062E-5</v>
      </c>
      <c r="Q126" s="3">
        <v>7.1266866990998462E-5</v>
      </c>
      <c r="R126" s="3">
        <v>7.5144003426748005E-5</v>
      </c>
      <c r="S126" s="3">
        <v>7.0146349730866692E-5</v>
      </c>
      <c r="T126">
        <f>Constraint[[#This Row],[nx]]</f>
        <v>54</v>
      </c>
      <c r="U126">
        <v>3</v>
      </c>
    </row>
    <row r="127" spans="1:21" x14ac:dyDescent="0.3">
      <c r="A127">
        <v>0</v>
      </c>
      <c r="B127">
        <v>0</v>
      </c>
      <c r="C127">
        <v>0</v>
      </c>
      <c r="D127">
        <v>0</v>
      </c>
      <c r="E127">
        <v>5.5218092999999302E-6</v>
      </c>
      <c r="F127">
        <v>0</v>
      </c>
      <c r="G127">
        <v>5.4313533307988326E-6</v>
      </c>
      <c r="H127">
        <v>0</v>
      </c>
      <c r="I127">
        <v>5.5585696318999345E-6</v>
      </c>
      <c r="J127">
        <v>0</v>
      </c>
      <c r="K127">
        <v>5.4798033761981058E-6</v>
      </c>
      <c r="L127">
        <v>-3.7907157665903555E-4</v>
      </c>
      <c r="M127">
        <v>-3.7286178472302478E-4</v>
      </c>
      <c r="N127">
        <v>-3.815951692379832E-4</v>
      </c>
      <c r="O127">
        <v>-3.7618787479620774E-4</v>
      </c>
      <c r="P127" s="3">
        <v>7.9160629731404739E-5</v>
      </c>
      <c r="Q127" s="3">
        <v>7.1598750286741469E-5</v>
      </c>
      <c r="R127" s="3">
        <v>7.5466577762850907E-5</v>
      </c>
      <c r="S127" s="3">
        <v>7.0581875571798869E-5</v>
      </c>
      <c r="T127">
        <f>Constraint[[#This Row],[nx]]</f>
        <v>45</v>
      </c>
      <c r="U127">
        <v>3</v>
      </c>
    </row>
    <row r="128" spans="1:21" x14ac:dyDescent="0.3">
      <c r="A128">
        <v>0</v>
      </c>
      <c r="B128">
        <v>0</v>
      </c>
      <c r="C128">
        <v>0</v>
      </c>
      <c r="D128">
        <v>0</v>
      </c>
      <c r="E128">
        <v>5.3898384966988983E-6</v>
      </c>
      <c r="F128">
        <v>0</v>
      </c>
      <c r="G128">
        <v>5.3536060848000111E-6</v>
      </c>
      <c r="H128">
        <v>0</v>
      </c>
      <c r="I128">
        <v>5.449568568700186E-6</v>
      </c>
      <c r="J128">
        <v>0</v>
      </c>
      <c r="K128">
        <v>5.4437218293991452E-6</v>
      </c>
      <c r="L128">
        <v>-3.7001179611205297E-4</v>
      </c>
      <c r="M128">
        <v>-3.6752444518077521E-4</v>
      </c>
      <c r="N128">
        <v>-3.7411225872083925E-4</v>
      </c>
      <c r="O128">
        <v>-3.7371088073678838E-4</v>
      </c>
      <c r="P128" s="3">
        <v>7.955748444694504E-5</v>
      </c>
      <c r="Q128" s="3">
        <v>7.1961546435423126E-5</v>
      </c>
      <c r="R128" s="3">
        <v>7.5780642128595911E-5</v>
      </c>
      <c r="S128" s="3">
        <v>7.1047356949356384E-5</v>
      </c>
      <c r="T128">
        <f>Constraint[[#This Row],[nx]]</f>
        <v>39</v>
      </c>
      <c r="U128">
        <v>3</v>
      </c>
    </row>
    <row r="129" spans="1:21" x14ac:dyDescent="0.3">
      <c r="A129">
        <v>0</v>
      </c>
      <c r="B129">
        <v>0</v>
      </c>
      <c r="C129">
        <v>0</v>
      </c>
      <c r="D129">
        <v>0</v>
      </c>
      <c r="E129">
        <v>5.2101774374001264E-6</v>
      </c>
      <c r="F129">
        <v>0</v>
      </c>
      <c r="G129">
        <v>5.2345485446990414E-6</v>
      </c>
      <c r="H129">
        <v>0</v>
      </c>
      <c r="I129">
        <v>5.294409995301036E-6</v>
      </c>
      <c r="J129">
        <v>0</v>
      </c>
      <c r="K129">
        <v>5.3732072305030798E-6</v>
      </c>
      <c r="L129">
        <v>-3.5767808494737915E-4</v>
      </c>
      <c r="M129">
        <v>-3.5935115867498368E-4</v>
      </c>
      <c r="N129">
        <v>-3.6346064040967963E-4</v>
      </c>
      <c r="O129">
        <v>-3.6887006159060098E-4</v>
      </c>
      <c r="P129" s="3">
        <v>8.0093226579121751E-5</v>
      </c>
      <c r="Q129" s="3">
        <v>7.2471094572638069E-5</v>
      </c>
      <c r="R129" s="3">
        <v>7.6197851671039495E-5</v>
      </c>
      <c r="S129" s="3">
        <v>7.1695945558721E-5</v>
      </c>
      <c r="T129">
        <f>Constraint[[#This Row],[nx]]</f>
        <v>33</v>
      </c>
      <c r="U129">
        <v>3</v>
      </c>
    </row>
    <row r="130" spans="1:21" x14ac:dyDescent="0.3">
      <c r="A130">
        <v>0</v>
      </c>
      <c r="B130">
        <v>0</v>
      </c>
      <c r="C130">
        <v>0</v>
      </c>
      <c r="D130">
        <v>0</v>
      </c>
      <c r="E130">
        <v>4.9784258425999983E-6</v>
      </c>
      <c r="F130">
        <v>0</v>
      </c>
      <c r="G130">
        <v>5.0695184132011628E-6</v>
      </c>
      <c r="H130">
        <v>0</v>
      </c>
      <c r="I130">
        <v>5.0880672417003697E-6</v>
      </c>
      <c r="J130">
        <v>0</v>
      </c>
      <c r="K130">
        <v>5.2583409304030049E-6</v>
      </c>
      <c r="L130">
        <v>-3.4176836448055262E-4</v>
      </c>
      <c r="M130">
        <v>-3.4802185902983729E-4</v>
      </c>
      <c r="N130">
        <v>-3.4929523398400872E-4</v>
      </c>
      <c r="O130">
        <v>-3.6098450323132636E-4</v>
      </c>
      <c r="P130" s="3">
        <v>8.0833708165928909E-5</v>
      </c>
      <c r="Q130" s="3">
        <v>7.3160286514884027E-5</v>
      </c>
      <c r="R130" s="3">
        <v>7.6753347572374529E-5</v>
      </c>
      <c r="S130" s="3">
        <v>7.2575819946472239E-5</v>
      </c>
      <c r="T130">
        <f>Constraint[[#This Row],[nx]]</f>
        <v>27</v>
      </c>
      <c r="U130">
        <v>3</v>
      </c>
    </row>
    <row r="131" spans="1:21" x14ac:dyDescent="0.3">
      <c r="A131">
        <v>0</v>
      </c>
      <c r="B131">
        <v>0</v>
      </c>
      <c r="C131">
        <v>0</v>
      </c>
      <c r="D131">
        <v>0</v>
      </c>
      <c r="E131">
        <v>4.8429840664998558E-6</v>
      </c>
      <c r="F131">
        <v>0</v>
      </c>
      <c r="G131">
        <v>4.9699859017010573E-6</v>
      </c>
      <c r="H131">
        <v>0</v>
      </c>
      <c r="I131">
        <v>4.965430523700895E-6</v>
      </c>
      <c r="J131">
        <v>0</v>
      </c>
      <c r="K131">
        <v>5.1801140307991544E-6</v>
      </c>
      <c r="L131">
        <v>-3.3247030204804767E-4</v>
      </c>
      <c r="M131">
        <v>-3.4118896350350536E-4</v>
      </c>
      <c r="N131">
        <v>-3.4087623732500377E-4</v>
      </c>
      <c r="O131">
        <v>-3.5561423552396554E-4</v>
      </c>
      <c r="P131" s="3">
        <v>8.132295228312477E-5</v>
      </c>
      <c r="Q131" s="3">
        <v>7.3584673920268961E-5</v>
      </c>
      <c r="R131" s="3">
        <v>7.7105307636601443E-5</v>
      </c>
      <c r="S131" s="3">
        <v>7.3123687730965043E-5</v>
      </c>
      <c r="T131">
        <f>Constraint[[#This Row],[nx]]</f>
        <v>24</v>
      </c>
      <c r="U131">
        <v>3</v>
      </c>
    </row>
    <row r="132" spans="1:21" x14ac:dyDescent="0.3">
      <c r="A132">
        <v>0</v>
      </c>
      <c r="B132">
        <v>0</v>
      </c>
      <c r="C132">
        <v>0</v>
      </c>
      <c r="D132">
        <v>0</v>
      </c>
      <c r="E132">
        <v>4.6954295266007917E-6</v>
      </c>
      <c r="F132">
        <v>0</v>
      </c>
      <c r="G132">
        <v>4.8606135137005402E-6</v>
      </c>
      <c r="H132">
        <v>0</v>
      </c>
      <c r="I132">
        <v>4.8305279441007015E-6</v>
      </c>
      <c r="J132">
        <v>0</v>
      </c>
      <c r="K132">
        <v>5.0848714630985503E-6</v>
      </c>
      <c r="L132">
        <v>-3.2234069976664476E-4</v>
      </c>
      <c r="M132">
        <v>-3.3368056158127046E-4</v>
      </c>
      <c r="N132">
        <v>-3.3161519067053183E-4</v>
      </c>
      <c r="O132">
        <v>-3.4907584414864412E-4</v>
      </c>
      <c r="P132" s="3">
        <v>8.1938969091544398E-5</v>
      </c>
      <c r="Q132" s="3">
        <v>7.4071725041556459E-5</v>
      </c>
      <c r="R132" s="3">
        <v>7.7533198624094878E-5</v>
      </c>
      <c r="S132" s="3">
        <v>7.3760104540241439E-5</v>
      </c>
      <c r="T132">
        <f>Constraint[[#This Row],[nx]]</f>
        <v>21</v>
      </c>
      <c r="U132">
        <v>3</v>
      </c>
    </row>
    <row r="133" spans="1:21" x14ac:dyDescent="0.3">
      <c r="A133">
        <v>0</v>
      </c>
      <c r="B133">
        <v>0</v>
      </c>
      <c r="C133">
        <v>0</v>
      </c>
      <c r="D133">
        <v>0</v>
      </c>
      <c r="E133">
        <v>4.537104546301074E-6</v>
      </c>
      <c r="F133">
        <v>0</v>
      </c>
      <c r="G133">
        <v>4.743903271100039E-6</v>
      </c>
      <c r="H133">
        <v>0</v>
      </c>
      <c r="I133">
        <v>4.6842978629006021E-6</v>
      </c>
      <c r="J133">
        <v>0</v>
      </c>
      <c r="K133">
        <v>4.9697706581003365E-6</v>
      </c>
      <c r="L133">
        <v>-3.1147170798405399E-4</v>
      </c>
      <c r="M133">
        <v>-3.2566841678031977E-4</v>
      </c>
      <c r="N133">
        <v>-3.2157651232727312E-4</v>
      </c>
      <c r="O133">
        <v>-3.411741870549545E-4</v>
      </c>
      <c r="P133" s="3">
        <v>8.2754907678298341E-5</v>
      </c>
      <c r="Q133" s="3">
        <v>7.4633487275817882E-5</v>
      </c>
      <c r="R133" s="3">
        <v>7.8080715154935743E-5</v>
      </c>
      <c r="S133" s="3">
        <v>7.4502357209256856E-5</v>
      </c>
      <c r="T133">
        <f>Constraint[[#This Row],[nx]]</f>
        <v>18</v>
      </c>
      <c r="U133">
        <v>3</v>
      </c>
    </row>
    <row r="134" spans="1:21" x14ac:dyDescent="0.3">
      <c r="A134">
        <v>0</v>
      </c>
      <c r="B134">
        <v>0</v>
      </c>
      <c r="C134">
        <v>0</v>
      </c>
      <c r="D134">
        <v>0</v>
      </c>
      <c r="E134">
        <v>4.3695509081998624E-6</v>
      </c>
      <c r="F134">
        <v>0</v>
      </c>
      <c r="G134">
        <v>4.6239004569993691E-6</v>
      </c>
      <c r="H134">
        <v>0</v>
      </c>
      <c r="I134">
        <v>4.5271735659001971E-6</v>
      </c>
      <c r="J134">
        <v>0</v>
      </c>
      <c r="K134">
        <v>4.8336539425000713E-6</v>
      </c>
      <c r="L134">
        <v>-2.9996916989930705E-4</v>
      </c>
      <c r="M134">
        <v>-3.1743023732261344E-4</v>
      </c>
      <c r="N134">
        <v>-3.1078994731580437E-4</v>
      </c>
      <c r="O134">
        <v>-3.3182979010297486E-4</v>
      </c>
      <c r="P134" s="3">
        <v>8.3913229309448757E-5</v>
      </c>
      <c r="Q134" s="3">
        <v>7.5291896293681277E-5</v>
      </c>
      <c r="R134" s="3">
        <v>7.8839433078792238E-5</v>
      </c>
      <c r="S134" s="3">
        <v>7.5371559252911322E-5</v>
      </c>
      <c r="T134">
        <f>Constraint[[#This Row],[nx]]</f>
        <v>15</v>
      </c>
      <c r="U134">
        <v>3</v>
      </c>
    </row>
    <row r="135" spans="1:21" x14ac:dyDescent="0.3">
      <c r="A135">
        <v>0</v>
      </c>
      <c r="B135">
        <v>0</v>
      </c>
      <c r="C135">
        <v>0</v>
      </c>
      <c r="D135">
        <v>0</v>
      </c>
      <c r="E135">
        <v>4.1938915678989275E-6</v>
      </c>
      <c r="F135">
        <v>0</v>
      </c>
      <c r="G135">
        <v>4.5065192390003617E-6</v>
      </c>
      <c r="H135">
        <v>0</v>
      </c>
      <c r="I135">
        <v>4.3567985494995937E-6</v>
      </c>
      <c r="J135">
        <v>0</v>
      </c>
      <c r="K135">
        <v>4.6776059411009208E-6</v>
      </c>
      <c r="L135">
        <v>-2.8791017628597426E-4</v>
      </c>
      <c r="M135">
        <v>-3.0937203013732539E-4</v>
      </c>
      <c r="N135">
        <v>-2.9909372193361212E-4</v>
      </c>
      <c r="O135">
        <v>-3.2111711266139681E-4</v>
      </c>
      <c r="P135" s="3">
        <v>8.5707396451045886E-5</v>
      </c>
      <c r="Q135" s="3">
        <v>7.6090876990507651E-5</v>
      </c>
      <c r="R135" s="3">
        <v>8.0017310754084821E-5</v>
      </c>
      <c r="S135" s="3">
        <v>7.6412670520711531E-5</v>
      </c>
      <c r="T135">
        <f>Constraint[[#This Row],[nx]]</f>
        <v>12</v>
      </c>
      <c r="U135">
        <v>3</v>
      </c>
    </row>
    <row r="136" spans="1:21" x14ac:dyDescent="0.3">
      <c r="A136">
        <v>0</v>
      </c>
      <c r="B136">
        <v>0</v>
      </c>
      <c r="C136">
        <v>0</v>
      </c>
      <c r="D136">
        <v>0</v>
      </c>
      <c r="E136">
        <v>4.011844615100027E-6</v>
      </c>
      <c r="F136">
        <v>0</v>
      </c>
      <c r="G136">
        <v>4.399385632699801E-6</v>
      </c>
      <c r="H136">
        <v>0</v>
      </c>
      <c r="I136">
        <v>4.1603754073003124E-6</v>
      </c>
      <c r="J136">
        <v>0</v>
      </c>
      <c r="K136">
        <v>4.52683923039994E-6</v>
      </c>
      <c r="L136">
        <v>-2.7541267380550016E-4</v>
      </c>
      <c r="M136">
        <v>-3.0201732032264159E-4</v>
      </c>
      <c r="N136">
        <v>-2.8560929569567545E-4</v>
      </c>
      <c r="O136">
        <v>-3.1076699522196438E-4</v>
      </c>
      <c r="P136" s="3">
        <v>8.8763500753754438E-5</v>
      </c>
      <c r="Q136" s="3">
        <v>7.7119782951359323E-5</v>
      </c>
      <c r="R136" s="3">
        <v>8.2133946643717144E-5</v>
      </c>
      <c r="S136" s="3">
        <v>7.7591148170656622E-5</v>
      </c>
      <c r="T136">
        <f>Constraint[[#This Row],[nx]]</f>
        <v>9</v>
      </c>
      <c r="U136">
        <v>3</v>
      </c>
    </row>
    <row r="137" spans="1:21" x14ac:dyDescent="0.3">
      <c r="A137">
        <v>0</v>
      </c>
      <c r="B137">
        <v>0</v>
      </c>
      <c r="C137">
        <v>0</v>
      </c>
      <c r="D137">
        <v>0</v>
      </c>
      <c r="E137">
        <v>3.8404292872998985E-6</v>
      </c>
      <c r="F137">
        <v>0</v>
      </c>
      <c r="G137">
        <v>4.3073248688005328E-6</v>
      </c>
      <c r="H137">
        <v>0</v>
      </c>
      <c r="I137">
        <v>3.931574228599119E-6</v>
      </c>
      <c r="J137">
        <v>0</v>
      </c>
      <c r="K137">
        <v>4.3651588405007463E-6</v>
      </c>
      <c r="L137">
        <v>-2.6364503116474425E-4</v>
      </c>
      <c r="M137">
        <v>-2.9569735941422683E-4</v>
      </c>
      <c r="N137">
        <v>-2.6990212095646948E-4</v>
      </c>
      <c r="O137">
        <v>-2.9966765495428524E-4</v>
      </c>
      <c r="P137" s="3">
        <v>9.4210230434526137E-5</v>
      </c>
      <c r="Q137" s="3">
        <v>7.8459143683513833E-5</v>
      </c>
      <c r="R137" s="3">
        <v>8.653840632802608E-5</v>
      </c>
      <c r="S137" s="3">
        <v>7.9238141252095147E-5</v>
      </c>
      <c r="T137">
        <f>Constraint[[#This Row],[nx]]</f>
        <v>6</v>
      </c>
      <c r="U137">
        <v>3</v>
      </c>
    </row>
    <row r="138" spans="1:21" x14ac:dyDescent="0.3">
      <c r="A138">
        <v>0</v>
      </c>
      <c r="B138">
        <v>0</v>
      </c>
      <c r="C138">
        <v>0</v>
      </c>
      <c r="D138">
        <v>0</v>
      </c>
      <c r="E138">
        <v>4.2639941521989411E-6</v>
      </c>
      <c r="F138">
        <v>0</v>
      </c>
      <c r="G138">
        <v>4.306503500500769E-6</v>
      </c>
      <c r="H138">
        <v>0</v>
      </c>
      <c r="I138">
        <v>4.1651976698999643E-6</v>
      </c>
      <c r="J138">
        <v>0</v>
      </c>
      <c r="K138">
        <v>4.4906219509033285E-6</v>
      </c>
      <c r="L138">
        <v>-2.9272271067727618E-4</v>
      </c>
      <c r="M138">
        <v>-2.9564097257442357E-4</v>
      </c>
      <c r="N138">
        <v>-2.8594034347140251E-4</v>
      </c>
      <c r="O138">
        <v>-3.0828068312838131E-4</v>
      </c>
      <c r="P138" s="3">
        <v>8.0560657110242089E-5</v>
      </c>
      <c r="Q138" s="3">
        <v>7.0499460901481359E-5</v>
      </c>
      <c r="R138" s="3">
        <v>7.4052207023499894E-5</v>
      </c>
      <c r="S138" s="3">
        <v>6.9783126473998489E-5</v>
      </c>
      <c r="T138">
        <f>Constraint[[#This Row],[nx]]</f>
        <v>120</v>
      </c>
      <c r="U138">
        <v>2</v>
      </c>
    </row>
    <row r="139" spans="1:21" x14ac:dyDescent="0.3">
      <c r="A139">
        <v>0</v>
      </c>
      <c r="B139">
        <v>0</v>
      </c>
      <c r="C139">
        <v>0</v>
      </c>
      <c r="D139">
        <v>0</v>
      </c>
      <c r="E139">
        <v>4.361986305800522E-6</v>
      </c>
      <c r="F139">
        <v>0</v>
      </c>
      <c r="G139">
        <v>4.2417341086023463E-6</v>
      </c>
      <c r="H139">
        <v>0</v>
      </c>
      <c r="I139">
        <v>4.2154980307990142E-6</v>
      </c>
      <c r="J139">
        <v>0</v>
      </c>
      <c r="K139">
        <v>4.4021177103004128E-6</v>
      </c>
      <c r="L139">
        <v>-2.9944986081010747E-4</v>
      </c>
      <c r="M139">
        <v>-2.9119456123127829E-4</v>
      </c>
      <c r="N139">
        <v>-2.8939345749191825E-4</v>
      </c>
      <c r="O139">
        <v>-3.0220487713733535E-4</v>
      </c>
      <c r="P139" s="3">
        <v>8.0134546328261672E-5</v>
      </c>
      <c r="Q139" s="3">
        <v>6.9945685040816101E-5</v>
      </c>
      <c r="R139" s="3">
        <v>7.3656176939739337E-5</v>
      </c>
      <c r="S139" s="3">
        <v>6.9193478484249875E-5</v>
      </c>
      <c r="T139">
        <f>Constraint[[#This Row],[nx]]</f>
        <v>102</v>
      </c>
      <c r="U139">
        <v>2</v>
      </c>
    </row>
    <row r="140" spans="1:21" x14ac:dyDescent="0.3">
      <c r="A140">
        <v>0</v>
      </c>
      <c r="B140">
        <v>0</v>
      </c>
      <c r="C140">
        <v>0</v>
      </c>
      <c r="D140">
        <v>0</v>
      </c>
      <c r="E140">
        <v>4.4939767632999617E-6</v>
      </c>
      <c r="F140">
        <v>0</v>
      </c>
      <c r="G140">
        <v>4.1821421348994803E-6</v>
      </c>
      <c r="H140">
        <v>0</v>
      </c>
      <c r="I140">
        <v>4.2868072166989124E-6</v>
      </c>
      <c r="J140">
        <v>0</v>
      </c>
      <c r="K140">
        <v>4.3144276237992718E-6</v>
      </c>
      <c r="L140">
        <v>-3.0851099061555802E-4</v>
      </c>
      <c r="M140">
        <v>-2.8710357905489814E-4</v>
      </c>
      <c r="N140">
        <v>-2.9428882494500486E-4</v>
      </c>
      <c r="O140">
        <v>-2.9618496273223216E-4</v>
      </c>
      <c r="P140" s="3">
        <v>7.9744244891174817E-5</v>
      </c>
      <c r="Q140" s="3">
        <v>6.9377072336362903E-5</v>
      </c>
      <c r="R140" s="3">
        <v>7.3276920030543484E-5</v>
      </c>
      <c r="S140" s="3">
        <v>6.8579576470001206E-5</v>
      </c>
      <c r="T140">
        <f>Constraint[[#This Row],[nx]]</f>
        <v>87</v>
      </c>
      <c r="U140">
        <v>2</v>
      </c>
    </row>
    <row r="141" spans="1:21" x14ac:dyDescent="0.3">
      <c r="A141">
        <v>0</v>
      </c>
      <c r="B141">
        <v>0</v>
      </c>
      <c r="C141">
        <v>0</v>
      </c>
      <c r="D141">
        <v>0</v>
      </c>
      <c r="E141">
        <v>4.6991218666993934E-6</v>
      </c>
      <c r="F141">
        <v>0</v>
      </c>
      <c r="G141">
        <v>4.1273546838999087E-6</v>
      </c>
      <c r="H141">
        <v>0</v>
      </c>
      <c r="I141">
        <v>4.405256198700136E-6</v>
      </c>
      <c r="J141">
        <v>0</v>
      </c>
      <c r="K141">
        <v>4.2196990003018353E-6</v>
      </c>
      <c r="L141">
        <v>-3.2259417849195109E-4</v>
      </c>
      <c r="M141">
        <v>-2.8334242681235522E-4</v>
      </c>
      <c r="N141">
        <v>-3.024203340068754E-4</v>
      </c>
      <c r="O141">
        <v>-2.8968185356761933E-4</v>
      </c>
      <c r="P141" s="3">
        <v>7.9369207637305209E-5</v>
      </c>
      <c r="Q141" s="3">
        <v>6.8712954142660919E-5</v>
      </c>
      <c r="R141" s="3">
        <v>7.288150421864738E-5</v>
      </c>
      <c r="S141" s="3">
        <v>6.784591047934754E-5</v>
      </c>
      <c r="T141">
        <f>Constraint[[#This Row],[nx]]</f>
        <v>72</v>
      </c>
      <c r="U141">
        <v>2</v>
      </c>
    </row>
    <row r="142" spans="1:21" x14ac:dyDescent="0.3">
      <c r="A142">
        <v>0</v>
      </c>
      <c r="B142">
        <v>0</v>
      </c>
      <c r="C142">
        <v>0</v>
      </c>
      <c r="D142">
        <v>0</v>
      </c>
      <c r="E142">
        <v>4.8682563648996813E-6</v>
      </c>
      <c r="F142">
        <v>0</v>
      </c>
      <c r="G142">
        <v>4.1064197447010509E-6</v>
      </c>
      <c r="H142">
        <v>0</v>
      </c>
      <c r="I142">
        <v>4.509911396697458E-6</v>
      </c>
      <c r="J142">
        <v>0</v>
      </c>
      <c r="K142">
        <v>4.1668354710013011E-6</v>
      </c>
      <c r="L142">
        <v>-3.3420524244162728E-4</v>
      </c>
      <c r="M142">
        <v>-2.8190524563165287E-4</v>
      </c>
      <c r="N142">
        <v>-3.0960490137511842E-4</v>
      </c>
      <c r="O142">
        <v>-2.8605277832963183E-4</v>
      </c>
      <c r="P142" s="3">
        <v>7.9204440032744477E-5</v>
      </c>
      <c r="Q142" s="3">
        <v>6.8295945690838785E-5</v>
      </c>
      <c r="R142" s="3">
        <v>7.2676141748261993E-5</v>
      </c>
      <c r="S142" s="3">
        <v>6.7368479773013631E-5</v>
      </c>
      <c r="T142">
        <f>Constraint[[#This Row],[nx]]</f>
        <v>63</v>
      </c>
      <c r="U142">
        <v>2</v>
      </c>
    </row>
    <row r="143" spans="1:21" x14ac:dyDescent="0.3">
      <c r="A143">
        <v>0</v>
      </c>
      <c r="B143">
        <v>0</v>
      </c>
      <c r="C143">
        <v>0</v>
      </c>
      <c r="D143">
        <v>0</v>
      </c>
      <c r="E143">
        <v>5.070508739199453E-6</v>
      </c>
      <c r="F143">
        <v>0</v>
      </c>
      <c r="G143">
        <v>4.1049947525975683E-6</v>
      </c>
      <c r="H143">
        <v>0</v>
      </c>
      <c r="I143">
        <v>4.6442621500011882E-6</v>
      </c>
      <c r="J143">
        <v>0</v>
      </c>
      <c r="K143">
        <v>4.1262216567000687E-6</v>
      </c>
      <c r="L143">
        <v>-3.4808984479630257E-4</v>
      </c>
      <c r="M143">
        <v>-2.8180742008679371E-4</v>
      </c>
      <c r="N143">
        <v>-3.1882806521746354E-4</v>
      </c>
      <c r="O143">
        <v>-2.8326464462472001E-4</v>
      </c>
      <c r="P143" s="3">
        <v>7.9161309097531041E-5</v>
      </c>
      <c r="Q143" s="3">
        <v>6.792502165736233E-5</v>
      </c>
      <c r="R143" s="3">
        <v>7.2558612831090919E-5</v>
      </c>
      <c r="S143" s="3">
        <v>6.6916162771960902E-5</v>
      </c>
      <c r="T143">
        <f>Constraint[[#This Row],[nx]]</f>
        <v>54</v>
      </c>
      <c r="U143">
        <v>2</v>
      </c>
    </row>
    <row r="144" spans="1:21" x14ac:dyDescent="0.3">
      <c r="A144">
        <v>0</v>
      </c>
      <c r="B144">
        <v>0</v>
      </c>
      <c r="C144">
        <v>0</v>
      </c>
      <c r="D144">
        <v>0</v>
      </c>
      <c r="E144">
        <v>5.2816039453999764E-6</v>
      </c>
      <c r="F144">
        <v>0</v>
      </c>
      <c r="G144">
        <v>4.1318035338029635E-6</v>
      </c>
      <c r="H144">
        <v>0</v>
      </c>
      <c r="I144">
        <v>4.7987495294977978E-6</v>
      </c>
      <c r="J144">
        <v>0</v>
      </c>
      <c r="K144">
        <v>4.1071507301988774E-6</v>
      </c>
      <c r="L144">
        <v>-3.625815065492E-4</v>
      </c>
      <c r="M144">
        <v>-2.8364783984918818E-4</v>
      </c>
      <c r="N144">
        <v>-3.2943360614401396E-4</v>
      </c>
      <c r="O144">
        <v>-2.8195542770245718E-4</v>
      </c>
      <c r="P144" s="3">
        <v>7.9363549004728362E-5</v>
      </c>
      <c r="Q144" s="3">
        <v>6.7723872662490191E-5</v>
      </c>
      <c r="R144" s="3">
        <v>7.2641002770946705E-5</v>
      </c>
      <c r="S144" s="3">
        <v>6.6605784734538232E-5</v>
      </c>
      <c r="T144">
        <f>Constraint[[#This Row],[nx]]</f>
        <v>45</v>
      </c>
      <c r="U144">
        <v>2</v>
      </c>
    </row>
    <row r="145" spans="1:21" x14ac:dyDescent="0.3">
      <c r="A145">
        <v>0</v>
      </c>
      <c r="B145">
        <v>0</v>
      </c>
      <c r="C145">
        <v>0</v>
      </c>
      <c r="D145">
        <v>0</v>
      </c>
      <c r="E145">
        <v>5.3947712419007837E-6</v>
      </c>
      <c r="F145">
        <v>0</v>
      </c>
      <c r="G145">
        <v>4.1643395589027743E-6</v>
      </c>
      <c r="H145">
        <v>0</v>
      </c>
      <c r="I145">
        <v>4.8933471324986988E-6</v>
      </c>
      <c r="J145">
        <v>0</v>
      </c>
      <c r="K145">
        <v>4.1077965736019406E-6</v>
      </c>
      <c r="L145">
        <v>-3.7035042850577619E-4</v>
      </c>
      <c r="M145">
        <v>-2.8588143424962409E-4</v>
      </c>
      <c r="N145">
        <v>-3.3592772076650179E-4</v>
      </c>
      <c r="O145">
        <v>-2.8199976477816247E-4</v>
      </c>
      <c r="P145" s="3">
        <v>7.9734575909168491E-5</v>
      </c>
      <c r="Q145" s="3">
        <v>6.780147037894277E-5</v>
      </c>
      <c r="R145" s="3">
        <v>7.2902561931495761E-5</v>
      </c>
      <c r="S145" s="3">
        <v>6.6593731092825267E-5</v>
      </c>
      <c r="T145">
        <f>Constraint[[#This Row],[nx]]</f>
        <v>39</v>
      </c>
      <c r="U145">
        <v>2</v>
      </c>
    </row>
    <row r="146" spans="1:21" x14ac:dyDescent="0.3">
      <c r="A146">
        <v>0</v>
      </c>
      <c r="B146">
        <v>0</v>
      </c>
      <c r="C146">
        <v>0</v>
      </c>
      <c r="D146">
        <v>0</v>
      </c>
      <c r="E146">
        <v>5.4435215207995769E-6</v>
      </c>
      <c r="F146">
        <v>0</v>
      </c>
      <c r="G146">
        <v>4.1983077490002907E-6</v>
      </c>
      <c r="H146">
        <v>0</v>
      </c>
      <c r="I146">
        <v>4.9504722815004593E-6</v>
      </c>
      <c r="J146">
        <v>0</v>
      </c>
      <c r="K146">
        <v>4.113721940198628E-6</v>
      </c>
      <c r="L146">
        <v>-3.7369712957434006E-4</v>
      </c>
      <c r="M146">
        <v>-2.8821334661327525E-4</v>
      </c>
      <c r="N146">
        <v>-3.3984935570942343E-4</v>
      </c>
      <c r="O146">
        <v>-2.8240654051708836E-4</v>
      </c>
      <c r="P146" s="3">
        <v>8.0396108358811135E-5</v>
      </c>
      <c r="Q146" s="3">
        <v>6.8183925153916198E-5</v>
      </c>
      <c r="R146" s="3">
        <v>7.3429930202254502E-5</v>
      </c>
      <c r="S146" s="3">
        <v>6.6879557766724864E-5</v>
      </c>
      <c r="T146">
        <f>Constraint[[#This Row],[nx]]</f>
        <v>33</v>
      </c>
      <c r="U146">
        <v>2</v>
      </c>
    </row>
    <row r="147" spans="1:21" x14ac:dyDescent="0.3">
      <c r="A147">
        <v>0</v>
      </c>
      <c r="B147">
        <v>0</v>
      </c>
      <c r="C147">
        <v>0</v>
      </c>
      <c r="D147">
        <v>0</v>
      </c>
      <c r="E147">
        <v>5.3794953780005733E-6</v>
      </c>
      <c r="F147">
        <v>0</v>
      </c>
      <c r="G147">
        <v>4.2144275454979174E-6</v>
      </c>
      <c r="H147">
        <v>0</v>
      </c>
      <c r="I147">
        <v>4.9298692907998043E-6</v>
      </c>
      <c r="J147">
        <v>0</v>
      </c>
      <c r="K147">
        <v>4.1148978715023488E-6</v>
      </c>
      <c r="L147">
        <v>-3.693017421968342E-4</v>
      </c>
      <c r="M147">
        <v>-2.8931996879846822E-4</v>
      </c>
      <c r="N147">
        <v>-3.3843496275513113E-4</v>
      </c>
      <c r="O147">
        <v>-2.8248726806651137E-4</v>
      </c>
      <c r="P147" s="3">
        <v>8.1459039200386109E-5</v>
      </c>
      <c r="Q147" s="3">
        <v>6.9028424009525994E-5</v>
      </c>
      <c r="R147" s="3">
        <v>7.4331548557168308E-5</v>
      </c>
      <c r="S147" s="3">
        <v>6.764763473526226E-5</v>
      </c>
      <c r="T147">
        <f>Constraint[[#This Row],[nx]]</f>
        <v>27</v>
      </c>
      <c r="U147">
        <v>2</v>
      </c>
    </row>
    <row r="148" spans="1:21" x14ac:dyDescent="0.3">
      <c r="A148">
        <v>0</v>
      </c>
      <c r="B148">
        <v>0</v>
      </c>
      <c r="C148">
        <v>0</v>
      </c>
      <c r="D148">
        <v>0</v>
      </c>
      <c r="E148">
        <v>5.2921849199999427E-6</v>
      </c>
      <c r="F148">
        <v>0</v>
      </c>
      <c r="G148">
        <v>4.2091665355022123E-6</v>
      </c>
      <c r="H148">
        <v>0</v>
      </c>
      <c r="I148">
        <v>4.8780432921006339E-6</v>
      </c>
      <c r="J148">
        <v>0</v>
      </c>
      <c r="K148">
        <v>4.1119685855010857E-6</v>
      </c>
      <c r="L148">
        <v>-3.6330788924485158E-4</v>
      </c>
      <c r="M148">
        <v>-2.8895880106422078E-4</v>
      </c>
      <c r="N148">
        <v>-3.3487711387419211E-4</v>
      </c>
      <c r="O148">
        <v>-2.8228617291770064E-4</v>
      </c>
      <c r="P148" s="3">
        <v>8.2181306691177735E-5</v>
      </c>
      <c r="Q148" s="3">
        <v>6.9674245223128517E-5</v>
      </c>
      <c r="R148" s="3">
        <v>7.495839825571749E-5</v>
      </c>
      <c r="S148" s="3">
        <v>6.8285632958627339E-5</v>
      </c>
      <c r="T148">
        <f>Constraint[[#This Row],[nx]]</f>
        <v>24</v>
      </c>
      <c r="U148">
        <v>2</v>
      </c>
    </row>
    <row r="149" spans="1:21" x14ac:dyDescent="0.3">
      <c r="A149">
        <v>0</v>
      </c>
      <c r="B149">
        <v>0</v>
      </c>
      <c r="C149">
        <v>0</v>
      </c>
      <c r="D149">
        <v>0</v>
      </c>
      <c r="E149">
        <v>5.1662068722008181E-6</v>
      </c>
      <c r="F149">
        <v>0</v>
      </c>
      <c r="G149">
        <v>4.1936889322996551E-6</v>
      </c>
      <c r="H149">
        <v>0</v>
      </c>
      <c r="I149">
        <v>4.7955982132984881E-6</v>
      </c>
      <c r="J149">
        <v>0</v>
      </c>
      <c r="K149">
        <v>4.1088758754997956E-6</v>
      </c>
      <c r="L149">
        <v>-3.5465951067740337E-4</v>
      </c>
      <c r="M149">
        <v>-2.8789626537528701E-4</v>
      </c>
      <c r="N149">
        <v>-3.2921726864749284E-4</v>
      </c>
      <c r="O149">
        <v>-2.8207385872996982E-4</v>
      </c>
      <c r="P149" s="3">
        <v>8.3059007096063732E-5</v>
      </c>
      <c r="Q149" s="3">
        <v>7.0487916837749985E-5</v>
      </c>
      <c r="R149" s="3">
        <v>7.5723058319135376E-5</v>
      </c>
      <c r="S149" s="3">
        <v>6.9137532040600377E-5</v>
      </c>
      <c r="T149">
        <f>Constraint[[#This Row],[nx]]</f>
        <v>21</v>
      </c>
      <c r="U149">
        <v>2</v>
      </c>
    </row>
    <row r="150" spans="1:21" x14ac:dyDescent="0.3">
      <c r="A150">
        <v>0</v>
      </c>
      <c r="B150">
        <v>0</v>
      </c>
      <c r="C150">
        <v>0</v>
      </c>
      <c r="D150">
        <v>0</v>
      </c>
      <c r="E150">
        <v>5.0064274239002005E-6</v>
      </c>
      <c r="F150">
        <v>0</v>
      </c>
      <c r="G150">
        <v>4.1702499741988475E-6</v>
      </c>
      <c r="H150">
        <v>0</v>
      </c>
      <c r="I150">
        <v>4.6854407509001189E-6</v>
      </c>
      <c r="J150">
        <v>0</v>
      </c>
      <c r="K150">
        <v>4.1100243079010557E-6</v>
      </c>
      <c r="L150">
        <v>-3.4369066983296059E-4</v>
      </c>
      <c r="M150">
        <v>-2.8628718358345018E-4</v>
      </c>
      <c r="N150">
        <v>-3.216549714576758E-4</v>
      </c>
      <c r="O150">
        <v>-2.8215269848291813E-4</v>
      </c>
      <c r="P150" s="3">
        <v>8.4130273134157689E-5</v>
      </c>
      <c r="Q150" s="3">
        <v>7.1472306373996806E-5</v>
      </c>
      <c r="R150" s="3">
        <v>7.6650343552763528E-5</v>
      </c>
      <c r="S150" s="3">
        <v>7.0239202306821255E-5</v>
      </c>
      <c r="T150">
        <f>Constraint[[#This Row],[nx]]</f>
        <v>18</v>
      </c>
      <c r="U150">
        <v>2</v>
      </c>
    </row>
    <row r="151" spans="1:21" x14ac:dyDescent="0.3">
      <c r="A151">
        <v>0</v>
      </c>
      <c r="B151">
        <v>0</v>
      </c>
      <c r="C151">
        <v>0</v>
      </c>
      <c r="D151">
        <v>0</v>
      </c>
      <c r="E151">
        <v>4.8239534495998077E-6</v>
      </c>
      <c r="F151">
        <v>0</v>
      </c>
      <c r="G151">
        <v>4.1441554574986328E-6</v>
      </c>
      <c r="H151">
        <v>0</v>
      </c>
      <c r="I151">
        <v>4.556039378700999E-6</v>
      </c>
      <c r="J151">
        <v>0</v>
      </c>
      <c r="K151">
        <v>4.1195985396001722E-6</v>
      </c>
      <c r="L151">
        <v>-3.311638523752769E-4</v>
      </c>
      <c r="M151">
        <v>-2.8449579799762204E-4</v>
      </c>
      <c r="N151">
        <v>-3.1277158206185519E-4</v>
      </c>
      <c r="O151">
        <v>-2.8280996839361028E-4</v>
      </c>
      <c r="P151" s="3">
        <v>8.5478316322221506E-5</v>
      </c>
      <c r="Q151" s="3">
        <v>7.2621338516787242E-5</v>
      </c>
      <c r="R151" s="3">
        <v>7.7799211839498205E-5</v>
      </c>
      <c r="S151" s="3">
        <v>7.1627325135869681E-5</v>
      </c>
      <c r="T151">
        <f>Constraint[[#This Row],[nx]]</f>
        <v>15</v>
      </c>
      <c r="U151">
        <v>2</v>
      </c>
    </row>
    <row r="152" spans="1:21" x14ac:dyDescent="0.3">
      <c r="A152">
        <v>0</v>
      </c>
      <c r="B152">
        <v>0</v>
      </c>
      <c r="C152">
        <v>0</v>
      </c>
      <c r="D152">
        <v>0</v>
      </c>
      <c r="E152">
        <v>4.6348212843008718E-6</v>
      </c>
      <c r="F152">
        <v>0</v>
      </c>
      <c r="G152">
        <v>4.1221209397986069E-6</v>
      </c>
      <c r="H152">
        <v>0</v>
      </c>
      <c r="I152">
        <v>4.4206601352986263E-6</v>
      </c>
      <c r="J152">
        <v>0</v>
      </c>
      <c r="K152">
        <v>4.135266924800568E-6</v>
      </c>
      <c r="L152">
        <v>-3.1817995086734496E-4</v>
      </c>
      <c r="M152">
        <v>-2.8298313087862792E-4</v>
      </c>
      <c r="N152">
        <v>-3.0347781249189746E-4</v>
      </c>
      <c r="O152">
        <v>-2.8388560124488482E-4</v>
      </c>
      <c r="P152" s="3">
        <v>8.7307928357010836E-5</v>
      </c>
      <c r="Q152" s="3">
        <v>7.3934541776088348E-5</v>
      </c>
      <c r="R152" s="3">
        <v>7.9335022992756718E-5</v>
      </c>
      <c r="S152" s="3">
        <v>7.3337374983274676E-5</v>
      </c>
      <c r="T152">
        <f>Constraint[[#This Row],[nx]]</f>
        <v>12</v>
      </c>
      <c r="U152">
        <v>2</v>
      </c>
    </row>
    <row r="153" spans="1:21" x14ac:dyDescent="0.3">
      <c r="A153">
        <v>0</v>
      </c>
      <c r="B153">
        <v>0</v>
      </c>
      <c r="C153">
        <v>0</v>
      </c>
      <c r="D153">
        <v>0</v>
      </c>
      <c r="E153">
        <v>4.4553491065999623E-6</v>
      </c>
      <c r="F153">
        <v>0</v>
      </c>
      <c r="G153">
        <v>4.1086772334004984E-6</v>
      </c>
      <c r="H153">
        <v>0</v>
      </c>
      <c r="I153">
        <v>4.2968240099999777E-6</v>
      </c>
      <c r="J153">
        <v>0</v>
      </c>
      <c r="K153">
        <v>4.146716840200057E-6</v>
      </c>
      <c r="L153">
        <v>-3.0585920640274766E-4</v>
      </c>
      <c r="M153">
        <v>-2.8206022197257291E-4</v>
      </c>
      <c r="N153">
        <v>-2.9497647665904098E-4</v>
      </c>
      <c r="O153">
        <v>-2.8467163662700135E-4</v>
      </c>
      <c r="P153" s="3">
        <v>9.013131404289173E-5</v>
      </c>
      <c r="Q153" s="3">
        <v>7.545948450107054E-5</v>
      </c>
      <c r="R153" s="3">
        <v>8.1741198658418995E-5</v>
      </c>
      <c r="S153" s="3">
        <v>7.5339697342783715E-5</v>
      </c>
      <c r="T153">
        <f>Constraint[[#This Row],[nx]]</f>
        <v>9</v>
      </c>
      <c r="U153">
        <v>2</v>
      </c>
    </row>
    <row r="154" spans="1:21" x14ac:dyDescent="0.3">
      <c r="A154">
        <v>0</v>
      </c>
      <c r="B154">
        <v>0</v>
      </c>
      <c r="C154">
        <v>0</v>
      </c>
      <c r="D154">
        <v>0</v>
      </c>
      <c r="E154">
        <v>4.2972392374010515E-6</v>
      </c>
      <c r="F154">
        <v>0</v>
      </c>
      <c r="G154">
        <v>4.1031430536003083E-6</v>
      </c>
      <c r="H154">
        <v>0</v>
      </c>
      <c r="I154">
        <v>4.1930687390001609E-6</v>
      </c>
      <c r="J154">
        <v>0</v>
      </c>
      <c r="K154">
        <v>4.1138702680000583E-6</v>
      </c>
      <c r="L154">
        <v>-2.950049819726297E-4</v>
      </c>
      <c r="M154">
        <v>-2.8168030116249715E-4</v>
      </c>
      <c r="N154">
        <v>-2.878536891762068E-4</v>
      </c>
      <c r="O154">
        <v>-2.824167232036677E-4</v>
      </c>
      <c r="P154" s="3">
        <v>9.496599113514715E-5</v>
      </c>
      <c r="Q154" s="3">
        <v>7.7258450589239976E-5</v>
      </c>
      <c r="R154" s="3">
        <v>8.6322614028916015E-5</v>
      </c>
      <c r="S154" s="3">
        <v>7.7883429609009269E-5</v>
      </c>
      <c r="T154">
        <f>Constraint[[#This Row],[nx]]</f>
        <v>6</v>
      </c>
      <c r="U154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5C3E8-89B6-43BE-A471-A09F0C307BAE}">
  <dimension ref="A1:U154"/>
  <sheetViews>
    <sheetView workbookViewId="0">
      <selection activeCell="V6" sqref="V6"/>
    </sheetView>
  </sheetViews>
  <sheetFormatPr defaultRowHeight="14.4" x14ac:dyDescent="0.3"/>
  <cols>
    <col min="16" max="19" width="8.88671875" style="3"/>
    <col min="21" max="21" width="7.77734375" bestFit="1" customWidth="1"/>
  </cols>
  <sheetData>
    <row r="1" spans="1:21" x14ac:dyDescent="0.3">
      <c r="A1" s="1"/>
      <c r="B1" s="2"/>
      <c r="C1" s="2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" t="s">
        <v>12</v>
      </c>
      <c r="M1" s="4" t="s">
        <v>13</v>
      </c>
      <c r="N1" s="4" t="s">
        <v>14</v>
      </c>
      <c r="O1" s="5" t="s">
        <v>15</v>
      </c>
      <c r="P1" s="4" t="s">
        <v>20</v>
      </c>
      <c r="Q1" s="4" t="s">
        <v>21</v>
      </c>
      <c r="R1" s="4" t="s">
        <v>22</v>
      </c>
      <c r="S1" s="4" t="s">
        <v>23</v>
      </c>
      <c r="T1" s="6" t="s">
        <v>1</v>
      </c>
      <c r="U1" s="6" t="s">
        <v>0</v>
      </c>
    </row>
    <row r="2" spans="1:21" x14ac:dyDescent="0.3">
      <c r="A2" cm="1">
        <f t="array" ref="A2:O154">Constraint[]-Lagrange[]</f>
        <v>0</v>
      </c>
      <c r="B2">
        <v>0</v>
      </c>
      <c r="C2">
        <v>0</v>
      </c>
      <c r="D2">
        <v>0</v>
      </c>
      <c r="E2">
        <v>-4.8700626864572882E-14</v>
      </c>
      <c r="F2">
        <v>0</v>
      </c>
      <c r="G2">
        <v>-1.5201381819984761E-14</v>
      </c>
      <c r="H2">
        <v>0</v>
      </c>
      <c r="I2">
        <v>1.379001079993003E-13</v>
      </c>
      <c r="J2">
        <v>0</v>
      </c>
      <c r="K2">
        <v>-8.3995310706797E-15</v>
      </c>
      <c r="L2">
        <v>3.3432909218866769E-12</v>
      </c>
      <c r="M2">
        <v>1.0435714792311757E-12</v>
      </c>
      <c r="N2">
        <v>-9.4668266281683344E-12</v>
      </c>
      <c r="O2">
        <v>5.7662902230859459E-13</v>
      </c>
      <c r="P2" s="3" cm="1">
        <f t="array" ref="P2:P154">ABS(E2/Constraint[disp_t3])</f>
        <v>3.2721829052684316E-12</v>
      </c>
      <c r="Q2" s="3" cm="1">
        <f t="array" ref="Q2:Q154">ABS(F2/Constraint[dofs_t6])</f>
        <v>0</v>
      </c>
      <c r="R2" s="3" cm="1">
        <f t="array" ref="R2:R154">ABS(G2/Constraint[disp_t6])</f>
        <v>1.012899504949745E-12</v>
      </c>
      <c r="S2" s="3" cm="1">
        <f t="array" ref="S2:S154">ABS(H2/Constraint[dofs_q4])</f>
        <v>0</v>
      </c>
      <c r="T2">
        <f>Constraint[[#This Row],[nx]]</f>
        <v>120</v>
      </c>
      <c r="U2" cm="1">
        <f t="array" ref="U2:U154">Constraint[ny]</f>
        <v>20</v>
      </c>
    </row>
    <row r="3" spans="1:21" x14ac:dyDescent="0.3">
      <c r="A3">
        <v>0</v>
      </c>
      <c r="B3">
        <v>0</v>
      </c>
      <c r="C3">
        <v>0</v>
      </c>
      <c r="D3">
        <v>0</v>
      </c>
      <c r="E3">
        <v>9.4100074954361901E-14</v>
      </c>
      <c r="F3">
        <v>0</v>
      </c>
      <c r="G3">
        <v>-1.7310111677382167E-13</v>
      </c>
      <c r="H3">
        <v>0</v>
      </c>
      <c r="I3">
        <v>-1.9080050039921304E-13</v>
      </c>
      <c r="J3">
        <v>0</v>
      </c>
      <c r="K3">
        <v>-1.8680022806361052E-13</v>
      </c>
      <c r="L3">
        <v>-6.4599610383186956E-12</v>
      </c>
      <c r="M3">
        <v>1.188337275803697E-11</v>
      </c>
      <c r="N3">
        <v>1.3098432061209309E-11</v>
      </c>
      <c r="O3">
        <v>1.2823814926621324E-11</v>
      </c>
      <c r="P3" s="3">
        <v>3.2740786445160169E-12</v>
      </c>
      <c r="Q3" s="3">
        <v>0</v>
      </c>
      <c r="R3" s="3">
        <v>1.0136344610783119E-12</v>
      </c>
      <c r="S3" s="3">
        <v>0</v>
      </c>
      <c r="T3">
        <f>Constraint[[#This Row],[nx]]</f>
        <v>102</v>
      </c>
      <c r="U3">
        <v>20</v>
      </c>
    </row>
    <row r="4" spans="1:21" x14ac:dyDescent="0.3">
      <c r="A4">
        <v>0</v>
      </c>
      <c r="B4">
        <v>0</v>
      </c>
      <c r="C4">
        <v>0</v>
      </c>
      <c r="D4">
        <v>0</v>
      </c>
      <c r="E4">
        <v>-3.520100877452137E-14</v>
      </c>
      <c r="F4">
        <v>0</v>
      </c>
      <c r="G4">
        <v>-1.4149965921195218E-13</v>
      </c>
      <c r="H4">
        <v>0</v>
      </c>
      <c r="I4">
        <v>-1.5430018374118504E-13</v>
      </c>
      <c r="J4">
        <v>0</v>
      </c>
      <c r="K4">
        <v>1.5005358067199381E-15</v>
      </c>
      <c r="L4">
        <v>2.4165461298686353E-12</v>
      </c>
      <c r="M4">
        <v>9.7139345178742786E-12</v>
      </c>
      <c r="N4">
        <v>1.0592689919652898E-11</v>
      </c>
      <c r="O4">
        <v>-1.0301134945045476E-13</v>
      </c>
      <c r="P4" s="3">
        <v>3.2765767211576781E-12</v>
      </c>
      <c r="Q4" s="3">
        <v>0</v>
      </c>
      <c r="R4" s="3">
        <v>1.0144436351434577E-12</v>
      </c>
      <c r="S4" s="3">
        <v>0</v>
      </c>
      <c r="T4">
        <f>Constraint[[#This Row],[nx]]</f>
        <v>87</v>
      </c>
      <c r="U4">
        <v>20</v>
      </c>
    </row>
    <row r="5" spans="1:21" x14ac:dyDescent="0.3">
      <c r="A5">
        <v>0</v>
      </c>
      <c r="B5">
        <v>0</v>
      </c>
      <c r="C5">
        <v>0</v>
      </c>
      <c r="D5">
        <v>0</v>
      </c>
      <c r="E5">
        <v>-3.009918703167358E-14</v>
      </c>
      <c r="F5">
        <v>0</v>
      </c>
      <c r="G5">
        <v>-1.6498954980015412E-14</v>
      </c>
      <c r="H5">
        <v>0</v>
      </c>
      <c r="I5">
        <v>-1.6609977282477928E-13</v>
      </c>
      <c r="J5">
        <v>0</v>
      </c>
      <c r="K5">
        <v>3.7010151887617582E-13</v>
      </c>
      <c r="L5">
        <v>2.0663054600689179E-12</v>
      </c>
      <c r="M5">
        <v>1.1326495297225847E-12</v>
      </c>
      <c r="N5">
        <v>1.1402729455101124E-11</v>
      </c>
      <c r="O5">
        <v>-2.5407429632418044E-11</v>
      </c>
      <c r="P5" s="3">
        <v>3.2806442864617915E-12</v>
      </c>
      <c r="Q5" s="3">
        <v>0</v>
      </c>
      <c r="R5" s="3">
        <v>1.0155143028792665E-12</v>
      </c>
      <c r="S5" s="3">
        <v>0</v>
      </c>
      <c r="T5">
        <f>Constraint[[#This Row],[nx]]</f>
        <v>72</v>
      </c>
      <c r="U5">
        <v>20</v>
      </c>
    </row>
    <row r="6" spans="1:21" x14ac:dyDescent="0.3">
      <c r="A6">
        <v>0</v>
      </c>
      <c r="B6">
        <v>0</v>
      </c>
      <c r="C6">
        <v>0</v>
      </c>
      <c r="D6">
        <v>0</v>
      </c>
      <c r="E6">
        <v>3.8800559987173244E-14</v>
      </c>
      <c r="F6">
        <v>0</v>
      </c>
      <c r="G6">
        <v>2.4999967374039755E-13</v>
      </c>
      <c r="H6">
        <v>0</v>
      </c>
      <c r="I6">
        <v>-9.1999324824953987E-14</v>
      </c>
      <c r="J6">
        <v>0</v>
      </c>
      <c r="K6">
        <v>1.2769993396055668E-13</v>
      </c>
      <c r="L6">
        <v>-2.6636540195745795E-12</v>
      </c>
      <c r="M6">
        <v>-1.7162448545660069E-11</v>
      </c>
      <c r="N6">
        <v>6.3157430674198878E-12</v>
      </c>
      <c r="O6">
        <v>-8.7665846804085845E-12</v>
      </c>
      <c r="P6" s="3">
        <v>3.2844343803612985E-12</v>
      </c>
      <c r="Q6" s="3">
        <v>0</v>
      </c>
      <c r="R6" s="3">
        <v>1.0163327373433332E-12</v>
      </c>
      <c r="S6" s="3">
        <v>0</v>
      </c>
      <c r="T6">
        <f>Constraint[[#This Row],[nx]]</f>
        <v>63</v>
      </c>
      <c r="U6">
        <v>20</v>
      </c>
    </row>
    <row r="7" spans="1:21" x14ac:dyDescent="0.3">
      <c r="A7">
        <v>0</v>
      </c>
      <c r="B7">
        <v>0</v>
      </c>
      <c r="C7">
        <v>0</v>
      </c>
      <c r="D7">
        <v>0</v>
      </c>
      <c r="E7">
        <v>3.2240009273376558E-13</v>
      </c>
      <c r="F7">
        <v>0</v>
      </c>
      <c r="G7">
        <v>3.1410117562469253E-13</v>
      </c>
      <c r="H7">
        <v>0</v>
      </c>
      <c r="I7">
        <v>2.5190093067006813E-13</v>
      </c>
      <c r="J7">
        <v>0</v>
      </c>
      <c r="K7">
        <v>2.8389963990793632E-13</v>
      </c>
      <c r="L7">
        <v>-2.213272967677149E-11</v>
      </c>
      <c r="M7">
        <v>-2.1563008323344235E-11</v>
      </c>
      <c r="N7">
        <v>-1.7292969139992564E-11</v>
      </c>
      <c r="O7">
        <v>-1.9489677233197611E-11</v>
      </c>
      <c r="P7" s="3">
        <v>3.2900269452780089E-12</v>
      </c>
      <c r="Q7" s="3">
        <v>0</v>
      </c>
      <c r="R7" s="3">
        <v>1.0173356823195325E-12</v>
      </c>
      <c r="S7" s="3">
        <v>0</v>
      </c>
      <c r="T7">
        <f>Constraint[[#This Row],[nx]]</f>
        <v>54</v>
      </c>
      <c r="U7">
        <v>20</v>
      </c>
    </row>
    <row r="8" spans="1:21" x14ac:dyDescent="0.3">
      <c r="A8">
        <v>0</v>
      </c>
      <c r="B8">
        <v>0</v>
      </c>
      <c r="C8">
        <v>0</v>
      </c>
      <c r="D8">
        <v>0</v>
      </c>
      <c r="E8">
        <v>2.7299343341447013E-14</v>
      </c>
      <c r="F8">
        <v>0</v>
      </c>
      <c r="G8">
        <v>-1.1919978892827032E-13</v>
      </c>
      <c r="H8">
        <v>0</v>
      </c>
      <c r="I8">
        <v>-1.3699978651526834E-13</v>
      </c>
      <c r="J8">
        <v>0</v>
      </c>
      <c r="K8">
        <v>3.5599995173996035E-14</v>
      </c>
      <c r="L8">
        <v>-1.8740963642072117E-12</v>
      </c>
      <c r="M8">
        <v>8.1830549281125542E-12</v>
      </c>
      <c r="N8">
        <v>9.4050219001662327E-12</v>
      </c>
      <c r="O8">
        <v>-2.4439339441073571E-12</v>
      </c>
      <c r="P8" s="3">
        <v>3.2988276070002153E-12</v>
      </c>
      <c r="Q8" s="3">
        <v>0</v>
      </c>
      <c r="R8" s="3">
        <v>1.0186006290269817E-12</v>
      </c>
      <c r="S8" s="3">
        <v>0</v>
      </c>
      <c r="T8">
        <f>Constraint[[#This Row],[nx]]</f>
        <v>45</v>
      </c>
      <c r="U8">
        <v>20</v>
      </c>
    </row>
    <row r="9" spans="1:21" x14ac:dyDescent="0.3">
      <c r="A9">
        <v>0</v>
      </c>
      <c r="B9">
        <v>0</v>
      </c>
      <c r="C9">
        <v>0</v>
      </c>
      <c r="D9">
        <v>0</v>
      </c>
      <c r="E9">
        <v>1.0949921525060802E-13</v>
      </c>
      <c r="F9">
        <v>0</v>
      </c>
      <c r="G9">
        <v>2.1099441638305905E-14</v>
      </c>
      <c r="H9">
        <v>0</v>
      </c>
      <c r="I9">
        <v>2.2998963844500508E-14</v>
      </c>
      <c r="J9">
        <v>0</v>
      </c>
      <c r="K9">
        <v>1.9009967211491841E-13</v>
      </c>
      <c r="L9">
        <v>-7.5171084634728658E-12</v>
      </c>
      <c r="M9">
        <v>-1.4484732857589222E-12</v>
      </c>
      <c r="N9">
        <v>-1.5788759188950507E-12</v>
      </c>
      <c r="O9">
        <v>-1.3050321240326568E-11</v>
      </c>
      <c r="P9" s="3">
        <v>3.3079129901869269E-12</v>
      </c>
      <c r="Q9" s="3">
        <v>0</v>
      </c>
      <c r="R9" s="3">
        <v>1.0196599298504941E-12</v>
      </c>
      <c r="S9" s="3">
        <v>0</v>
      </c>
      <c r="T9">
        <f>Constraint[[#This Row],[nx]]</f>
        <v>39</v>
      </c>
      <c r="U9">
        <v>20</v>
      </c>
    </row>
    <row r="10" spans="1:21" x14ac:dyDescent="0.3">
      <c r="A10">
        <v>0</v>
      </c>
      <c r="B10">
        <v>0</v>
      </c>
      <c r="C10">
        <v>0</v>
      </c>
      <c r="D10">
        <v>0</v>
      </c>
      <c r="E10">
        <v>-1.3880042948333227E-13</v>
      </c>
      <c r="F10">
        <v>0</v>
      </c>
      <c r="G10">
        <v>-2.9299479509248272E-14</v>
      </c>
      <c r="H10">
        <v>0</v>
      </c>
      <c r="I10">
        <v>1.3580109259336837E-13</v>
      </c>
      <c r="J10">
        <v>0</v>
      </c>
      <c r="K10">
        <v>7.5899356244413241E-14</v>
      </c>
      <c r="L10">
        <v>9.5286339582556501E-12</v>
      </c>
      <c r="M10">
        <v>2.0114049315012039E-12</v>
      </c>
      <c r="N10">
        <v>-9.322730087912845E-12</v>
      </c>
      <c r="O10">
        <v>-5.2104813519360249E-12</v>
      </c>
      <c r="P10" s="3">
        <v>3.3217303038945497E-12</v>
      </c>
      <c r="Q10" s="3">
        <v>0</v>
      </c>
      <c r="R10" s="3">
        <v>1.0209891326957263E-12</v>
      </c>
      <c r="S10" s="3">
        <v>0</v>
      </c>
      <c r="T10">
        <f>Constraint[[#This Row],[nx]]</f>
        <v>33</v>
      </c>
      <c r="U10">
        <v>20</v>
      </c>
    </row>
    <row r="11" spans="1:21" x14ac:dyDescent="0.3">
      <c r="A11">
        <v>0</v>
      </c>
      <c r="B11">
        <v>0</v>
      </c>
      <c r="C11">
        <v>0</v>
      </c>
      <c r="D11">
        <v>0</v>
      </c>
      <c r="E11">
        <v>-2.0100240916143264E-14</v>
      </c>
      <c r="F11">
        <v>0</v>
      </c>
      <c r="G11">
        <v>3.1949963508193235E-13</v>
      </c>
      <c r="H11">
        <v>0</v>
      </c>
      <c r="I11">
        <v>4.6899983896508957E-13</v>
      </c>
      <c r="J11">
        <v>0</v>
      </c>
      <c r="K11">
        <v>6.1580081311962687E-13</v>
      </c>
      <c r="L11">
        <v>1.3798792295426077E-12</v>
      </c>
      <c r="M11">
        <v>-2.193361464675192E-11</v>
      </c>
      <c r="N11">
        <v>-3.2196785168525643E-11</v>
      </c>
      <c r="O11">
        <v>-4.2274655998042476E-11</v>
      </c>
      <c r="P11" s="3">
        <v>3.3444374800117419E-12</v>
      </c>
      <c r="Q11" s="3">
        <v>0</v>
      </c>
      <c r="R11" s="3">
        <v>1.0227621447698503E-12</v>
      </c>
      <c r="S11" s="3">
        <v>0</v>
      </c>
      <c r="T11">
        <f>Constraint[[#This Row],[nx]]</f>
        <v>27</v>
      </c>
      <c r="U11">
        <v>20</v>
      </c>
    </row>
    <row r="12" spans="1:21" x14ac:dyDescent="0.3">
      <c r="A12">
        <v>0</v>
      </c>
      <c r="B12">
        <v>0</v>
      </c>
      <c r="C12">
        <v>0</v>
      </c>
      <c r="D12">
        <v>0</v>
      </c>
      <c r="E12">
        <v>8.3499179792667633E-14</v>
      </c>
      <c r="F12">
        <v>0</v>
      </c>
      <c r="G12">
        <v>-9.6400318283507147E-14</v>
      </c>
      <c r="H12">
        <v>0</v>
      </c>
      <c r="I12">
        <v>-1.5219943361177712E-13</v>
      </c>
      <c r="J12">
        <v>0</v>
      </c>
      <c r="K12">
        <v>-1.5270076869633442E-13</v>
      </c>
      <c r="L12">
        <v>-5.7322089783151675E-12</v>
      </c>
      <c r="M12">
        <v>6.6178694468899124E-12</v>
      </c>
      <c r="N12">
        <v>1.0448473683477566E-11</v>
      </c>
      <c r="O12">
        <v>1.0482892331964422E-11</v>
      </c>
      <c r="P12" s="3">
        <v>3.3617942442520754E-12</v>
      </c>
      <c r="Q12" s="3">
        <v>0</v>
      </c>
      <c r="R12" s="3">
        <v>1.0239205443204683E-12</v>
      </c>
      <c r="S12" s="3">
        <v>0</v>
      </c>
      <c r="T12">
        <f>Constraint[[#This Row],[nx]]</f>
        <v>24</v>
      </c>
      <c r="U12">
        <v>20</v>
      </c>
    </row>
    <row r="13" spans="1:21" x14ac:dyDescent="0.3">
      <c r="A13">
        <v>0</v>
      </c>
      <c r="B13">
        <v>0</v>
      </c>
      <c r="C13">
        <v>0</v>
      </c>
      <c r="D13">
        <v>0</v>
      </c>
      <c r="E13">
        <v>6.9701189264748109E-14</v>
      </c>
      <c r="F13">
        <v>0</v>
      </c>
      <c r="G13">
        <v>4.6170012257817916E-13</v>
      </c>
      <c r="H13">
        <v>0</v>
      </c>
      <c r="I13">
        <v>1.0779918624415075E-13</v>
      </c>
      <c r="J13">
        <v>0</v>
      </c>
      <c r="K13">
        <v>-2.6320091939258106E-13</v>
      </c>
      <c r="L13">
        <v>-4.7849779694075778E-12</v>
      </c>
      <c r="M13">
        <v>-3.1695659985508939E-11</v>
      </c>
      <c r="N13">
        <v>-7.4004023395413121E-12</v>
      </c>
      <c r="O13">
        <v>1.8068713192320729E-11</v>
      </c>
      <c r="P13" s="3">
        <v>3.3859952895064744E-12</v>
      </c>
      <c r="Q13" s="3">
        <v>0</v>
      </c>
      <c r="R13" s="3">
        <v>1.025367329607188E-12</v>
      </c>
      <c r="S13" s="3">
        <v>0</v>
      </c>
      <c r="T13">
        <f>Constraint[[#This Row],[nx]]</f>
        <v>21</v>
      </c>
      <c r="U13">
        <v>20</v>
      </c>
    </row>
    <row r="14" spans="1:21" x14ac:dyDescent="0.3">
      <c r="A14">
        <v>0</v>
      </c>
      <c r="B14">
        <v>0</v>
      </c>
      <c r="C14">
        <v>0</v>
      </c>
      <c r="D14">
        <v>0</v>
      </c>
      <c r="E14">
        <v>-4.2309905579074325E-13</v>
      </c>
      <c r="F14">
        <v>0</v>
      </c>
      <c r="G14">
        <v>-2.83400039546855E-13</v>
      </c>
      <c r="H14">
        <v>0</v>
      </c>
      <c r="I14">
        <v>-2.3430042628280745E-13</v>
      </c>
      <c r="J14">
        <v>0</v>
      </c>
      <c r="K14">
        <v>-6.1869953604798411E-13</v>
      </c>
      <c r="L14">
        <v>2.9045703342500673E-11</v>
      </c>
      <c r="M14">
        <v>1.9455378280630597E-11</v>
      </c>
      <c r="N14">
        <v>1.6084697376100854E-11</v>
      </c>
      <c r="O14">
        <v>4.2473649597418728E-11</v>
      </c>
      <c r="P14" s="3">
        <v>3.4211462280243586E-12</v>
      </c>
      <c r="Q14" s="3">
        <v>0</v>
      </c>
      <c r="R14" s="3">
        <v>1.0272520480236251E-12</v>
      </c>
      <c r="S14" s="3">
        <v>0</v>
      </c>
      <c r="T14">
        <f>Constraint[[#This Row],[nx]]</f>
        <v>18</v>
      </c>
      <c r="U14">
        <v>20</v>
      </c>
    </row>
    <row r="15" spans="1:21" x14ac:dyDescent="0.3">
      <c r="A15">
        <v>0</v>
      </c>
      <c r="B15">
        <v>0</v>
      </c>
      <c r="C15">
        <v>0</v>
      </c>
      <c r="D15">
        <v>0</v>
      </c>
      <c r="E15">
        <v>2.8139990337905374E-13</v>
      </c>
      <c r="F15">
        <v>0</v>
      </c>
      <c r="G15">
        <v>6.2599231354099061E-14</v>
      </c>
      <c r="H15">
        <v>0</v>
      </c>
      <c r="I15">
        <v>-2.5500435096859064E-14</v>
      </c>
      <c r="J15">
        <v>0</v>
      </c>
      <c r="K15">
        <v>1.7180007416683907E-13</v>
      </c>
      <c r="L15">
        <v>-1.9318074917507033E-11</v>
      </c>
      <c r="M15">
        <v>-4.2974304670373442E-12</v>
      </c>
      <c r="N15">
        <v>1.7506022673141608E-12</v>
      </c>
      <c r="O15">
        <v>-1.1794055315705876E-11</v>
      </c>
      <c r="P15" s="3">
        <v>3.4747745133014963E-12</v>
      </c>
      <c r="Q15" s="3">
        <v>0</v>
      </c>
      <c r="R15" s="3">
        <v>1.0298435224430805E-12</v>
      </c>
      <c r="S15" s="3">
        <v>0</v>
      </c>
      <c r="T15">
        <f>Constraint[[#This Row],[nx]]</f>
        <v>15</v>
      </c>
      <c r="U15">
        <v>20</v>
      </c>
    </row>
    <row r="16" spans="1:21" x14ac:dyDescent="0.3">
      <c r="A16">
        <v>0</v>
      </c>
      <c r="B16">
        <v>0</v>
      </c>
      <c r="C16">
        <v>0</v>
      </c>
      <c r="D16">
        <v>0</v>
      </c>
      <c r="E16">
        <v>-4.1099068592842514E-14</v>
      </c>
      <c r="F16">
        <v>0</v>
      </c>
      <c r="G16">
        <v>3.0089992997250903E-13</v>
      </c>
      <c r="H16">
        <v>0</v>
      </c>
      <c r="I16">
        <v>-2.7599450502791001E-14</v>
      </c>
      <c r="J16">
        <v>0</v>
      </c>
      <c r="K16">
        <v>-6.5130019433201625E-13</v>
      </c>
      <c r="L16">
        <v>2.8214444669494299E-12</v>
      </c>
      <c r="M16">
        <v>-2.0656745411407051E-11</v>
      </c>
      <c r="N16">
        <v>1.8946996749313882E-12</v>
      </c>
      <c r="O16">
        <v>4.471168400799197E-11</v>
      </c>
      <c r="P16" s="3">
        <v>3.5614530695787412E-12</v>
      </c>
      <c r="Q16" s="3">
        <v>0</v>
      </c>
      <c r="R16" s="3">
        <v>1.033656794548088E-12</v>
      </c>
      <c r="S16" s="3">
        <v>0</v>
      </c>
      <c r="T16">
        <f>Constraint[[#This Row],[nx]]</f>
        <v>12</v>
      </c>
      <c r="U16">
        <v>20</v>
      </c>
    </row>
    <row r="17" spans="1:21" x14ac:dyDescent="0.3">
      <c r="A17">
        <v>0</v>
      </c>
      <c r="B17">
        <v>0</v>
      </c>
      <c r="C17">
        <v>0</v>
      </c>
      <c r="D17">
        <v>0</v>
      </c>
      <c r="E17">
        <v>4.7600812180803587E-14</v>
      </c>
      <c r="F17">
        <v>0</v>
      </c>
      <c r="G17">
        <v>-2.9350133434746795E-13</v>
      </c>
      <c r="H17">
        <v>0</v>
      </c>
      <c r="I17">
        <v>8.5299822760731558E-14</v>
      </c>
      <c r="J17">
        <v>0</v>
      </c>
      <c r="K17">
        <v>-7.1529934753122859E-13</v>
      </c>
      <c r="L17">
        <v>-3.2678026951060701E-12</v>
      </c>
      <c r="M17">
        <v>2.0148832689109719E-11</v>
      </c>
      <c r="N17">
        <v>-5.8558227711280608E-12</v>
      </c>
      <c r="O17">
        <v>4.9105218155598429E-11</v>
      </c>
      <c r="P17" s="3">
        <v>3.7101830670856692E-12</v>
      </c>
      <c r="Q17" s="3">
        <v>0</v>
      </c>
      <c r="R17" s="3">
        <v>1.0396911841109894E-12</v>
      </c>
      <c r="S17" s="3">
        <v>0</v>
      </c>
      <c r="T17">
        <f>Constraint[[#This Row],[nx]]</f>
        <v>9</v>
      </c>
      <c r="U17">
        <v>20</v>
      </c>
    </row>
    <row r="18" spans="1:21" x14ac:dyDescent="0.3">
      <c r="A18">
        <v>0</v>
      </c>
      <c r="B18">
        <v>0</v>
      </c>
      <c r="C18">
        <v>0</v>
      </c>
      <c r="D18">
        <v>0</v>
      </c>
      <c r="E18">
        <v>-4.0991515737331952E-15</v>
      </c>
      <c r="F18">
        <v>0</v>
      </c>
      <c r="G18">
        <v>1.2790116188376999E-13</v>
      </c>
      <c r="H18">
        <v>0</v>
      </c>
      <c r="I18">
        <v>9.0599402979840704E-14</v>
      </c>
      <c r="J18">
        <v>0</v>
      </c>
      <c r="K18">
        <v>2.8139990337905374E-13</v>
      </c>
      <c r="L18">
        <v>2.8141378116686155E-13</v>
      </c>
      <c r="M18">
        <v>-8.7804000181712638E-12</v>
      </c>
      <c r="N18">
        <v>-6.2196359174038207E-12</v>
      </c>
      <c r="O18">
        <v>-1.9318071448060081E-11</v>
      </c>
      <c r="P18" s="3">
        <v>3.9687738279404026E-12</v>
      </c>
      <c r="Q18" s="3">
        <v>0</v>
      </c>
      <c r="R18" s="3">
        <v>1.0486945081270182E-12</v>
      </c>
      <c r="S18" s="3">
        <v>0</v>
      </c>
      <c r="T18">
        <f>Constraint[[#This Row],[nx]]</f>
        <v>6</v>
      </c>
      <c r="U18">
        <v>20</v>
      </c>
    </row>
    <row r="19" spans="1:21" x14ac:dyDescent="0.3">
      <c r="A19">
        <v>0</v>
      </c>
      <c r="B19">
        <v>0</v>
      </c>
      <c r="C19">
        <v>0</v>
      </c>
      <c r="D19">
        <v>0</v>
      </c>
      <c r="E19">
        <v>-1.0299053276874304E-14</v>
      </c>
      <c r="F19">
        <v>0</v>
      </c>
      <c r="G19">
        <v>1.0200000566396028E-13</v>
      </c>
      <c r="H19">
        <v>0</v>
      </c>
      <c r="I19">
        <v>9.0986246314983532E-15</v>
      </c>
      <c r="J19">
        <v>0</v>
      </c>
      <c r="K19">
        <v>-1.0880012168978936E-13</v>
      </c>
      <c r="L19">
        <v>7.0703165544472313E-13</v>
      </c>
      <c r="M19">
        <v>-7.0022876386133248E-12</v>
      </c>
      <c r="N19">
        <v>-6.2461841254801698E-13</v>
      </c>
      <c r="O19">
        <v>7.4691156037864914E-12</v>
      </c>
      <c r="P19" s="3">
        <v>3.2764050582892385E-12</v>
      </c>
      <c r="Q19" s="3">
        <v>0</v>
      </c>
      <c r="R19" s="3">
        <v>1.0099882129212813E-12</v>
      </c>
      <c r="S19" s="3">
        <v>0</v>
      </c>
      <c r="T19">
        <f>Constraint[[#This Row],[nx]]</f>
        <v>120</v>
      </c>
      <c r="U19">
        <v>15</v>
      </c>
    </row>
    <row r="20" spans="1:21" x14ac:dyDescent="0.3">
      <c r="A20">
        <v>0</v>
      </c>
      <c r="B20">
        <v>0</v>
      </c>
      <c r="C20">
        <v>0</v>
      </c>
      <c r="D20">
        <v>0</v>
      </c>
      <c r="E20">
        <v>-1.5699247457590104E-14</v>
      </c>
      <c r="F20">
        <v>0</v>
      </c>
      <c r="G20">
        <v>-7.0998762424778761E-14</v>
      </c>
      <c r="H20">
        <v>0</v>
      </c>
      <c r="I20">
        <v>-1.0009354456386177E-15</v>
      </c>
      <c r="J20">
        <v>0</v>
      </c>
      <c r="K20">
        <v>1.9600640555061943E-14</v>
      </c>
      <c r="L20">
        <v>1.0777524706018227E-12</v>
      </c>
      <c r="M20">
        <v>4.8740594893459388E-12</v>
      </c>
      <c r="N20">
        <v>6.8712396883441329E-14</v>
      </c>
      <c r="O20">
        <v>-1.3455833669517858E-12</v>
      </c>
      <c r="P20" s="3">
        <v>3.2783014919766667E-12</v>
      </c>
      <c r="Q20" s="3">
        <v>0</v>
      </c>
      <c r="R20" s="3">
        <v>1.0108134460207279E-12</v>
      </c>
      <c r="S20" s="3">
        <v>0</v>
      </c>
      <c r="T20">
        <f>Constraint[[#This Row],[nx]]</f>
        <v>102</v>
      </c>
      <c r="U20">
        <v>15</v>
      </c>
    </row>
    <row r="21" spans="1:21" x14ac:dyDescent="0.3">
      <c r="A21">
        <v>0</v>
      </c>
      <c r="B21">
        <v>0</v>
      </c>
      <c r="C21">
        <v>0</v>
      </c>
      <c r="D21">
        <v>0</v>
      </c>
      <c r="E21">
        <v>6.0200108786823137E-14</v>
      </c>
      <c r="F21">
        <v>0</v>
      </c>
      <c r="G21">
        <v>-5.1300977355062116E-14</v>
      </c>
      <c r="H21">
        <v>0</v>
      </c>
      <c r="I21">
        <v>-1.2004286453759505E-15</v>
      </c>
      <c r="J21">
        <v>0</v>
      </c>
      <c r="K21">
        <v>4.6998863134639635E-14</v>
      </c>
      <c r="L21">
        <v>-4.1327323507811542E-12</v>
      </c>
      <c r="M21">
        <v>3.5218078453524981E-12</v>
      </c>
      <c r="N21">
        <v>8.2409773449754198E-14</v>
      </c>
      <c r="O21">
        <v>-3.2264677041204948E-12</v>
      </c>
      <c r="P21" s="3">
        <v>3.2806973141647127E-12</v>
      </c>
      <c r="Q21" s="3">
        <v>0</v>
      </c>
      <c r="R21" s="3">
        <v>1.0117189732947062E-12</v>
      </c>
      <c r="S21" s="3">
        <v>0</v>
      </c>
      <c r="T21">
        <f>Constraint[[#This Row],[nx]]</f>
        <v>87</v>
      </c>
      <c r="U21">
        <v>15</v>
      </c>
    </row>
    <row r="22" spans="1:21" x14ac:dyDescent="0.3">
      <c r="A22">
        <v>0</v>
      </c>
      <c r="B22">
        <v>0</v>
      </c>
      <c r="C22">
        <v>0</v>
      </c>
      <c r="D22">
        <v>0</v>
      </c>
      <c r="E22">
        <v>-5.7003013420597881E-15</v>
      </c>
      <c r="F22">
        <v>0</v>
      </c>
      <c r="G22">
        <v>6.5988881026157742E-15</v>
      </c>
      <c r="H22">
        <v>0</v>
      </c>
      <c r="I22">
        <v>-5.9499280502528507E-14</v>
      </c>
      <c r="J22">
        <v>0</v>
      </c>
      <c r="K22">
        <v>-6.7298597250520231E-14</v>
      </c>
      <c r="L22">
        <v>3.913223911578001E-13</v>
      </c>
      <c r="M22">
        <v>-4.5301262741048731E-13</v>
      </c>
      <c r="N22">
        <v>4.0846180604514615E-12</v>
      </c>
      <c r="O22">
        <v>4.6200439307586549E-12</v>
      </c>
      <c r="P22" s="3">
        <v>3.2845561309385308E-12</v>
      </c>
      <c r="Q22" s="3">
        <v>0</v>
      </c>
      <c r="R22" s="3">
        <v>1.0129261572467589E-12</v>
      </c>
      <c r="S22" s="3">
        <v>0</v>
      </c>
      <c r="T22">
        <f>Constraint[[#This Row],[nx]]</f>
        <v>72</v>
      </c>
      <c r="U22">
        <v>15</v>
      </c>
    </row>
    <row r="23" spans="1:21" x14ac:dyDescent="0.3">
      <c r="A23">
        <v>0</v>
      </c>
      <c r="B23">
        <v>0</v>
      </c>
      <c r="C23">
        <v>0</v>
      </c>
      <c r="D23">
        <v>0</v>
      </c>
      <c r="E23">
        <v>-1.5900475380803414E-14</v>
      </c>
      <c r="F23">
        <v>0</v>
      </c>
      <c r="G23">
        <v>-2.0801069200437894E-14</v>
      </c>
      <c r="H23">
        <v>0</v>
      </c>
      <c r="I23">
        <v>9.5199889638131197E-14</v>
      </c>
      <c r="J23">
        <v>0</v>
      </c>
      <c r="K23">
        <v>-3.085986327588941E-13</v>
      </c>
      <c r="L23">
        <v>1.09156433891755E-12</v>
      </c>
      <c r="M23">
        <v>1.42799314040154E-12</v>
      </c>
      <c r="N23">
        <v>-6.5354631428871102E-12</v>
      </c>
      <c r="O23">
        <v>2.1185261878109429E-11</v>
      </c>
      <c r="P23" s="3">
        <v>3.2881756154205612E-12</v>
      </c>
      <c r="Q23" s="3">
        <v>0</v>
      </c>
      <c r="R23" s="3">
        <v>1.0138617064336392E-12</v>
      </c>
      <c r="S23" s="3">
        <v>0</v>
      </c>
      <c r="T23">
        <f>Constraint[[#This Row],[nx]]</f>
        <v>63</v>
      </c>
      <c r="U23">
        <v>15</v>
      </c>
    </row>
    <row r="24" spans="1:21" x14ac:dyDescent="0.3">
      <c r="A24">
        <v>0</v>
      </c>
      <c r="B24">
        <v>0</v>
      </c>
      <c r="C24">
        <v>0</v>
      </c>
      <c r="D24">
        <v>0</v>
      </c>
      <c r="E24">
        <v>1.173991459602064E-13</v>
      </c>
      <c r="F24">
        <v>0</v>
      </c>
      <c r="G24">
        <v>8.3995310706797E-15</v>
      </c>
      <c r="H24">
        <v>0</v>
      </c>
      <c r="I24">
        <v>2.7700064464397656E-14</v>
      </c>
      <c r="J24">
        <v>0</v>
      </c>
      <c r="K24">
        <v>4.4199019444413068E-14</v>
      </c>
      <c r="L24">
        <v>-8.0594385332144469E-12</v>
      </c>
      <c r="M24">
        <v>-5.7662902230859459E-13</v>
      </c>
      <c r="N24">
        <v>-1.9016073438127279E-12</v>
      </c>
      <c r="O24">
        <v>-3.0342568735353126E-12</v>
      </c>
      <c r="P24" s="3">
        <v>3.2935743261490825E-12</v>
      </c>
      <c r="Q24" s="3">
        <v>0</v>
      </c>
      <c r="R24" s="3">
        <v>1.0150231681319532E-12</v>
      </c>
      <c r="S24" s="3">
        <v>0</v>
      </c>
      <c r="T24">
        <f>Constraint[[#This Row],[nx]]</f>
        <v>54</v>
      </c>
      <c r="U24">
        <v>15</v>
      </c>
    </row>
    <row r="25" spans="1:21" x14ac:dyDescent="0.3">
      <c r="A25">
        <v>0</v>
      </c>
      <c r="B25">
        <v>0</v>
      </c>
      <c r="C25">
        <v>0</v>
      </c>
      <c r="D25">
        <v>0</v>
      </c>
      <c r="E25">
        <v>5.1899456954274115E-14</v>
      </c>
      <c r="F25">
        <v>0</v>
      </c>
      <c r="G25">
        <v>1.1539900979240514E-13</v>
      </c>
      <c r="H25">
        <v>0</v>
      </c>
      <c r="I25">
        <v>-4.2498990437955797E-14</v>
      </c>
      <c r="J25">
        <v>0</v>
      </c>
      <c r="K25">
        <v>-1.2300056806413551E-13</v>
      </c>
      <c r="L25">
        <v>-3.5628930361575328E-12</v>
      </c>
      <c r="M25">
        <v>-7.9221282311969787E-12</v>
      </c>
      <c r="N25">
        <v>2.9175516169654969E-12</v>
      </c>
      <c r="O25">
        <v>8.4439746861342257E-12</v>
      </c>
      <c r="P25" s="3">
        <v>3.3021686192856387E-12</v>
      </c>
      <c r="Q25" s="3">
        <v>0</v>
      </c>
      <c r="R25" s="3">
        <v>1.0165025455527644E-12</v>
      </c>
      <c r="S25" s="3">
        <v>0</v>
      </c>
      <c r="T25">
        <f>Constraint[[#This Row],[nx]]</f>
        <v>45</v>
      </c>
      <c r="U25">
        <v>15</v>
      </c>
    </row>
    <row r="26" spans="1:21" x14ac:dyDescent="0.3">
      <c r="A26">
        <v>0</v>
      </c>
      <c r="B26">
        <v>0</v>
      </c>
      <c r="C26">
        <v>0</v>
      </c>
      <c r="D26">
        <v>0</v>
      </c>
      <c r="E26">
        <v>9.2700153109248618E-14</v>
      </c>
      <c r="F26">
        <v>0</v>
      </c>
      <c r="G26">
        <v>-1.1110036501893461E-13</v>
      </c>
      <c r="H26">
        <v>0</v>
      </c>
      <c r="I26">
        <v>3.3400365806457444E-14</v>
      </c>
      <c r="J26">
        <v>0</v>
      </c>
      <c r="K26">
        <v>1.4530043834781736E-13</v>
      </c>
      <c r="L26">
        <v>-6.3638556230261045E-12</v>
      </c>
      <c r="M26">
        <v>7.6270274818046602E-12</v>
      </c>
      <c r="N26">
        <v>-2.292929734970528E-12</v>
      </c>
      <c r="O26">
        <v>-9.9748577453429021E-12</v>
      </c>
      <c r="P26" s="3">
        <v>3.3111119588853192E-12</v>
      </c>
      <c r="Q26" s="3">
        <v>0</v>
      </c>
      <c r="R26" s="3">
        <v>1.0177426300204675E-12</v>
      </c>
      <c r="S26" s="3">
        <v>0</v>
      </c>
      <c r="T26">
        <f>Constraint[[#This Row],[nx]]</f>
        <v>39</v>
      </c>
      <c r="U26">
        <v>15</v>
      </c>
    </row>
    <row r="27" spans="1:21" x14ac:dyDescent="0.3">
      <c r="A27">
        <v>0</v>
      </c>
      <c r="B27">
        <v>0</v>
      </c>
      <c r="C27">
        <v>0</v>
      </c>
      <c r="D27">
        <v>0</v>
      </c>
      <c r="E27">
        <v>-2.3999899290139126E-14</v>
      </c>
      <c r="F27">
        <v>0</v>
      </c>
      <c r="G27">
        <v>4.7500198219196932E-14</v>
      </c>
      <c r="H27">
        <v>0</v>
      </c>
      <c r="I27">
        <v>8.8399773612302113E-14</v>
      </c>
      <c r="J27">
        <v>0</v>
      </c>
      <c r="K27">
        <v>-4.360053984520107E-14</v>
      </c>
      <c r="L27">
        <v>1.6475900505019681E-12</v>
      </c>
      <c r="M27">
        <v>-3.2608811484369227E-12</v>
      </c>
      <c r="N27">
        <v>-6.0686334429904676E-12</v>
      </c>
      <c r="O27">
        <v>2.9931716827302779E-12</v>
      </c>
      <c r="P27" s="3">
        <v>3.3247794698333334E-12</v>
      </c>
      <c r="Q27" s="3">
        <v>0</v>
      </c>
      <c r="R27" s="3">
        <v>1.0192863003183354E-12</v>
      </c>
      <c r="S27" s="3">
        <v>0</v>
      </c>
      <c r="T27">
        <f>Constraint[[#This Row],[nx]]</f>
        <v>33</v>
      </c>
      <c r="U27">
        <v>15</v>
      </c>
    </row>
    <row r="28" spans="1:21" x14ac:dyDescent="0.3">
      <c r="A28">
        <v>0</v>
      </c>
      <c r="B28">
        <v>0</v>
      </c>
      <c r="C28">
        <v>0</v>
      </c>
      <c r="D28">
        <v>0</v>
      </c>
      <c r="E28">
        <v>1.4700046735427463E-14</v>
      </c>
      <c r="F28">
        <v>0</v>
      </c>
      <c r="G28">
        <v>-1.0590139876143212E-13</v>
      </c>
      <c r="H28">
        <v>0</v>
      </c>
      <c r="I28">
        <v>2.0001361678012586E-14</v>
      </c>
      <c r="J28">
        <v>0</v>
      </c>
      <c r="K28">
        <v>2.3999899290139126E-14</v>
      </c>
      <c r="L28">
        <v>-1.0091565170317063E-12</v>
      </c>
      <c r="M28">
        <v>7.270118534963288E-12</v>
      </c>
      <c r="N28">
        <v>-1.37309087711035E-12</v>
      </c>
      <c r="O28">
        <v>-1.6475883157784921E-12</v>
      </c>
      <c r="P28" s="3">
        <v>3.3473143346821841E-12</v>
      </c>
      <c r="Q28" s="3">
        <v>0</v>
      </c>
      <c r="R28" s="3">
        <v>1.0213085040639656E-12</v>
      </c>
      <c r="S28" s="3">
        <v>0</v>
      </c>
      <c r="T28">
        <f>Constraint[[#This Row],[nx]]</f>
        <v>27</v>
      </c>
      <c r="U28">
        <v>15</v>
      </c>
    </row>
    <row r="29" spans="1:21" x14ac:dyDescent="0.3">
      <c r="A29">
        <v>0</v>
      </c>
      <c r="B29">
        <v>0</v>
      </c>
      <c r="C29">
        <v>0</v>
      </c>
      <c r="D29">
        <v>0</v>
      </c>
      <c r="E29">
        <v>1.7979888411456812E-13</v>
      </c>
      <c r="F29">
        <v>0</v>
      </c>
      <c r="G29">
        <v>-3.1499976238524852E-13</v>
      </c>
      <c r="H29">
        <v>0</v>
      </c>
      <c r="I29">
        <v>-5.5599622128532644E-14</v>
      </c>
      <c r="J29">
        <v>0</v>
      </c>
      <c r="K29">
        <v>-1.9969963183097406E-13</v>
      </c>
      <c r="L29">
        <v>-1.2343172491047216E-11</v>
      </c>
      <c r="M29">
        <v>2.1624698559596922E-11</v>
      </c>
      <c r="N29">
        <v>3.8169068600213407E-12</v>
      </c>
      <c r="O29">
        <v>1.3709356566637965E-11</v>
      </c>
      <c r="P29" s="3">
        <v>3.3645660320657596E-12</v>
      </c>
      <c r="Q29" s="3">
        <v>0</v>
      </c>
      <c r="R29" s="3">
        <v>1.022604230388587E-12</v>
      </c>
      <c r="S29" s="3">
        <v>0</v>
      </c>
      <c r="T29">
        <f>Constraint[[#This Row],[nx]]</f>
        <v>24</v>
      </c>
      <c r="U29">
        <v>15</v>
      </c>
    </row>
    <row r="30" spans="1:21" x14ac:dyDescent="0.3">
      <c r="A30">
        <v>0</v>
      </c>
      <c r="B30">
        <v>0</v>
      </c>
      <c r="C30">
        <v>0</v>
      </c>
      <c r="D30">
        <v>0</v>
      </c>
      <c r="E30">
        <v>-8.6800358567451497E-14</v>
      </c>
      <c r="F30">
        <v>0</v>
      </c>
      <c r="G30">
        <v>2.3630056245060871E-13</v>
      </c>
      <c r="H30">
        <v>0</v>
      </c>
      <c r="I30">
        <v>-1.6430086458019133E-13</v>
      </c>
      <c r="J30">
        <v>0</v>
      </c>
      <c r="K30">
        <v>1.3149897837294588E-13</v>
      </c>
      <c r="L30">
        <v>5.9588341205785156E-12</v>
      </c>
      <c r="M30">
        <v>-1.6222006377075715E-11</v>
      </c>
      <c r="N30">
        <v>1.1279235358208073E-11</v>
      </c>
      <c r="O30">
        <v>-9.0273899466808416E-12</v>
      </c>
      <c r="P30" s="3">
        <v>3.3886384404277798E-12</v>
      </c>
      <c r="Q30" s="3">
        <v>0</v>
      </c>
      <c r="R30" s="3">
        <v>1.0241963635226803E-12</v>
      </c>
      <c r="S30" s="3">
        <v>0</v>
      </c>
      <c r="T30">
        <f>Constraint[[#This Row],[nx]]</f>
        <v>21</v>
      </c>
      <c r="U30">
        <v>15</v>
      </c>
    </row>
    <row r="31" spans="1:21" x14ac:dyDescent="0.3">
      <c r="A31">
        <v>0</v>
      </c>
      <c r="B31">
        <v>0</v>
      </c>
      <c r="C31">
        <v>0</v>
      </c>
      <c r="D31">
        <v>0</v>
      </c>
      <c r="E31">
        <v>2.4909935225636559E-13</v>
      </c>
      <c r="F31">
        <v>0</v>
      </c>
      <c r="G31">
        <v>-2.0580065429598449E-13</v>
      </c>
      <c r="H31">
        <v>0</v>
      </c>
      <c r="I31">
        <v>1.7300397225916697E-14</v>
      </c>
      <c r="J31">
        <v>0</v>
      </c>
      <c r="K31">
        <v>-3.0879986068210741E-13</v>
      </c>
      <c r="L31">
        <v>-1.7100643817657968E-11</v>
      </c>
      <c r="M31">
        <v>1.4128191672124757E-11</v>
      </c>
      <c r="N31">
        <v>-1.1876702963112273E-12</v>
      </c>
      <c r="O31">
        <v>2.1199077215872109E-11</v>
      </c>
      <c r="P31" s="3">
        <v>3.4236223541797344E-12</v>
      </c>
      <c r="Q31" s="3">
        <v>0</v>
      </c>
      <c r="R31" s="3">
        <v>1.026233899228914E-12</v>
      </c>
      <c r="S31" s="3">
        <v>0</v>
      </c>
      <c r="T31">
        <f>Constraint[[#This Row],[nx]]</f>
        <v>18</v>
      </c>
      <c r="U31">
        <v>15</v>
      </c>
    </row>
    <row r="32" spans="1:21" x14ac:dyDescent="0.3">
      <c r="A32">
        <v>0</v>
      </c>
      <c r="B32">
        <v>0</v>
      </c>
      <c r="C32">
        <v>0</v>
      </c>
      <c r="D32">
        <v>0</v>
      </c>
      <c r="E32">
        <v>7.7101519613265168E-14</v>
      </c>
      <c r="F32">
        <v>0</v>
      </c>
      <c r="G32">
        <v>1.6939921687608717E-13</v>
      </c>
      <c r="H32">
        <v>0</v>
      </c>
      <c r="I32">
        <v>-9.1799831625216655E-14</v>
      </c>
      <c r="J32">
        <v>0</v>
      </c>
      <c r="K32">
        <v>-8.6699744605844842E-14</v>
      </c>
      <c r="L32">
        <v>-5.2930090865821455E-12</v>
      </c>
      <c r="M32">
        <v>-1.1629237503529843E-11</v>
      </c>
      <c r="N32">
        <v>6.3020474255770509E-12</v>
      </c>
      <c r="O32">
        <v>5.9519281864206519E-12</v>
      </c>
      <c r="P32" s="3">
        <v>3.4770206752487795E-12</v>
      </c>
      <c r="Q32" s="3">
        <v>0</v>
      </c>
      <c r="R32" s="3">
        <v>1.0289848968798179E-12</v>
      </c>
      <c r="S32" s="3">
        <v>0</v>
      </c>
      <c r="T32">
        <f>Constraint[[#This Row],[nx]]</f>
        <v>15</v>
      </c>
      <c r="U32">
        <v>15</v>
      </c>
    </row>
    <row r="33" spans="1:21" x14ac:dyDescent="0.3">
      <c r="A33">
        <v>0</v>
      </c>
      <c r="B33">
        <v>0</v>
      </c>
      <c r="C33">
        <v>0</v>
      </c>
      <c r="D33">
        <v>0</v>
      </c>
      <c r="E33">
        <v>-9.0032148403196288E-16</v>
      </c>
      <c r="F33">
        <v>0</v>
      </c>
      <c r="G33">
        <v>3.1569885594606717E-13</v>
      </c>
      <c r="H33">
        <v>0</v>
      </c>
      <c r="I33">
        <v>-2.1007501294079134E-15</v>
      </c>
      <c r="J33">
        <v>0</v>
      </c>
      <c r="K33">
        <v>-5.6199836451220619E-14</v>
      </c>
      <c r="L33">
        <v>6.181166689600559E-14</v>
      </c>
      <c r="M33">
        <v>-2.167268968455982E-11</v>
      </c>
      <c r="N33">
        <v>1.4421450145185588E-13</v>
      </c>
      <c r="O33">
        <v>3.8581117467462178E-12</v>
      </c>
      <c r="P33" s="3">
        <v>3.5633669721894974E-12</v>
      </c>
      <c r="Q33" s="3">
        <v>0</v>
      </c>
      <c r="R33" s="3">
        <v>1.0329633480126818E-12</v>
      </c>
      <c r="S33" s="3">
        <v>0</v>
      </c>
      <c r="T33">
        <f>Constraint[[#This Row],[nx]]</f>
        <v>12</v>
      </c>
      <c r="U33">
        <v>15</v>
      </c>
    </row>
    <row r="34" spans="1:21" x14ac:dyDescent="0.3">
      <c r="A34">
        <v>0</v>
      </c>
      <c r="B34">
        <v>0</v>
      </c>
      <c r="C34">
        <v>0</v>
      </c>
      <c r="D34">
        <v>0</v>
      </c>
      <c r="E34">
        <v>1.5000153896771451E-14</v>
      </c>
      <c r="F34">
        <v>0</v>
      </c>
      <c r="G34">
        <v>2.1799922977905339E-13</v>
      </c>
      <c r="H34">
        <v>0</v>
      </c>
      <c r="I34">
        <v>2.3899285328532471E-14</v>
      </c>
      <c r="J34">
        <v>0</v>
      </c>
      <c r="K34">
        <v>-8.5001450322863548E-14</v>
      </c>
      <c r="L34">
        <v>-1.0297457331276405E-12</v>
      </c>
      <c r="M34">
        <v>-1.4965622491258657E-11</v>
      </c>
      <c r="N34">
        <v>-1.6406806468971524E-12</v>
      </c>
      <c r="O34">
        <v>5.8353400236854647E-12</v>
      </c>
      <c r="P34" s="3">
        <v>3.7116134900174585E-12</v>
      </c>
      <c r="Q34" s="3">
        <v>0</v>
      </c>
      <c r="R34" s="3">
        <v>1.0391679580869972E-12</v>
      </c>
      <c r="S34" s="3">
        <v>0</v>
      </c>
      <c r="T34">
        <f>Constraint[[#This Row],[nx]]</f>
        <v>9</v>
      </c>
      <c r="U34">
        <v>15</v>
      </c>
    </row>
    <row r="35" spans="1:21" x14ac:dyDescent="0.3">
      <c r="A35">
        <v>0</v>
      </c>
      <c r="B35">
        <v>0</v>
      </c>
      <c r="C35">
        <v>0</v>
      </c>
      <c r="D35">
        <v>0</v>
      </c>
      <c r="E35">
        <v>1.3409932886343512E-13</v>
      </c>
      <c r="F35">
        <v>0</v>
      </c>
      <c r="G35">
        <v>8.3301421316406277E-14</v>
      </c>
      <c r="H35">
        <v>0</v>
      </c>
      <c r="I35">
        <v>1.9009967211491841E-13</v>
      </c>
      <c r="J35">
        <v>0</v>
      </c>
      <c r="K35">
        <v>-1.0209888490209096E-13</v>
      </c>
      <c r="L35">
        <v>-9.2058860534649511E-12</v>
      </c>
      <c r="M35">
        <v>-5.718633032392173E-12</v>
      </c>
      <c r="N35">
        <v>-1.305032470977352E-11</v>
      </c>
      <c r="O35">
        <v>7.0090764789365601E-12</v>
      </c>
      <c r="P35" s="3">
        <v>3.969594375952872E-12</v>
      </c>
      <c r="Q35" s="3">
        <v>0</v>
      </c>
      <c r="R35" s="3">
        <v>1.0483532102162637E-12</v>
      </c>
      <c r="S35" s="3">
        <v>0</v>
      </c>
      <c r="T35">
        <f>Constraint[[#This Row],[nx]]</f>
        <v>6</v>
      </c>
      <c r="U35">
        <v>15</v>
      </c>
    </row>
    <row r="36" spans="1:21" x14ac:dyDescent="0.3">
      <c r="A36">
        <v>0</v>
      </c>
      <c r="B36">
        <v>0</v>
      </c>
      <c r="C36">
        <v>0</v>
      </c>
      <c r="D36">
        <v>0</v>
      </c>
      <c r="E36">
        <v>6.7499825173733541E-14</v>
      </c>
      <c r="F36">
        <v>0</v>
      </c>
      <c r="G36">
        <v>6.4498753560293665E-14</v>
      </c>
      <c r="H36">
        <v>0</v>
      </c>
      <c r="I36">
        <v>-1.8998691508897991E-14</v>
      </c>
      <c r="J36">
        <v>0</v>
      </c>
      <c r="K36">
        <v>-3.2900765445376123E-14</v>
      </c>
      <c r="L36">
        <v>-4.6338557990743823E-12</v>
      </c>
      <c r="M36">
        <v>-4.4278331001734728E-12</v>
      </c>
      <c r="N36">
        <v>1.3042587843070663E-12</v>
      </c>
      <c r="O36">
        <v>2.2586307824035146E-12</v>
      </c>
      <c r="P36" s="3">
        <v>3.2817736760826099E-12</v>
      </c>
      <c r="Q36" s="3">
        <v>0</v>
      </c>
      <c r="R36" s="3">
        <v>1.0048139419502653E-12</v>
      </c>
      <c r="S36" s="3">
        <v>0</v>
      </c>
      <c r="T36">
        <f>Constraint[[#This Row],[nx]]</f>
        <v>120</v>
      </c>
      <c r="U36">
        <v>11</v>
      </c>
    </row>
    <row r="37" spans="1:21" x14ac:dyDescent="0.3">
      <c r="A37">
        <v>0</v>
      </c>
      <c r="B37">
        <v>0</v>
      </c>
      <c r="C37">
        <v>0</v>
      </c>
      <c r="D37">
        <v>0</v>
      </c>
      <c r="E37">
        <v>9.8879238130678004E-17</v>
      </c>
      <c r="F37">
        <v>0</v>
      </c>
      <c r="G37">
        <v>1.2720033359947536E-13</v>
      </c>
      <c r="H37">
        <v>0</v>
      </c>
      <c r="I37">
        <v>-1.3298390166838203E-14</v>
      </c>
      <c r="J37">
        <v>0</v>
      </c>
      <c r="K37">
        <v>1.330012489031418E-14</v>
      </c>
      <c r="L37">
        <v>-6.789707684973223E-15</v>
      </c>
      <c r="M37">
        <v>-8.7322857278415711E-12</v>
      </c>
      <c r="N37">
        <v>9.1293292370231427E-13</v>
      </c>
      <c r="O37">
        <v>-9.1305435434563265E-13</v>
      </c>
      <c r="P37" s="3">
        <v>3.284123872889963E-12</v>
      </c>
      <c r="Q37" s="3">
        <v>0</v>
      </c>
      <c r="R37" s="3">
        <v>1.0058213710315174E-12</v>
      </c>
      <c r="S37" s="3">
        <v>0</v>
      </c>
      <c r="T37">
        <f>Constraint[[#This Row],[nx]]</f>
        <v>102</v>
      </c>
      <c r="U37">
        <v>11</v>
      </c>
    </row>
    <row r="38" spans="1:21" x14ac:dyDescent="0.3">
      <c r="A38">
        <v>0</v>
      </c>
      <c r="B38">
        <v>0</v>
      </c>
      <c r="C38">
        <v>0</v>
      </c>
      <c r="D38">
        <v>0</v>
      </c>
      <c r="E38">
        <v>6.0099494825216482E-14</v>
      </c>
      <c r="F38">
        <v>0</v>
      </c>
      <c r="G38">
        <v>4.9999934748079511E-14</v>
      </c>
      <c r="H38">
        <v>0</v>
      </c>
      <c r="I38">
        <v>-1.700029006457271E-15</v>
      </c>
      <c r="J38">
        <v>0</v>
      </c>
      <c r="K38">
        <v>2.7899557664134988E-14</v>
      </c>
      <c r="L38">
        <v>-4.1258246818998145E-12</v>
      </c>
      <c r="M38">
        <v>-3.4324904030214043E-12</v>
      </c>
      <c r="N38">
        <v>1.1670525656981567E-13</v>
      </c>
      <c r="O38">
        <v>-1.9153012509320888E-12</v>
      </c>
      <c r="P38" s="3">
        <v>3.2868448506903656E-12</v>
      </c>
      <c r="Q38" s="3">
        <v>0</v>
      </c>
      <c r="R38" s="3">
        <v>1.0069295598630498E-12</v>
      </c>
      <c r="S38" s="3">
        <v>0</v>
      </c>
      <c r="T38">
        <f>Constraint[[#This Row],[nx]]</f>
        <v>87</v>
      </c>
      <c r="U38">
        <v>11</v>
      </c>
    </row>
    <row r="39" spans="1:21" x14ac:dyDescent="0.3">
      <c r="A39">
        <v>0</v>
      </c>
      <c r="B39">
        <v>0</v>
      </c>
      <c r="C39">
        <v>0</v>
      </c>
      <c r="D39">
        <v>0</v>
      </c>
      <c r="E39">
        <v>-9.2998525547116628E-15</v>
      </c>
      <c r="F39">
        <v>0</v>
      </c>
      <c r="G39">
        <v>1.5000153896771451E-14</v>
      </c>
      <c r="H39">
        <v>0</v>
      </c>
      <c r="I39">
        <v>-1.5005358067199381E-15</v>
      </c>
      <c r="J39">
        <v>0</v>
      </c>
      <c r="K39">
        <v>3.3599859006194777E-14</v>
      </c>
      <c r="L39">
        <v>6.3843721975764822E-13</v>
      </c>
      <c r="M39">
        <v>-1.0297596109154483E-12</v>
      </c>
      <c r="N39">
        <v>1.0301134945045476E-13</v>
      </c>
      <c r="O39">
        <v>-2.3066271115368409E-12</v>
      </c>
      <c r="P39" s="3">
        <v>3.2908917868244024E-12</v>
      </c>
      <c r="Q39" s="3">
        <v>0</v>
      </c>
      <c r="R39" s="3">
        <v>1.0083948862284276E-12</v>
      </c>
      <c r="S39" s="3">
        <v>0</v>
      </c>
      <c r="T39">
        <f>Constraint[[#This Row],[nx]]</f>
        <v>72</v>
      </c>
      <c r="U39">
        <v>11</v>
      </c>
    </row>
    <row r="40" spans="1:21" x14ac:dyDescent="0.3">
      <c r="A40">
        <v>0</v>
      </c>
      <c r="B40">
        <v>0</v>
      </c>
      <c r="C40">
        <v>0</v>
      </c>
      <c r="D40">
        <v>0</v>
      </c>
      <c r="E40">
        <v>2.6000035457940385E-14</v>
      </c>
      <c r="F40">
        <v>0</v>
      </c>
      <c r="G40">
        <v>-4.8100412541884907E-14</v>
      </c>
      <c r="H40">
        <v>0</v>
      </c>
      <c r="I40">
        <v>1.5000153896771451E-14</v>
      </c>
      <c r="J40">
        <v>0</v>
      </c>
      <c r="K40">
        <v>3.0600522116230877E-14</v>
      </c>
      <c r="L40">
        <v>-1.7849003525194362E-12</v>
      </c>
      <c r="M40">
        <v>3.3020877698852757E-12</v>
      </c>
      <c r="N40">
        <v>-1.0297596109154483E-12</v>
      </c>
      <c r="O40">
        <v>-2.1007223738322978E-12</v>
      </c>
      <c r="P40" s="3">
        <v>3.2945203536661131E-12</v>
      </c>
      <c r="Q40" s="3">
        <v>0</v>
      </c>
      <c r="R40" s="3">
        <v>1.0095237928051034E-12</v>
      </c>
      <c r="S40" s="3">
        <v>0</v>
      </c>
      <c r="T40">
        <f>Constraint[[#This Row],[nx]]</f>
        <v>63</v>
      </c>
      <c r="U40">
        <v>11</v>
      </c>
    </row>
    <row r="41" spans="1:21" x14ac:dyDescent="0.3">
      <c r="A41">
        <v>0</v>
      </c>
      <c r="B41">
        <v>0</v>
      </c>
      <c r="C41">
        <v>0</v>
      </c>
      <c r="D41">
        <v>0</v>
      </c>
      <c r="E41">
        <v>-4.2400111199825119E-14</v>
      </c>
      <c r="F41">
        <v>0</v>
      </c>
      <c r="G41">
        <v>8.2600593032111647E-14</v>
      </c>
      <c r="H41">
        <v>0</v>
      </c>
      <c r="I41">
        <v>2.9200600271117594E-14</v>
      </c>
      <c r="J41">
        <v>0</v>
      </c>
      <c r="K41">
        <v>7.6199463405757228E-14</v>
      </c>
      <c r="L41">
        <v>2.9107636440039997E-12</v>
      </c>
      <c r="M41">
        <v>-5.6705265483181222E-12</v>
      </c>
      <c r="N41">
        <v>-2.0046152238162307E-12</v>
      </c>
      <c r="O41">
        <v>-5.2310863973836774E-12</v>
      </c>
      <c r="P41" s="3">
        <v>3.2998328061085221E-12</v>
      </c>
      <c r="Q41" s="3">
        <v>0</v>
      </c>
      <c r="R41" s="3">
        <v>1.0109256137802554E-12</v>
      </c>
      <c r="S41" s="3">
        <v>0</v>
      </c>
      <c r="T41">
        <f>Constraint[[#This Row],[nx]]</f>
        <v>54</v>
      </c>
      <c r="U41">
        <v>11</v>
      </c>
    </row>
    <row r="42" spans="1:21" x14ac:dyDescent="0.3">
      <c r="A42">
        <v>0</v>
      </c>
      <c r="B42">
        <v>0</v>
      </c>
      <c r="C42">
        <v>0</v>
      </c>
      <c r="D42">
        <v>0</v>
      </c>
      <c r="E42">
        <v>-1.5501488981328748E-14</v>
      </c>
      <c r="F42">
        <v>0</v>
      </c>
      <c r="G42">
        <v>2.3899285328532471E-14</v>
      </c>
      <c r="H42">
        <v>0</v>
      </c>
      <c r="I42">
        <v>-6.0004085034037757E-15</v>
      </c>
      <c r="J42">
        <v>0</v>
      </c>
      <c r="K42">
        <v>9.4004665163183176E-15</v>
      </c>
      <c r="L42">
        <v>1.0641765246788282E-12</v>
      </c>
      <c r="M42">
        <v>-1.6406841163441044E-12</v>
      </c>
      <c r="N42">
        <v>4.1192743660545261E-13</v>
      </c>
      <c r="O42">
        <v>-6.4534141919203591E-13</v>
      </c>
      <c r="P42" s="3">
        <v>3.3082417993230984E-12</v>
      </c>
      <c r="Q42" s="3">
        <v>0</v>
      </c>
      <c r="R42" s="3">
        <v>1.0127197483160554E-12</v>
      </c>
      <c r="S42" s="3">
        <v>0</v>
      </c>
      <c r="T42">
        <f>Constraint[[#This Row],[nx]]</f>
        <v>45</v>
      </c>
      <c r="U42">
        <v>11</v>
      </c>
    </row>
    <row r="43" spans="1:21" x14ac:dyDescent="0.3">
      <c r="A43">
        <v>0</v>
      </c>
      <c r="B43">
        <v>0</v>
      </c>
      <c r="C43">
        <v>0</v>
      </c>
      <c r="D43">
        <v>0</v>
      </c>
      <c r="E43">
        <v>4.0700082193367848E-14</v>
      </c>
      <c r="F43">
        <v>0</v>
      </c>
      <c r="G43">
        <v>-1.0099560077136971E-14</v>
      </c>
      <c r="H43">
        <v>0</v>
      </c>
      <c r="I43">
        <v>-5.5996873804531333E-15</v>
      </c>
      <c r="J43">
        <v>0</v>
      </c>
      <c r="K43">
        <v>7.0998762424778761E-14</v>
      </c>
      <c r="L43">
        <v>-2.794054917987232E-12</v>
      </c>
      <c r="M43">
        <v>6.9333080943145831E-13</v>
      </c>
      <c r="N43">
        <v>3.8441819172341241E-13</v>
      </c>
      <c r="O43">
        <v>-4.8740594893459388E-12</v>
      </c>
      <c r="P43" s="3">
        <v>3.3170072113463175E-12</v>
      </c>
      <c r="Q43" s="3">
        <v>0</v>
      </c>
      <c r="R43" s="3">
        <v>1.014229898397679E-12</v>
      </c>
      <c r="S43" s="3">
        <v>0</v>
      </c>
      <c r="T43">
        <f>Constraint[[#This Row],[nx]]</f>
        <v>39</v>
      </c>
      <c r="U43">
        <v>11</v>
      </c>
    </row>
    <row r="44" spans="1:21" x14ac:dyDescent="0.3">
      <c r="A44">
        <v>0</v>
      </c>
      <c r="B44">
        <v>0</v>
      </c>
      <c r="C44">
        <v>0</v>
      </c>
      <c r="D44">
        <v>0</v>
      </c>
      <c r="E44">
        <v>2.6000035457940385E-14</v>
      </c>
      <c r="F44">
        <v>0</v>
      </c>
      <c r="G44">
        <v>-8.3499179792667633E-14</v>
      </c>
      <c r="H44">
        <v>0</v>
      </c>
      <c r="I44">
        <v>-6.6901345574521542E-14</v>
      </c>
      <c r="J44">
        <v>0</v>
      </c>
      <c r="K44">
        <v>-9.4500796077312543E-14</v>
      </c>
      <c r="L44">
        <v>-1.7848994851576983E-12</v>
      </c>
      <c r="M44">
        <v>5.7322098456769055E-12</v>
      </c>
      <c r="N44">
        <v>4.5927688735458716E-12</v>
      </c>
      <c r="O44">
        <v>6.4874702832007358E-12</v>
      </c>
      <c r="P44" s="3">
        <v>3.3304485735903996E-12</v>
      </c>
      <c r="Q44" s="3">
        <v>0</v>
      </c>
      <c r="R44" s="3">
        <v>1.0161069567074834E-12</v>
      </c>
      <c r="S44" s="3">
        <v>0</v>
      </c>
      <c r="T44">
        <f>Constraint[[#This Row],[nx]]</f>
        <v>33</v>
      </c>
      <c r="U44">
        <v>11</v>
      </c>
    </row>
    <row r="45" spans="1:21" x14ac:dyDescent="0.3">
      <c r="A45">
        <v>0</v>
      </c>
      <c r="B45">
        <v>0</v>
      </c>
      <c r="C45">
        <v>0</v>
      </c>
      <c r="D45">
        <v>0</v>
      </c>
      <c r="E45">
        <v>1.0130091210314163E-13</v>
      </c>
      <c r="F45">
        <v>0</v>
      </c>
      <c r="G45">
        <v>6.2699845315705716E-14</v>
      </c>
      <c r="H45">
        <v>0</v>
      </c>
      <c r="I45">
        <v>9.9101282735603036E-14</v>
      </c>
      <c r="J45">
        <v>0</v>
      </c>
      <c r="K45">
        <v>8.2298751147291682E-14</v>
      </c>
      <c r="L45">
        <v>-6.9542960799695575E-12</v>
      </c>
      <c r="M45">
        <v>-4.3043346664717319E-12</v>
      </c>
      <c r="N45">
        <v>-6.8032905697901214E-12</v>
      </c>
      <c r="O45">
        <v>-5.6498000722271513E-12</v>
      </c>
      <c r="P45" s="3">
        <v>3.3526872879250706E-12</v>
      </c>
      <c r="Q45" s="3">
        <v>0</v>
      </c>
      <c r="R45" s="3">
        <v>1.01853753366558E-12</v>
      </c>
      <c r="S45" s="3">
        <v>0</v>
      </c>
      <c r="T45">
        <f>Constraint[[#This Row],[nx]]</f>
        <v>27</v>
      </c>
      <c r="U45">
        <v>11</v>
      </c>
    </row>
    <row r="46" spans="1:21" x14ac:dyDescent="0.3">
      <c r="A46">
        <v>0</v>
      </c>
      <c r="B46">
        <v>0</v>
      </c>
      <c r="C46">
        <v>0</v>
      </c>
      <c r="D46">
        <v>0</v>
      </c>
      <c r="E46">
        <v>9.3399246670067271E-14</v>
      </c>
      <c r="F46">
        <v>0</v>
      </c>
      <c r="G46">
        <v>2.8799879148166951E-14</v>
      </c>
      <c r="H46">
        <v>0</v>
      </c>
      <c r="I46">
        <v>1.8799198309160658E-14</v>
      </c>
      <c r="J46">
        <v>0</v>
      </c>
      <c r="K46">
        <v>1.2289995410252885E-13</v>
      </c>
      <c r="L46">
        <v>-6.4118484827124789E-12</v>
      </c>
      <c r="M46">
        <v>-1.9771094483811424E-12</v>
      </c>
      <c r="N46">
        <v>-1.2905631424642294E-12</v>
      </c>
      <c r="O46">
        <v>-8.4370670172528861E-12</v>
      </c>
      <c r="P46" s="3">
        <v>3.3697469946567478E-12</v>
      </c>
      <c r="Q46" s="3">
        <v>0</v>
      </c>
      <c r="R46" s="3">
        <v>1.0200680768743097E-12</v>
      </c>
      <c r="S46" s="3">
        <v>0</v>
      </c>
      <c r="T46">
        <f>Constraint[[#This Row],[nx]]</f>
        <v>24</v>
      </c>
      <c r="U46">
        <v>11</v>
      </c>
    </row>
    <row r="47" spans="1:21" x14ac:dyDescent="0.3">
      <c r="A47">
        <v>0</v>
      </c>
      <c r="B47">
        <v>0</v>
      </c>
      <c r="C47">
        <v>0</v>
      </c>
      <c r="D47">
        <v>0</v>
      </c>
      <c r="E47">
        <v>-7.2400418993368021E-14</v>
      </c>
      <c r="F47">
        <v>0</v>
      </c>
      <c r="G47">
        <v>2.0990154059319366E-15</v>
      </c>
      <c r="H47">
        <v>0</v>
      </c>
      <c r="I47">
        <v>9.5499996799475184E-14</v>
      </c>
      <c r="J47">
        <v>0</v>
      </c>
      <c r="K47">
        <v>7.3999834038218637E-14</v>
      </c>
      <c r="L47">
        <v>4.9702811311114203E-12</v>
      </c>
      <c r="M47">
        <v>-1.4409654025548946E-13</v>
      </c>
      <c r="N47">
        <v>-6.5560638515260727E-12</v>
      </c>
      <c r="O47">
        <v>-5.0800787187998964E-12</v>
      </c>
      <c r="P47" s="3">
        <v>3.3935784290409963E-12</v>
      </c>
      <c r="Q47" s="3">
        <v>0</v>
      </c>
      <c r="R47" s="3">
        <v>1.0219159913436097E-12</v>
      </c>
      <c r="S47" s="3">
        <v>0</v>
      </c>
      <c r="T47">
        <f>Constraint[[#This Row],[nx]]</f>
        <v>21</v>
      </c>
      <c r="U47">
        <v>11</v>
      </c>
    </row>
    <row r="48" spans="1:21" x14ac:dyDescent="0.3">
      <c r="A48">
        <v>0</v>
      </c>
      <c r="B48">
        <v>0</v>
      </c>
      <c r="C48">
        <v>0</v>
      </c>
      <c r="D48">
        <v>0</v>
      </c>
      <c r="E48">
        <v>-1.3039916368917659E-13</v>
      </c>
      <c r="F48">
        <v>0</v>
      </c>
      <c r="G48">
        <v>4.879950610270356E-14</v>
      </c>
      <c r="H48">
        <v>0</v>
      </c>
      <c r="I48">
        <v>-3.1400229638656185E-14</v>
      </c>
      <c r="J48">
        <v>0</v>
      </c>
      <c r="K48">
        <v>1.7300397225916697E-14</v>
      </c>
      <c r="L48">
        <v>8.9518878421124271E-12</v>
      </c>
      <c r="M48">
        <v>-3.3500806295716501E-12</v>
      </c>
      <c r="N48">
        <v>2.1556222518787083E-12</v>
      </c>
      <c r="O48">
        <v>-1.1876680194866651E-12</v>
      </c>
      <c r="P48" s="3">
        <v>3.4282450392538099E-12</v>
      </c>
      <c r="Q48" s="3">
        <v>0</v>
      </c>
      <c r="R48" s="3">
        <v>1.0242301016585141E-12</v>
      </c>
      <c r="S48" s="3">
        <v>0</v>
      </c>
      <c r="T48">
        <f>Constraint[[#This Row],[nx]]</f>
        <v>18</v>
      </c>
      <c r="U48">
        <v>11</v>
      </c>
    </row>
    <row r="49" spans="1:21" x14ac:dyDescent="0.3">
      <c r="A49">
        <v>0</v>
      </c>
      <c r="B49">
        <v>0</v>
      </c>
      <c r="C49">
        <v>0</v>
      </c>
      <c r="D49">
        <v>0</v>
      </c>
      <c r="E49">
        <v>6.4601102245376296E-14</v>
      </c>
      <c r="F49">
        <v>0</v>
      </c>
      <c r="G49">
        <v>-4.5899048450870339E-14</v>
      </c>
      <c r="H49">
        <v>0</v>
      </c>
      <c r="I49">
        <v>2.7299343341447013E-14</v>
      </c>
      <c r="J49">
        <v>0</v>
      </c>
      <c r="K49">
        <v>-1.0400014183176154E-13</v>
      </c>
      <c r="L49">
        <v>-4.4348552608042269E-12</v>
      </c>
      <c r="M49">
        <v>3.1509621301051283E-12</v>
      </c>
      <c r="N49">
        <v>-1.8740972315689497E-12</v>
      </c>
      <c r="O49">
        <v>7.139597940630793E-12</v>
      </c>
      <c r="P49" s="3">
        <v>3.4812041899227084E-12</v>
      </c>
      <c r="Q49" s="3">
        <v>0</v>
      </c>
      <c r="R49" s="3">
        <v>1.0272778161011649E-12</v>
      </c>
      <c r="S49" s="3">
        <v>0</v>
      </c>
      <c r="T49">
        <f>Constraint[[#This Row],[nx]]</f>
        <v>15</v>
      </c>
      <c r="U49">
        <v>11</v>
      </c>
    </row>
    <row r="50" spans="1:21" x14ac:dyDescent="0.3">
      <c r="A50">
        <v>0</v>
      </c>
      <c r="B50">
        <v>0</v>
      </c>
      <c r="C50">
        <v>0</v>
      </c>
      <c r="D50">
        <v>0</v>
      </c>
      <c r="E50">
        <v>9.1799831625216655E-14</v>
      </c>
      <c r="F50">
        <v>0</v>
      </c>
      <c r="G50">
        <v>-1.4319968821840945E-13</v>
      </c>
      <c r="H50">
        <v>0</v>
      </c>
      <c r="I50">
        <v>-5.8099358657415223E-14</v>
      </c>
      <c r="J50">
        <v>0</v>
      </c>
      <c r="K50">
        <v>1.1760037388341971E-13</v>
      </c>
      <c r="L50">
        <v>-6.3020560991944308E-12</v>
      </c>
      <c r="M50">
        <v>9.8306415091675703E-12</v>
      </c>
      <c r="N50">
        <v>3.9885143798823464E-12</v>
      </c>
      <c r="O50">
        <v>-8.0732521362536502E-12</v>
      </c>
      <c r="P50" s="3">
        <v>3.5669170091499143E-12</v>
      </c>
      <c r="Q50" s="3">
        <v>0</v>
      </c>
      <c r="R50" s="3">
        <v>1.0315720807313024E-12</v>
      </c>
      <c r="S50" s="3">
        <v>0</v>
      </c>
      <c r="T50">
        <f>Constraint[[#This Row],[nx]]</f>
        <v>12</v>
      </c>
      <c r="U50">
        <v>11</v>
      </c>
    </row>
    <row r="51" spans="1:21" x14ac:dyDescent="0.3">
      <c r="A51">
        <v>0</v>
      </c>
      <c r="B51">
        <v>0</v>
      </c>
      <c r="C51">
        <v>0</v>
      </c>
      <c r="D51">
        <v>0</v>
      </c>
      <c r="E51">
        <v>4.8988590961585032E-15</v>
      </c>
      <c r="F51">
        <v>0</v>
      </c>
      <c r="G51">
        <v>-2.0770017650217909E-13</v>
      </c>
      <c r="H51">
        <v>0</v>
      </c>
      <c r="I51">
        <v>-7.7004375098610467E-15</v>
      </c>
      <c r="J51">
        <v>0</v>
      </c>
      <c r="K51">
        <v>-3.5160069300488317E-13</v>
      </c>
      <c r="L51">
        <v>-3.3630043194676773E-13</v>
      </c>
      <c r="M51">
        <v>1.4258593437899147E-11</v>
      </c>
      <c r="N51">
        <v>5.2863269317526829E-13</v>
      </c>
      <c r="O51">
        <v>2.4137347502672934E-11</v>
      </c>
      <c r="P51" s="3">
        <v>3.7142469415695369E-12</v>
      </c>
      <c r="Q51" s="3">
        <v>0</v>
      </c>
      <c r="R51" s="3">
        <v>1.0381113815359281E-12</v>
      </c>
      <c r="S51" s="3">
        <v>0</v>
      </c>
      <c r="T51">
        <f>Constraint[[#This Row],[nx]]</f>
        <v>9</v>
      </c>
      <c r="U51">
        <v>11</v>
      </c>
    </row>
    <row r="52" spans="1:21" x14ac:dyDescent="0.3">
      <c r="A52">
        <v>0</v>
      </c>
      <c r="B52">
        <v>0</v>
      </c>
      <c r="C52">
        <v>0</v>
      </c>
      <c r="D52">
        <v>0</v>
      </c>
      <c r="E52">
        <v>-8.9300095096334076E-14</v>
      </c>
      <c r="F52">
        <v>0</v>
      </c>
      <c r="G52">
        <v>-5.9799387663872494E-14</v>
      </c>
      <c r="H52">
        <v>0</v>
      </c>
      <c r="I52">
        <v>-2.709985014170968E-14</v>
      </c>
      <c r="J52">
        <v>0</v>
      </c>
      <c r="K52">
        <v>3.9799760709335885E-14</v>
      </c>
      <c r="L52">
        <v>6.1304294973751894E-12</v>
      </c>
      <c r="M52">
        <v>4.105221371175638E-12</v>
      </c>
      <c r="N52">
        <v>1.8604007223643748E-12</v>
      </c>
      <c r="O52">
        <v>-2.7322493226233924E-12</v>
      </c>
      <c r="P52" s="3">
        <v>3.9710381030088833E-12</v>
      </c>
      <c r="Q52" s="3">
        <v>0</v>
      </c>
      <c r="R52" s="3">
        <v>1.0476528740783858E-12</v>
      </c>
      <c r="S52" s="3">
        <v>0</v>
      </c>
      <c r="T52">
        <f>Constraint[[#This Row],[nx]]</f>
        <v>6</v>
      </c>
      <c r="U52">
        <v>11</v>
      </c>
    </row>
    <row r="53" spans="1:21" x14ac:dyDescent="0.3">
      <c r="A53">
        <v>0</v>
      </c>
      <c r="B53">
        <v>0</v>
      </c>
      <c r="C53">
        <v>0</v>
      </c>
      <c r="D53">
        <v>0</v>
      </c>
      <c r="E53">
        <v>3.479855292809475E-14</v>
      </c>
      <c r="F53">
        <v>0</v>
      </c>
      <c r="G53">
        <v>-7.4999034760381278E-14</v>
      </c>
      <c r="H53">
        <v>0</v>
      </c>
      <c r="I53">
        <v>-3.3011787747838639E-15</v>
      </c>
      <c r="J53">
        <v>0</v>
      </c>
      <c r="K53">
        <v>-8.2999579431586312E-14</v>
      </c>
      <c r="L53">
        <v>-2.3889154543432767E-12</v>
      </c>
      <c r="M53">
        <v>5.1486731544869713E-12</v>
      </c>
      <c r="N53">
        <v>2.2662427490161008E-13</v>
      </c>
      <c r="O53">
        <v>5.697914362556844E-12</v>
      </c>
      <c r="P53" s="3">
        <v>3.2852572103414585E-12</v>
      </c>
      <c r="Q53" s="3">
        <v>0</v>
      </c>
      <c r="R53" s="3">
        <v>9.9972021537725994E-13</v>
      </c>
      <c r="S53" s="3">
        <v>0</v>
      </c>
      <c r="T53">
        <f>Constraint[[#This Row],[nx]]</f>
        <v>120</v>
      </c>
      <c r="U53">
        <v>9</v>
      </c>
    </row>
    <row r="54" spans="1:21" x14ac:dyDescent="0.3">
      <c r="A54">
        <v>0</v>
      </c>
      <c r="B54">
        <v>0</v>
      </c>
      <c r="C54">
        <v>0</v>
      </c>
      <c r="D54">
        <v>0</v>
      </c>
      <c r="E54">
        <v>-3.05987873927549E-14</v>
      </c>
      <c r="F54">
        <v>0</v>
      </c>
      <c r="G54">
        <v>4.1799896877137144E-14</v>
      </c>
      <c r="H54">
        <v>0</v>
      </c>
      <c r="I54">
        <v>1.5000153896771451E-14</v>
      </c>
      <c r="J54">
        <v>0</v>
      </c>
      <c r="K54">
        <v>1.1698975121987587E-14</v>
      </c>
      <c r="L54">
        <v>2.1006009431889794E-12</v>
      </c>
      <c r="M54">
        <v>-2.8695587572791226E-12</v>
      </c>
      <c r="N54">
        <v>-1.0297596109154483E-12</v>
      </c>
      <c r="O54">
        <v>-8.0313533601383824E-13</v>
      </c>
      <c r="P54" s="3">
        <v>3.2881337867026995E-12</v>
      </c>
      <c r="Q54" s="3">
        <v>0</v>
      </c>
      <c r="R54" s="3">
        <v>1.0008517129967263E-12</v>
      </c>
      <c r="S54" s="3">
        <v>0</v>
      </c>
      <c r="T54">
        <f>Constraint[[#This Row],[nx]]</f>
        <v>102</v>
      </c>
      <c r="U54">
        <v>9</v>
      </c>
    </row>
    <row r="55" spans="1:21" x14ac:dyDescent="0.3">
      <c r="A55">
        <v>0</v>
      </c>
      <c r="B55">
        <v>0</v>
      </c>
      <c r="C55">
        <v>0</v>
      </c>
      <c r="D55">
        <v>0</v>
      </c>
      <c r="E55">
        <v>8.520094352260088E-14</v>
      </c>
      <c r="F55">
        <v>0</v>
      </c>
      <c r="G55">
        <v>-2.8199664825478976E-14</v>
      </c>
      <c r="H55">
        <v>0</v>
      </c>
      <c r="I55">
        <v>4.9960036108132044E-16</v>
      </c>
      <c r="J55">
        <v>0</v>
      </c>
      <c r="K55">
        <v>1.9399412631848634E-14</v>
      </c>
      <c r="L55">
        <v>-5.8490330634430876E-12</v>
      </c>
      <c r="M55">
        <v>1.9359028269327894E-12</v>
      </c>
      <c r="N55">
        <v>-3.429895256701343E-14</v>
      </c>
      <c r="O55">
        <v>-1.3317680291891065E-12</v>
      </c>
      <c r="P55" s="3">
        <v>3.2913910626438099E-12</v>
      </c>
      <c r="Q55" s="3">
        <v>0</v>
      </c>
      <c r="R55" s="3">
        <v>1.0021435610548077E-12</v>
      </c>
      <c r="S55" s="3">
        <v>0</v>
      </c>
      <c r="T55">
        <f>Constraint[[#This Row],[nx]]</f>
        <v>87</v>
      </c>
      <c r="U55">
        <v>9</v>
      </c>
    </row>
    <row r="56" spans="1:21" x14ac:dyDescent="0.3">
      <c r="A56">
        <v>0</v>
      </c>
      <c r="B56">
        <v>0</v>
      </c>
      <c r="C56">
        <v>0</v>
      </c>
      <c r="D56">
        <v>0</v>
      </c>
      <c r="E56">
        <v>-2.2700591406632498E-14</v>
      </c>
      <c r="F56">
        <v>0</v>
      </c>
      <c r="G56">
        <v>3.7900238503141281E-14</v>
      </c>
      <c r="H56">
        <v>0</v>
      </c>
      <c r="I56">
        <v>6.3993949028784414E-15</v>
      </c>
      <c r="J56">
        <v>0</v>
      </c>
      <c r="K56">
        <v>-7.1498362785860081E-14</v>
      </c>
      <c r="L56">
        <v>1.5583940388141926E-12</v>
      </c>
      <c r="M56">
        <v>-2.6018423526785739E-12</v>
      </c>
      <c r="N56">
        <v>-4.393187202911264E-13</v>
      </c>
      <c r="O56">
        <v>4.9083515030190483E-12</v>
      </c>
      <c r="P56" s="3">
        <v>3.2959902623079823E-12</v>
      </c>
      <c r="Q56" s="3">
        <v>0</v>
      </c>
      <c r="R56" s="3">
        <v>1.0038749505610262E-12</v>
      </c>
      <c r="S56" s="3">
        <v>0</v>
      </c>
      <c r="T56">
        <f>Constraint[[#This Row],[nx]]</f>
        <v>72</v>
      </c>
      <c r="U56">
        <v>9</v>
      </c>
    </row>
    <row r="57" spans="1:21" x14ac:dyDescent="0.3">
      <c r="A57">
        <v>0</v>
      </c>
      <c r="B57">
        <v>0</v>
      </c>
      <c r="C57">
        <v>0</v>
      </c>
      <c r="D57">
        <v>0</v>
      </c>
      <c r="E57">
        <v>4.360053984520107E-14</v>
      </c>
      <c r="F57">
        <v>0</v>
      </c>
      <c r="G57">
        <v>2.2098642360468546E-14</v>
      </c>
      <c r="H57">
        <v>0</v>
      </c>
      <c r="I57">
        <v>-2.499736528882579E-15</v>
      </c>
      <c r="J57">
        <v>0</v>
      </c>
      <c r="K57">
        <v>-9.10035935497433E-15</v>
      </c>
      <c r="L57">
        <v>-2.9931716827302779E-12</v>
      </c>
      <c r="M57">
        <v>-1.5170642519990452E-12</v>
      </c>
      <c r="N57">
        <v>1.7160578513752967E-13</v>
      </c>
      <c r="O57">
        <v>6.247363737443834E-13</v>
      </c>
      <c r="P57" s="3">
        <v>3.2999046010962118E-12</v>
      </c>
      <c r="Q57" s="3">
        <v>0</v>
      </c>
      <c r="R57" s="3">
        <v>1.005206461658553E-12</v>
      </c>
      <c r="S57" s="3">
        <v>0</v>
      </c>
      <c r="T57">
        <f>Constraint[[#This Row],[nx]]</f>
        <v>63</v>
      </c>
      <c r="U57">
        <v>9</v>
      </c>
    </row>
    <row r="58" spans="1:21" x14ac:dyDescent="0.3">
      <c r="A58">
        <v>0</v>
      </c>
      <c r="B58">
        <v>0</v>
      </c>
      <c r="C58">
        <v>0</v>
      </c>
      <c r="D58">
        <v>0</v>
      </c>
      <c r="E58">
        <v>-5.4990734188464785E-15</v>
      </c>
      <c r="F58">
        <v>0</v>
      </c>
      <c r="G58">
        <v>7.4799541560643945E-14</v>
      </c>
      <c r="H58">
        <v>0</v>
      </c>
      <c r="I58">
        <v>2.598615767013257E-15</v>
      </c>
      <c r="J58">
        <v>0</v>
      </c>
      <c r="K58">
        <v>2.3899285328532471E-14</v>
      </c>
      <c r="L58">
        <v>3.7751225756554874E-13</v>
      </c>
      <c r="M58">
        <v>-5.1349757779206584E-12</v>
      </c>
      <c r="N58">
        <v>-1.7839202337555093E-13</v>
      </c>
      <c r="O58">
        <v>-1.6406806468971524E-12</v>
      </c>
      <c r="P58" s="3">
        <v>3.3054215752315823E-12</v>
      </c>
      <c r="Q58" s="3">
        <v>0</v>
      </c>
      <c r="R58" s="3">
        <v>1.0068490263618567E-12</v>
      </c>
      <c r="S58" s="3">
        <v>0</v>
      </c>
      <c r="T58">
        <f>Constraint[[#This Row],[nx]]</f>
        <v>54</v>
      </c>
      <c r="U58">
        <v>9</v>
      </c>
    </row>
    <row r="59" spans="1:21" x14ac:dyDescent="0.3">
      <c r="A59">
        <v>0</v>
      </c>
      <c r="B59">
        <v>0</v>
      </c>
      <c r="C59">
        <v>0</v>
      </c>
      <c r="D59">
        <v>0</v>
      </c>
      <c r="E59">
        <v>-2.9601321394068236E-14</v>
      </c>
      <c r="F59">
        <v>0</v>
      </c>
      <c r="G59">
        <v>9.0399909780103371E-14</v>
      </c>
      <c r="H59">
        <v>0</v>
      </c>
      <c r="I59">
        <v>-2.4799606812564434E-14</v>
      </c>
      <c r="J59">
        <v>0</v>
      </c>
      <c r="K59">
        <v>-4.1699282915530489E-14</v>
      </c>
      <c r="L59">
        <v>2.0321262034217469E-12</v>
      </c>
      <c r="M59">
        <v>-6.2059454797314118E-12</v>
      </c>
      <c r="N59">
        <v>1.702492313793158E-12</v>
      </c>
      <c r="O59">
        <v>2.8626545578447349E-12</v>
      </c>
      <c r="P59" s="3">
        <v>3.3139115491336257E-12</v>
      </c>
      <c r="Q59" s="3">
        <v>0</v>
      </c>
      <c r="R59" s="3">
        <v>1.0089367578225419E-12</v>
      </c>
      <c r="S59" s="3">
        <v>0</v>
      </c>
      <c r="T59">
        <f>Constraint[[#This Row],[nx]]</f>
        <v>45</v>
      </c>
      <c r="U59">
        <v>9</v>
      </c>
    </row>
    <row r="60" spans="1:21" x14ac:dyDescent="0.3">
      <c r="A60">
        <v>0</v>
      </c>
      <c r="B60">
        <v>0</v>
      </c>
      <c r="C60">
        <v>0</v>
      </c>
      <c r="D60">
        <v>0</v>
      </c>
      <c r="E60">
        <v>4.459974056736371E-14</v>
      </c>
      <c r="F60">
        <v>0</v>
      </c>
      <c r="G60">
        <v>2.5599314334989742E-14</v>
      </c>
      <c r="H60">
        <v>0</v>
      </c>
      <c r="I60">
        <v>2.0199120154273942E-14</v>
      </c>
      <c r="J60">
        <v>0</v>
      </c>
      <c r="K60">
        <v>4.4899847728707698E-14</v>
      </c>
      <c r="L60">
        <v>-3.0617669857790908E-12</v>
      </c>
      <c r="M60">
        <v>-1.757392842360872E-12</v>
      </c>
      <c r="N60">
        <v>-1.3866650883098686E-12</v>
      </c>
      <c r="O60">
        <v>-3.0823746333119573E-12</v>
      </c>
      <c r="P60" s="3">
        <v>3.3226428547557034E-12</v>
      </c>
      <c r="Q60" s="3">
        <v>0</v>
      </c>
      <c r="R60" s="3">
        <v>1.0106871864228941E-12</v>
      </c>
      <c r="S60" s="3">
        <v>0</v>
      </c>
      <c r="T60">
        <f>Constraint[[#This Row],[nx]]</f>
        <v>39</v>
      </c>
      <c r="U60">
        <v>9</v>
      </c>
    </row>
    <row r="61" spans="1:21" x14ac:dyDescent="0.3">
      <c r="A61">
        <v>0</v>
      </c>
      <c r="B61">
        <v>0</v>
      </c>
      <c r="C61">
        <v>0</v>
      </c>
      <c r="D61">
        <v>0</v>
      </c>
      <c r="E61">
        <v>-1.7799997586998018E-14</v>
      </c>
      <c r="F61">
        <v>0</v>
      </c>
      <c r="G61">
        <v>4.3000325522513094E-14</v>
      </c>
      <c r="H61">
        <v>0</v>
      </c>
      <c r="I61">
        <v>2.5699928296596397E-14</v>
      </c>
      <c r="J61">
        <v>0</v>
      </c>
      <c r="K61">
        <v>-2.499736528882579E-15</v>
      </c>
      <c r="L61">
        <v>1.2219678394154165E-12</v>
      </c>
      <c r="M61">
        <v>-2.9519685307288768E-12</v>
      </c>
      <c r="N61">
        <v>-1.7642970417952597E-12</v>
      </c>
      <c r="O61">
        <v>1.7160925458448162E-13</v>
      </c>
      <c r="P61" s="3">
        <v>3.3359651302673916E-12</v>
      </c>
      <c r="Q61" s="3">
        <v>0</v>
      </c>
      <c r="R61" s="3">
        <v>1.01285770875017E-12</v>
      </c>
      <c r="S61" s="3">
        <v>0</v>
      </c>
      <c r="T61">
        <f>Constraint[[#This Row],[nx]]</f>
        <v>33</v>
      </c>
      <c r="U61">
        <v>9</v>
      </c>
    </row>
    <row r="62" spans="1:21" x14ac:dyDescent="0.3">
      <c r="A62">
        <v>0</v>
      </c>
      <c r="B62">
        <v>0</v>
      </c>
      <c r="C62">
        <v>0</v>
      </c>
      <c r="D62">
        <v>0</v>
      </c>
      <c r="E62">
        <v>-1.2130053905767824E-13</v>
      </c>
      <c r="F62">
        <v>0</v>
      </c>
      <c r="G62">
        <v>-8.7199344966926162E-14</v>
      </c>
      <c r="H62">
        <v>0</v>
      </c>
      <c r="I62">
        <v>-1.9999626954536609E-14</v>
      </c>
      <c r="J62">
        <v>0</v>
      </c>
      <c r="K62">
        <v>-6.6198782566750936E-14</v>
      </c>
      <c r="L62">
        <v>8.3272685622026721E-12</v>
      </c>
      <c r="M62">
        <v>5.9862254042641894E-12</v>
      </c>
      <c r="N62">
        <v>1.3729729159139836E-12</v>
      </c>
      <c r="O62">
        <v>4.5445383567432884E-12</v>
      </c>
      <c r="P62" s="3">
        <v>3.3579758722534205E-12</v>
      </c>
      <c r="Q62" s="3">
        <v>0</v>
      </c>
      <c r="R62" s="3">
        <v>1.0156546046725846E-12</v>
      </c>
      <c r="S62" s="3">
        <v>0</v>
      </c>
      <c r="T62">
        <f>Constraint[[#This Row],[nx]]</f>
        <v>27</v>
      </c>
      <c r="U62">
        <v>9</v>
      </c>
    </row>
    <row r="63" spans="1:21" x14ac:dyDescent="0.3">
      <c r="A63">
        <v>0</v>
      </c>
      <c r="B63">
        <v>0</v>
      </c>
      <c r="C63">
        <v>0</v>
      </c>
      <c r="D63">
        <v>0</v>
      </c>
      <c r="E63">
        <v>5.7499144334727248E-14</v>
      </c>
      <c r="F63">
        <v>0</v>
      </c>
      <c r="G63">
        <v>-3.3599859006194777E-14</v>
      </c>
      <c r="H63">
        <v>0</v>
      </c>
      <c r="I63">
        <v>1.5900475380803414E-14</v>
      </c>
      <c r="J63">
        <v>0</v>
      </c>
      <c r="K63">
        <v>-1.3280002097992849E-13</v>
      </c>
      <c r="L63">
        <v>-3.9473112278809452E-12</v>
      </c>
      <c r="M63">
        <v>2.3066271115368409E-12</v>
      </c>
      <c r="N63">
        <v>-1.091566073641026E-12</v>
      </c>
      <c r="O63">
        <v>9.1167073890119354E-12</v>
      </c>
      <c r="P63" s="3">
        <v>3.3748637607968082E-12</v>
      </c>
      <c r="Q63" s="3">
        <v>0</v>
      </c>
      <c r="R63" s="3">
        <v>1.0174020103178544E-12</v>
      </c>
      <c r="S63" s="3">
        <v>0</v>
      </c>
      <c r="T63">
        <f>Constraint[[#This Row],[nx]]</f>
        <v>24</v>
      </c>
      <c r="U63">
        <v>9</v>
      </c>
    </row>
    <row r="64" spans="1:21" x14ac:dyDescent="0.3">
      <c r="A64">
        <v>0</v>
      </c>
      <c r="B64">
        <v>0</v>
      </c>
      <c r="C64">
        <v>0</v>
      </c>
      <c r="D64">
        <v>0</v>
      </c>
      <c r="E64">
        <v>-1.1100495522775589E-14</v>
      </c>
      <c r="F64">
        <v>0</v>
      </c>
      <c r="G64">
        <v>4.3499925883594415E-14</v>
      </c>
      <c r="H64">
        <v>0</v>
      </c>
      <c r="I64">
        <v>-6.4798860721637652E-14</v>
      </c>
      <c r="J64">
        <v>0</v>
      </c>
      <c r="K64">
        <v>6.0399601986560469E-14</v>
      </c>
      <c r="L64">
        <v>7.6205014520880354E-13</v>
      </c>
      <c r="M64">
        <v>-2.9862640138489382E-12</v>
      </c>
      <c r="N64">
        <v>4.4484346761741733E-12</v>
      </c>
      <c r="O64">
        <v>-4.1464262579005151E-12</v>
      </c>
      <c r="P64" s="3">
        <v>3.3984655777158638E-12</v>
      </c>
      <c r="Q64" s="3">
        <v>0</v>
      </c>
      <c r="R64" s="3">
        <v>1.0194921974530438E-12</v>
      </c>
      <c r="S64" s="3">
        <v>0</v>
      </c>
      <c r="T64">
        <f>Constraint[[#This Row],[nx]]</f>
        <v>21</v>
      </c>
      <c r="U64">
        <v>9</v>
      </c>
    </row>
    <row r="65" spans="1:21" x14ac:dyDescent="0.3">
      <c r="A65">
        <v>0</v>
      </c>
      <c r="B65">
        <v>0</v>
      </c>
      <c r="C65">
        <v>0</v>
      </c>
      <c r="D65">
        <v>0</v>
      </c>
      <c r="E65">
        <v>9.3699353831411258E-14</v>
      </c>
      <c r="F65">
        <v>0</v>
      </c>
      <c r="G65">
        <v>5.9501015226004483E-14</v>
      </c>
      <c r="H65">
        <v>0</v>
      </c>
      <c r="I65">
        <v>-2.9799079870329592E-14</v>
      </c>
      <c r="J65">
        <v>0</v>
      </c>
      <c r="K65">
        <v>1.6800796864835377E-14</v>
      </c>
      <c r="L65">
        <v>-6.4324483239897035E-12</v>
      </c>
      <c r="M65">
        <v>-4.0847394910947799E-12</v>
      </c>
      <c r="N65">
        <v>2.0457034503873484E-12</v>
      </c>
      <c r="O65">
        <v>-1.1533725363666036E-12</v>
      </c>
      <c r="P65" s="3">
        <v>3.4328174249577395E-12</v>
      </c>
      <c r="Q65" s="3">
        <v>0</v>
      </c>
      <c r="R65" s="3">
        <v>1.022075581496282E-12</v>
      </c>
      <c r="S65" s="3">
        <v>0</v>
      </c>
      <c r="T65">
        <f>Constraint[[#This Row],[nx]]</f>
        <v>18</v>
      </c>
      <c r="U65">
        <v>9</v>
      </c>
    </row>
    <row r="66" spans="1:21" x14ac:dyDescent="0.3">
      <c r="A66">
        <v>0</v>
      </c>
      <c r="B66">
        <v>0</v>
      </c>
      <c r="C66">
        <v>0</v>
      </c>
      <c r="D66">
        <v>0</v>
      </c>
      <c r="E66">
        <v>5.2098950154011447E-14</v>
      </c>
      <c r="F66">
        <v>0</v>
      </c>
      <c r="G66">
        <v>4.5598941289526351E-14</v>
      </c>
      <c r="H66">
        <v>0</v>
      </c>
      <c r="I66">
        <v>4.0099867870679873E-14</v>
      </c>
      <c r="J66">
        <v>0</v>
      </c>
      <c r="K66">
        <v>2.6499635819021705E-14</v>
      </c>
      <c r="L66">
        <v>-3.5765834738299418E-12</v>
      </c>
      <c r="M66">
        <v>-3.1303640235513797E-12</v>
      </c>
      <c r="N66">
        <v>-2.7528517659858309E-12</v>
      </c>
      <c r="O66">
        <v>-1.8191975703629737E-12</v>
      </c>
      <c r="P66" s="3">
        <v>3.4853307500246438E-12</v>
      </c>
      <c r="Q66" s="3">
        <v>0</v>
      </c>
      <c r="R66" s="3">
        <v>1.0254205632510873E-12</v>
      </c>
      <c r="S66" s="3">
        <v>0</v>
      </c>
      <c r="T66">
        <f>Constraint[[#This Row],[nx]]</f>
        <v>15</v>
      </c>
      <c r="U66">
        <v>9</v>
      </c>
    </row>
    <row r="67" spans="1:21" x14ac:dyDescent="0.3">
      <c r="A67">
        <v>0</v>
      </c>
      <c r="B67">
        <v>0</v>
      </c>
      <c r="C67">
        <v>0</v>
      </c>
      <c r="D67">
        <v>0</v>
      </c>
      <c r="E67">
        <v>5.2600285238568745E-14</v>
      </c>
      <c r="F67">
        <v>0</v>
      </c>
      <c r="G67">
        <v>8.5599929922075546E-14</v>
      </c>
      <c r="H67">
        <v>0</v>
      </c>
      <c r="I67">
        <v>6.5000088644850962E-15</v>
      </c>
      <c r="J67">
        <v>0</v>
      </c>
      <c r="K67">
        <v>1.2601031329495527E-14</v>
      </c>
      <c r="L67">
        <v>-3.6110003875933216E-12</v>
      </c>
      <c r="M67">
        <v>-5.8764260818522374E-12</v>
      </c>
      <c r="N67">
        <v>-4.4622291972551409E-13</v>
      </c>
      <c r="O67">
        <v>-8.6505802521230635E-13</v>
      </c>
      <c r="P67" s="3">
        <v>3.570394189671684E-12</v>
      </c>
      <c r="Q67" s="3">
        <v>0</v>
      </c>
      <c r="R67" s="3">
        <v>1.0300407325065137E-12</v>
      </c>
      <c r="S67" s="3">
        <v>0</v>
      </c>
      <c r="T67">
        <f>Constraint[[#This Row],[nx]]</f>
        <v>12</v>
      </c>
      <c r="U67">
        <v>9</v>
      </c>
    </row>
    <row r="68" spans="1:21" x14ac:dyDescent="0.3">
      <c r="A68">
        <v>0</v>
      </c>
      <c r="B68">
        <v>0</v>
      </c>
      <c r="C68">
        <v>0</v>
      </c>
      <c r="D68">
        <v>0</v>
      </c>
      <c r="E68">
        <v>-7.4898420798774623E-14</v>
      </c>
      <c r="F68">
        <v>0</v>
      </c>
      <c r="G68">
        <v>1.2660011927678738E-13</v>
      </c>
      <c r="H68">
        <v>0</v>
      </c>
      <c r="I68">
        <v>4.0599468231761193E-14</v>
      </c>
      <c r="J68">
        <v>0</v>
      </c>
      <c r="K68">
        <v>-7.5999970206019896E-14</v>
      </c>
      <c r="L68">
        <v>5.1417620161586797E-12</v>
      </c>
      <c r="M68">
        <v>-8.691083443201908E-12</v>
      </c>
      <c r="N68">
        <v>-2.7871455143824164E-12</v>
      </c>
      <c r="O68">
        <v>5.2173890208173646E-12</v>
      </c>
      <c r="P68" s="3">
        <v>3.7167855902207689E-12</v>
      </c>
      <c r="Q68" s="3">
        <v>0</v>
      </c>
      <c r="R68" s="3">
        <v>1.0369364960284928E-12</v>
      </c>
      <c r="S68" s="3">
        <v>0</v>
      </c>
      <c r="T68">
        <f>Constraint[[#This Row],[nx]]</f>
        <v>9</v>
      </c>
      <c r="U68">
        <v>9</v>
      </c>
    </row>
    <row r="69" spans="1:21" x14ac:dyDescent="0.3">
      <c r="A69">
        <v>0</v>
      </c>
      <c r="B69">
        <v>0</v>
      </c>
      <c r="C69">
        <v>0</v>
      </c>
      <c r="D69">
        <v>0</v>
      </c>
      <c r="E69">
        <v>7.4003303485170591E-15</v>
      </c>
      <c r="F69">
        <v>0</v>
      </c>
      <c r="G69">
        <v>-1.7099169302703388E-14</v>
      </c>
      <c r="H69">
        <v>0</v>
      </c>
      <c r="I69">
        <v>-6.5499689005932282E-14</v>
      </c>
      <c r="J69">
        <v>0</v>
      </c>
      <c r="K69">
        <v>5.6600557574171262E-14</v>
      </c>
      <c r="L69">
        <v>-5.0803805606847163E-13</v>
      </c>
      <c r="M69">
        <v>1.1738561511709378E-12</v>
      </c>
      <c r="N69">
        <v>4.4965420276099621E-12</v>
      </c>
      <c r="O69">
        <v>-3.885621858989996E-12</v>
      </c>
      <c r="P69" s="3">
        <v>3.9724056820180446E-12</v>
      </c>
      <c r="Q69" s="3">
        <v>0</v>
      </c>
      <c r="R69" s="3">
        <v>1.0468765861680739E-12</v>
      </c>
      <c r="S69" s="3">
        <v>0</v>
      </c>
      <c r="T69">
        <f>Constraint[[#This Row],[nx]]</f>
        <v>6</v>
      </c>
      <c r="U69">
        <v>9</v>
      </c>
    </row>
    <row r="70" spans="1:21" x14ac:dyDescent="0.3">
      <c r="A70">
        <v>0</v>
      </c>
      <c r="B70">
        <v>0</v>
      </c>
      <c r="C70">
        <v>0</v>
      </c>
      <c r="D70">
        <v>0</v>
      </c>
      <c r="E70">
        <v>-2.9800814593805569E-14</v>
      </c>
      <c r="F70">
        <v>0</v>
      </c>
      <c r="G70">
        <v>7.7200398851395846E-14</v>
      </c>
      <c r="H70">
        <v>0</v>
      </c>
      <c r="I70">
        <v>-1.0800388361431601E-14</v>
      </c>
      <c r="J70">
        <v>0</v>
      </c>
      <c r="K70">
        <v>1.1829946744423836E-13</v>
      </c>
      <c r="L70">
        <v>2.0458218452645838E-12</v>
      </c>
      <c r="M70">
        <v>-5.2997953248201668E-12</v>
      </c>
      <c r="N70">
        <v>7.4144509976115103E-13</v>
      </c>
      <c r="O70">
        <v>-8.1212397917695966E-12</v>
      </c>
      <c r="P70" s="3">
        <v>3.2897457817648803E-12</v>
      </c>
      <c r="Q70" s="3">
        <v>0</v>
      </c>
      <c r="R70" s="3">
        <v>9.9083648530912777E-13</v>
      </c>
      <c r="S70" s="3">
        <v>0</v>
      </c>
      <c r="T70">
        <f>Constraint[[#This Row],[nx]]</f>
        <v>120</v>
      </c>
      <c r="U70">
        <v>7</v>
      </c>
    </row>
    <row r="71" spans="1:21" x14ac:dyDescent="0.3">
      <c r="A71">
        <v>0</v>
      </c>
      <c r="B71">
        <v>0</v>
      </c>
      <c r="C71">
        <v>0</v>
      </c>
      <c r="D71">
        <v>0</v>
      </c>
      <c r="E71">
        <v>8.2699472270242325E-14</v>
      </c>
      <c r="F71">
        <v>0</v>
      </c>
      <c r="G71">
        <v>7.3500233677137317E-14</v>
      </c>
      <c r="H71">
        <v>0</v>
      </c>
      <c r="I71">
        <v>1.852008130187599E-13</v>
      </c>
      <c r="J71">
        <v>0</v>
      </c>
      <c r="K71">
        <v>-4.100886297209172E-15</v>
      </c>
      <c r="L71">
        <v>-5.6773093171091915E-12</v>
      </c>
      <c r="M71">
        <v>-5.0457832356798349E-12</v>
      </c>
      <c r="N71">
        <v>-1.2714017338932848E-11</v>
      </c>
      <c r="O71">
        <v>2.8152480346932407E-13</v>
      </c>
      <c r="P71" s="3">
        <v>3.2932632467990173E-12</v>
      </c>
      <c r="Q71" s="3">
        <v>0</v>
      </c>
      <c r="R71" s="3">
        <v>9.9197485007501215E-13</v>
      </c>
      <c r="S71" s="3">
        <v>0</v>
      </c>
      <c r="T71">
        <f>Constraint[[#This Row],[nx]]</f>
        <v>102</v>
      </c>
      <c r="U71">
        <v>7</v>
      </c>
    </row>
    <row r="72" spans="1:21" x14ac:dyDescent="0.3">
      <c r="A72">
        <v>0</v>
      </c>
      <c r="B72">
        <v>0</v>
      </c>
      <c r="C72">
        <v>0</v>
      </c>
      <c r="D72">
        <v>0</v>
      </c>
      <c r="E72">
        <v>8.0199735741359746E-14</v>
      </c>
      <c r="F72">
        <v>0</v>
      </c>
      <c r="G72">
        <v>2.7009644520958886E-15</v>
      </c>
      <c r="H72">
        <v>0</v>
      </c>
      <c r="I72">
        <v>3.2500044322425481E-14</v>
      </c>
      <c r="J72">
        <v>0</v>
      </c>
      <c r="K72">
        <v>-6.8299532696158849E-14</v>
      </c>
      <c r="L72">
        <v>-5.5057017972481859E-12</v>
      </c>
      <c r="M72">
        <v>-1.8542112290020896E-13</v>
      </c>
      <c r="N72">
        <v>-2.2311215375214744E-12</v>
      </c>
      <c r="O72">
        <v>4.6887563276420963E-12</v>
      </c>
      <c r="P72" s="3">
        <v>3.2974331666096128E-12</v>
      </c>
      <c r="Q72" s="3">
        <v>0</v>
      </c>
      <c r="R72" s="3">
        <v>9.9344754046330544E-13</v>
      </c>
      <c r="S72" s="3">
        <v>0</v>
      </c>
      <c r="T72">
        <f>Constraint[[#This Row],[nx]]</f>
        <v>87</v>
      </c>
      <c r="U72">
        <v>7</v>
      </c>
    </row>
    <row r="73" spans="1:21" x14ac:dyDescent="0.3">
      <c r="A73">
        <v>0</v>
      </c>
      <c r="B73">
        <v>0</v>
      </c>
      <c r="C73">
        <v>0</v>
      </c>
      <c r="D73">
        <v>0</v>
      </c>
      <c r="E73">
        <v>-5.2199564115618102E-14</v>
      </c>
      <c r="F73">
        <v>0</v>
      </c>
      <c r="G73">
        <v>2.0001361678012586E-15</v>
      </c>
      <c r="H73">
        <v>0</v>
      </c>
      <c r="I73">
        <v>-3.5501115935865357E-14</v>
      </c>
      <c r="J73">
        <v>0</v>
      </c>
      <c r="K73">
        <v>1.1201109484382243E-14</v>
      </c>
      <c r="L73">
        <v>3.5834946121582334E-12</v>
      </c>
      <c r="M73">
        <v>-1.3730683257051624E-13</v>
      </c>
      <c r="N73">
        <v>2.4371477058693358E-12</v>
      </c>
      <c r="O73">
        <v>-7.6895434464319123E-13</v>
      </c>
      <c r="P73" s="3">
        <v>3.3032772264988804E-12</v>
      </c>
      <c r="Q73" s="3">
        <v>0</v>
      </c>
      <c r="R73" s="3">
        <v>9.955747377191573E-13</v>
      </c>
      <c r="S73" s="3">
        <v>0</v>
      </c>
      <c r="T73">
        <f>Constraint[[#This Row],[nx]]</f>
        <v>72</v>
      </c>
      <c r="U73">
        <v>7</v>
      </c>
    </row>
    <row r="74" spans="1:21" x14ac:dyDescent="0.3">
      <c r="A74">
        <v>0</v>
      </c>
      <c r="B74">
        <v>0</v>
      </c>
      <c r="C74">
        <v>0</v>
      </c>
      <c r="D74">
        <v>0</v>
      </c>
      <c r="E74">
        <v>-3.8899439225303922E-14</v>
      </c>
      <c r="F74">
        <v>0</v>
      </c>
      <c r="G74">
        <v>4.3992587350771828E-15</v>
      </c>
      <c r="H74">
        <v>0</v>
      </c>
      <c r="I74">
        <v>8.7100465728795484E-14</v>
      </c>
      <c r="J74">
        <v>0</v>
      </c>
      <c r="K74">
        <v>9.9989461155303161E-15</v>
      </c>
      <c r="L74">
        <v>2.6704419925360767E-12</v>
      </c>
      <c r="M74">
        <v>-3.0200841827365821E-13</v>
      </c>
      <c r="N74">
        <v>-5.9794391660261681E-12</v>
      </c>
      <c r="O74">
        <v>-6.8642314055011866E-13</v>
      </c>
      <c r="P74" s="3">
        <v>3.3080375227579983E-12</v>
      </c>
      <c r="Q74" s="3">
        <v>0</v>
      </c>
      <c r="R74" s="3">
        <v>9.9726442951718957E-13</v>
      </c>
      <c r="S74" s="3">
        <v>0</v>
      </c>
      <c r="T74">
        <f>Constraint[[#This Row],[nx]]</f>
        <v>63</v>
      </c>
      <c r="U74">
        <v>7</v>
      </c>
    </row>
    <row r="75" spans="1:21" x14ac:dyDescent="0.3">
      <c r="A75">
        <v>0</v>
      </c>
      <c r="B75">
        <v>0</v>
      </c>
      <c r="C75">
        <v>0</v>
      </c>
      <c r="D75">
        <v>0</v>
      </c>
      <c r="E75">
        <v>2.660024978062836E-14</v>
      </c>
      <c r="F75">
        <v>0</v>
      </c>
      <c r="G75">
        <v>-4.5000461690314353E-14</v>
      </c>
      <c r="H75">
        <v>0</v>
      </c>
      <c r="I75">
        <v>4.1199682554449168E-14</v>
      </c>
      <c r="J75">
        <v>0</v>
      </c>
      <c r="K75">
        <v>8.2000378709423671E-15</v>
      </c>
      <c r="L75">
        <v>-1.8261052392443133E-12</v>
      </c>
      <c r="M75">
        <v>3.0892718938524411E-12</v>
      </c>
      <c r="N75">
        <v>-2.8283556052777215E-12</v>
      </c>
      <c r="O75">
        <v>-5.6293164574228172E-13</v>
      </c>
      <c r="P75" s="3">
        <v>3.3143850733499386E-12</v>
      </c>
      <c r="Q75" s="3">
        <v>0</v>
      </c>
      <c r="R75" s="3">
        <v>9.9936273795805355E-13</v>
      </c>
      <c r="S75" s="3">
        <v>0</v>
      </c>
      <c r="T75">
        <f>Constraint[[#This Row],[nx]]</f>
        <v>54</v>
      </c>
      <c r="U75">
        <v>7</v>
      </c>
    </row>
    <row r="76" spans="1:21" x14ac:dyDescent="0.3">
      <c r="A76">
        <v>0</v>
      </c>
      <c r="B76">
        <v>0</v>
      </c>
      <c r="C76">
        <v>0</v>
      </c>
      <c r="D76">
        <v>0</v>
      </c>
      <c r="E76">
        <v>7.4992095866477371E-15</v>
      </c>
      <c r="F76">
        <v>0</v>
      </c>
      <c r="G76">
        <v>-2.6699129018759038E-14</v>
      </c>
      <c r="H76">
        <v>0</v>
      </c>
      <c r="I76">
        <v>3.3400365806457444E-14</v>
      </c>
      <c r="J76">
        <v>0</v>
      </c>
      <c r="K76">
        <v>-1.4299325612476821E-14</v>
      </c>
      <c r="L76">
        <v>-5.1481995749780296E-13</v>
      </c>
      <c r="M76">
        <v>1.8328949469292866E-12</v>
      </c>
      <c r="N76">
        <v>-2.292929734970528E-12</v>
      </c>
      <c r="O76">
        <v>9.8165225947965951E-13</v>
      </c>
      <c r="P76" s="3">
        <v>3.323568312309208E-12</v>
      </c>
      <c r="Q76" s="3">
        <v>0</v>
      </c>
      <c r="R76" s="3">
        <v>1.0020112595717659E-12</v>
      </c>
      <c r="S76" s="3">
        <v>0</v>
      </c>
      <c r="T76">
        <f>Constraint[[#This Row],[nx]]</f>
        <v>45</v>
      </c>
      <c r="U76">
        <v>7</v>
      </c>
    </row>
    <row r="77" spans="1:21" x14ac:dyDescent="0.3">
      <c r="A77">
        <v>0</v>
      </c>
      <c r="B77">
        <v>0</v>
      </c>
      <c r="C77">
        <v>0</v>
      </c>
      <c r="D77">
        <v>0</v>
      </c>
      <c r="E77">
        <v>6.0992877415344537E-15</v>
      </c>
      <c r="F77">
        <v>0</v>
      </c>
      <c r="G77">
        <v>1.1801323807070219E-14</v>
      </c>
      <c r="H77">
        <v>0</v>
      </c>
      <c r="I77">
        <v>-6.8989952639597618E-15</v>
      </c>
      <c r="J77">
        <v>0</v>
      </c>
      <c r="K77">
        <v>-1.37997252513955E-14</v>
      </c>
      <c r="L77">
        <v>-4.1871540956694986E-13</v>
      </c>
      <c r="M77">
        <v>-8.1015749664459236E-13</v>
      </c>
      <c r="N77">
        <v>4.7361420341118787E-13</v>
      </c>
      <c r="O77">
        <v>9.4735330691264608E-13</v>
      </c>
      <c r="P77" s="3">
        <v>3.3326060042146254E-12</v>
      </c>
      <c r="Q77" s="3">
        <v>0</v>
      </c>
      <c r="R77" s="3">
        <v>1.0042050970420565E-12</v>
      </c>
      <c r="S77" s="3">
        <v>0</v>
      </c>
      <c r="T77">
        <f>Constraint[[#This Row],[nx]]</f>
        <v>39</v>
      </c>
      <c r="U77">
        <v>7</v>
      </c>
    </row>
    <row r="78" spans="1:21" x14ac:dyDescent="0.3">
      <c r="A78">
        <v>0</v>
      </c>
      <c r="B78">
        <v>0</v>
      </c>
      <c r="C78">
        <v>0</v>
      </c>
      <c r="D78">
        <v>0</v>
      </c>
      <c r="E78">
        <v>-1.5994150448506161E-15</v>
      </c>
      <c r="F78">
        <v>0</v>
      </c>
      <c r="G78">
        <v>2.5500435096859064E-14</v>
      </c>
      <c r="H78">
        <v>0</v>
      </c>
      <c r="I78">
        <v>-1.9099305470504646E-14</v>
      </c>
      <c r="J78">
        <v>0</v>
      </c>
      <c r="K78">
        <v>4.100886297209172E-15</v>
      </c>
      <c r="L78">
        <v>1.0979964767260375E-13</v>
      </c>
      <c r="M78">
        <v>-1.7505996652289468E-12</v>
      </c>
      <c r="N78">
        <v>1.311166453188406E-12</v>
      </c>
      <c r="O78">
        <v>-2.8152480346932407E-13</v>
      </c>
      <c r="P78" s="3">
        <v>3.3460423072132882E-12</v>
      </c>
      <c r="Q78" s="3">
        <v>0</v>
      </c>
      <c r="R78" s="3">
        <v>1.0068951683996084E-12</v>
      </c>
      <c r="S78" s="3">
        <v>0</v>
      </c>
      <c r="T78">
        <f>Constraint[[#This Row],[nx]]</f>
        <v>33</v>
      </c>
      <c r="U78">
        <v>7</v>
      </c>
    </row>
    <row r="79" spans="1:21" x14ac:dyDescent="0.3">
      <c r="A79">
        <v>0</v>
      </c>
      <c r="B79">
        <v>0</v>
      </c>
      <c r="C79">
        <v>0</v>
      </c>
      <c r="D79">
        <v>0</v>
      </c>
      <c r="E79">
        <v>-4.8900120064310215E-14</v>
      </c>
      <c r="F79">
        <v>0</v>
      </c>
      <c r="G79">
        <v>1.7199783264310042E-14</v>
      </c>
      <c r="H79">
        <v>0</v>
      </c>
      <c r="I79">
        <v>-8.7098731005319507E-14</v>
      </c>
      <c r="J79">
        <v>0</v>
      </c>
      <c r="K79">
        <v>3.1799216038130851E-14</v>
      </c>
      <c r="L79">
        <v>3.3569874310912518E-12</v>
      </c>
      <c r="M79">
        <v>-1.1807638200522774E-12</v>
      </c>
      <c r="N79">
        <v>5.9793177353828497E-12</v>
      </c>
      <c r="O79">
        <v>-2.1830107166387336E-12</v>
      </c>
      <c r="P79" s="3">
        <v>3.3678975174539705E-12</v>
      </c>
      <c r="Q79" s="3">
        <v>0</v>
      </c>
      <c r="R79" s="3">
        <v>1.0103223468059017E-12</v>
      </c>
      <c r="S79" s="3">
        <v>0</v>
      </c>
      <c r="T79">
        <f>Constraint[[#This Row],[nx]]</f>
        <v>27</v>
      </c>
      <c r="U79">
        <v>7</v>
      </c>
    </row>
    <row r="80" spans="1:21" x14ac:dyDescent="0.3">
      <c r="A80">
        <v>0</v>
      </c>
      <c r="B80">
        <v>0</v>
      </c>
      <c r="C80">
        <v>0</v>
      </c>
      <c r="D80">
        <v>0</v>
      </c>
      <c r="E80">
        <v>-2.169965596099388E-14</v>
      </c>
      <c r="F80">
        <v>0</v>
      </c>
      <c r="G80">
        <v>-1.4700046735427463E-14</v>
      </c>
      <c r="H80">
        <v>0</v>
      </c>
      <c r="I80">
        <v>4.7999798580278252E-15</v>
      </c>
      <c r="J80">
        <v>0</v>
      </c>
      <c r="K80">
        <v>1.37997252513955E-14</v>
      </c>
      <c r="L80">
        <v>1.4896781724837993E-12</v>
      </c>
      <c r="M80">
        <v>1.0091580349147478E-12</v>
      </c>
      <c r="N80">
        <v>-3.2951766315569841E-13</v>
      </c>
      <c r="O80">
        <v>-9.4734983746569412E-13</v>
      </c>
      <c r="P80" s="3">
        <v>3.3845678955547601E-12</v>
      </c>
      <c r="Q80" s="3">
        <v>0</v>
      </c>
      <c r="R80" s="3">
        <v>1.0124419760787877E-12</v>
      </c>
      <c r="S80" s="3">
        <v>0</v>
      </c>
      <c r="T80">
        <f>Constraint[[#This Row],[nx]]</f>
        <v>24</v>
      </c>
      <c r="U80">
        <v>7</v>
      </c>
    </row>
    <row r="81" spans="1:21" x14ac:dyDescent="0.3">
      <c r="A81">
        <v>0</v>
      </c>
      <c r="B81">
        <v>0</v>
      </c>
      <c r="C81">
        <v>0</v>
      </c>
      <c r="D81">
        <v>0</v>
      </c>
      <c r="E81">
        <v>2.7601185226266978E-14</v>
      </c>
      <c r="F81">
        <v>0</v>
      </c>
      <c r="G81">
        <v>-4.1699282915530489E-14</v>
      </c>
      <c r="H81">
        <v>0</v>
      </c>
      <c r="I81">
        <v>7.1991024253037494E-15</v>
      </c>
      <c r="J81">
        <v>0</v>
      </c>
      <c r="K81">
        <v>-4.3099204760643772E-14</v>
      </c>
      <c r="L81">
        <v>-1.8948176361277547E-12</v>
      </c>
      <c r="M81">
        <v>2.8626510883977829E-12</v>
      </c>
      <c r="N81">
        <v>-4.9421751413536441E-13</v>
      </c>
      <c r="O81">
        <v>2.958754768966898E-12</v>
      </c>
      <c r="P81" s="3">
        <v>3.4078210660325888E-12</v>
      </c>
      <c r="Q81" s="3">
        <v>0</v>
      </c>
      <c r="R81" s="3">
        <v>1.0149521856957356E-12</v>
      </c>
      <c r="S81" s="3">
        <v>0</v>
      </c>
      <c r="T81">
        <f>Constraint[[#This Row],[nx]]</f>
        <v>21</v>
      </c>
      <c r="U81">
        <v>7</v>
      </c>
    </row>
    <row r="82" spans="1:21" x14ac:dyDescent="0.3">
      <c r="A82">
        <v>0</v>
      </c>
      <c r="B82">
        <v>0</v>
      </c>
      <c r="C82">
        <v>0</v>
      </c>
      <c r="D82">
        <v>0</v>
      </c>
      <c r="E82">
        <v>-4.3699419083331748E-14</v>
      </c>
      <c r="F82">
        <v>0</v>
      </c>
      <c r="G82">
        <v>8.7400572890139472E-14</v>
      </c>
      <c r="H82">
        <v>0</v>
      </c>
      <c r="I82">
        <v>4.9200227225654203E-14</v>
      </c>
      <c r="J82">
        <v>0</v>
      </c>
      <c r="K82">
        <v>5.5299514967188657E-14</v>
      </c>
      <c r="L82">
        <v>2.9999613904152511E-12</v>
      </c>
      <c r="M82">
        <v>-6.0000372725799167E-12</v>
      </c>
      <c r="N82">
        <v>-3.3775898744536903E-12</v>
      </c>
      <c r="O82">
        <v>-3.7963070187441161E-12</v>
      </c>
      <c r="P82" s="3">
        <v>3.4416407001215764E-12</v>
      </c>
      <c r="Q82" s="3">
        <v>0</v>
      </c>
      <c r="R82" s="3">
        <v>1.018010524218761E-12</v>
      </c>
      <c r="S82" s="3">
        <v>0</v>
      </c>
      <c r="T82">
        <f>Constraint[[#This Row],[nx]]</f>
        <v>18</v>
      </c>
      <c r="U82">
        <v>7</v>
      </c>
    </row>
    <row r="83" spans="1:21" x14ac:dyDescent="0.3">
      <c r="A83">
        <v>0</v>
      </c>
      <c r="B83">
        <v>0</v>
      </c>
      <c r="C83">
        <v>0</v>
      </c>
      <c r="D83">
        <v>0</v>
      </c>
      <c r="E83">
        <v>-6.9996092255664166E-15</v>
      </c>
      <c r="F83">
        <v>0</v>
      </c>
      <c r="G83">
        <v>1.2699910567626205E-14</v>
      </c>
      <c r="H83">
        <v>0</v>
      </c>
      <c r="I83">
        <v>-9.9701497058291011E-14</v>
      </c>
      <c r="J83">
        <v>0</v>
      </c>
      <c r="K83">
        <v>5.5400128928795311E-14</v>
      </c>
      <c r="L83">
        <v>4.8051840284557557E-13</v>
      </c>
      <c r="M83">
        <v>-8.7184773289727957E-13</v>
      </c>
      <c r="N83">
        <v>6.8444963238767365E-12</v>
      </c>
      <c r="O83">
        <v>-3.8032112181785038E-12</v>
      </c>
      <c r="P83" s="3">
        <v>3.4933500636845912E-12</v>
      </c>
      <c r="Q83" s="3">
        <v>0</v>
      </c>
      <c r="R83" s="3">
        <v>1.0218913581362632E-12</v>
      </c>
      <c r="S83" s="3">
        <v>0</v>
      </c>
      <c r="T83">
        <f>Constraint[[#This Row],[nx]]</f>
        <v>15</v>
      </c>
      <c r="U83">
        <v>7</v>
      </c>
    </row>
    <row r="84" spans="1:21" x14ac:dyDescent="0.3">
      <c r="A84">
        <v>0</v>
      </c>
      <c r="B84">
        <v>0</v>
      </c>
      <c r="C84">
        <v>0</v>
      </c>
      <c r="D84">
        <v>0</v>
      </c>
      <c r="E84">
        <v>2.5798807534727075E-14</v>
      </c>
      <c r="F84">
        <v>0</v>
      </c>
      <c r="G84">
        <v>-9.0301030541972693E-14</v>
      </c>
      <c r="H84">
        <v>0</v>
      </c>
      <c r="I84">
        <v>-8.5799423121812879E-14</v>
      </c>
      <c r="J84">
        <v>0</v>
      </c>
      <c r="K84">
        <v>-9.6899918644588467E-14</v>
      </c>
      <c r="L84">
        <v>-1.771083280033281E-12</v>
      </c>
      <c r="M84">
        <v>6.1991557720464385E-12</v>
      </c>
      <c r="N84">
        <v>5.8901182542481223E-12</v>
      </c>
      <c r="O84">
        <v>6.6521683994569258E-12</v>
      </c>
      <c r="P84" s="3">
        <v>3.5771979023738429E-12</v>
      </c>
      <c r="Q84" s="3">
        <v>0</v>
      </c>
      <c r="R84" s="3">
        <v>1.0271126732978293E-12</v>
      </c>
      <c r="S84" s="3">
        <v>0</v>
      </c>
      <c r="T84">
        <f>Constraint[[#This Row],[nx]]</f>
        <v>12</v>
      </c>
      <c r="U84">
        <v>7</v>
      </c>
    </row>
    <row r="85" spans="1:21" x14ac:dyDescent="0.3">
      <c r="A85">
        <v>0</v>
      </c>
      <c r="B85">
        <v>0</v>
      </c>
      <c r="C85">
        <v>0</v>
      </c>
      <c r="D85">
        <v>0</v>
      </c>
      <c r="E85">
        <v>-3.7600131341797294E-14</v>
      </c>
      <c r="F85">
        <v>0</v>
      </c>
      <c r="G85">
        <v>1.820071870994866E-14</v>
      </c>
      <c r="H85">
        <v>0</v>
      </c>
      <c r="I85">
        <v>1.2004286453759505E-15</v>
      </c>
      <c r="J85">
        <v>0</v>
      </c>
      <c r="K85">
        <v>-4.7000597858115611E-14</v>
      </c>
      <c r="L85">
        <v>2.5812407766778733E-12</v>
      </c>
      <c r="M85">
        <v>-1.2494779516591947E-12</v>
      </c>
      <c r="N85">
        <v>-8.2406304002802244E-14</v>
      </c>
      <c r="O85">
        <v>3.2265856653168612E-12</v>
      </c>
      <c r="P85" s="3">
        <v>3.7217952462470826E-12</v>
      </c>
      <c r="Q85" s="3">
        <v>0</v>
      </c>
      <c r="R85" s="3">
        <v>1.03467997902406E-12</v>
      </c>
      <c r="S85" s="3">
        <v>0</v>
      </c>
      <c r="T85">
        <f>Constraint[[#This Row],[nx]]</f>
        <v>9</v>
      </c>
      <c r="U85">
        <v>7</v>
      </c>
    </row>
    <row r="86" spans="1:21" x14ac:dyDescent="0.3">
      <c r="A86">
        <v>0</v>
      </c>
      <c r="B86">
        <v>0</v>
      </c>
      <c r="C86">
        <v>0</v>
      </c>
      <c r="D86">
        <v>0</v>
      </c>
      <c r="E86">
        <v>4.5800169212739661E-14</v>
      </c>
      <c r="F86">
        <v>0</v>
      </c>
      <c r="G86">
        <v>-1.8200024820558269E-13</v>
      </c>
      <c r="H86">
        <v>0</v>
      </c>
      <c r="I86">
        <v>-7.9970752242530807E-16</v>
      </c>
      <c r="J86">
        <v>0</v>
      </c>
      <c r="K86">
        <v>-1.5079951176666384E-13</v>
      </c>
      <c r="L86">
        <v>-3.144179361314059E-12</v>
      </c>
      <c r="M86">
        <v>1.2494296179263453E-11</v>
      </c>
      <c r="N86">
        <v>5.4900528567713991E-14</v>
      </c>
      <c r="O86">
        <v>1.0352369569227582E-11</v>
      </c>
      <c r="P86" s="3">
        <v>3.9750891846822566E-12</v>
      </c>
      <c r="Q86" s="3">
        <v>0</v>
      </c>
      <c r="R86" s="3">
        <v>1.0453700320842349E-12</v>
      </c>
      <c r="S86" s="3">
        <v>0</v>
      </c>
      <c r="T86">
        <f>Constraint[[#This Row],[nx]]</f>
        <v>6</v>
      </c>
      <c r="U86">
        <v>7</v>
      </c>
    </row>
    <row r="87" spans="1:21" x14ac:dyDescent="0.3">
      <c r="A87">
        <v>0</v>
      </c>
      <c r="B87">
        <v>0</v>
      </c>
      <c r="C87">
        <v>0</v>
      </c>
      <c r="D87">
        <v>0</v>
      </c>
      <c r="E87">
        <v>3.4200073328882752E-14</v>
      </c>
      <c r="F87">
        <v>0</v>
      </c>
      <c r="G87">
        <v>-6.5300195806194949E-14</v>
      </c>
      <c r="H87">
        <v>0</v>
      </c>
      <c r="I87">
        <v>-3.0600522116230877E-14</v>
      </c>
      <c r="J87">
        <v>0</v>
      </c>
      <c r="K87">
        <v>3.5006719745211967E-15</v>
      </c>
      <c r="L87">
        <v>-2.347830263538242E-12</v>
      </c>
      <c r="M87">
        <v>4.4828585288314571E-12</v>
      </c>
      <c r="N87">
        <v>2.1007223738322978E-12</v>
      </c>
      <c r="O87">
        <v>-2.4032165146792295E-13</v>
      </c>
      <c r="P87" s="3">
        <v>3.2970008443243599E-12</v>
      </c>
      <c r="Q87" s="3">
        <v>0</v>
      </c>
      <c r="R87" s="3">
        <v>9.7380165127221438E-13</v>
      </c>
      <c r="S87" s="3">
        <v>0</v>
      </c>
      <c r="T87">
        <f>Constraint[[#This Row],[nx]]</f>
        <v>120</v>
      </c>
      <c r="U87">
        <v>5</v>
      </c>
    </row>
    <row r="88" spans="1:21" x14ac:dyDescent="0.3">
      <c r="A88">
        <v>0</v>
      </c>
      <c r="B88">
        <v>0</v>
      </c>
      <c r="C88">
        <v>0</v>
      </c>
      <c r="D88">
        <v>0</v>
      </c>
      <c r="E88">
        <v>-6.4601102245376296E-14</v>
      </c>
      <c r="F88">
        <v>0</v>
      </c>
      <c r="G88">
        <v>3.2600658284032136E-14</v>
      </c>
      <c r="H88">
        <v>0</v>
      </c>
      <c r="I88">
        <v>-2.3200191767713818E-14</v>
      </c>
      <c r="J88">
        <v>0</v>
      </c>
      <c r="K88">
        <v>-2.3002433291452462E-15</v>
      </c>
      <c r="L88">
        <v>4.4348587302511788E-12</v>
      </c>
      <c r="M88">
        <v>-2.238029206402814E-12</v>
      </c>
      <c r="N88">
        <v>1.59269125665773E-12</v>
      </c>
      <c r="O88">
        <v>1.579153474651207E-13</v>
      </c>
      <c r="P88" s="3">
        <v>3.3001798953060737E-12</v>
      </c>
      <c r="Q88" s="3">
        <v>0</v>
      </c>
      <c r="R88" s="3">
        <v>9.7421444723128279E-13</v>
      </c>
      <c r="S88" s="3">
        <v>0</v>
      </c>
      <c r="T88">
        <f>Constraint[[#This Row],[nx]]</f>
        <v>102</v>
      </c>
      <c r="U88">
        <v>5</v>
      </c>
    </row>
    <row r="89" spans="1:21" x14ac:dyDescent="0.3">
      <c r="A89">
        <v>0</v>
      </c>
      <c r="B89">
        <v>0</v>
      </c>
      <c r="C89">
        <v>0</v>
      </c>
      <c r="D89">
        <v>0</v>
      </c>
      <c r="E89">
        <v>-3.6498581934552021E-14</v>
      </c>
      <c r="F89">
        <v>0</v>
      </c>
      <c r="G89">
        <v>3.7700745303403949E-14</v>
      </c>
      <c r="H89">
        <v>0</v>
      </c>
      <c r="I89">
        <v>-3.6901037780978641E-14</v>
      </c>
      <c r="J89">
        <v>0</v>
      </c>
      <c r="K89">
        <v>-4.3499925883594415E-14</v>
      </c>
      <c r="L89">
        <v>2.5056241803600443E-12</v>
      </c>
      <c r="M89">
        <v>-2.5881519150061649E-12</v>
      </c>
      <c r="N89">
        <v>2.5332513864384509E-12</v>
      </c>
      <c r="O89">
        <v>2.9862640138489382E-12</v>
      </c>
      <c r="P89" s="3">
        <v>3.3049660450801983E-12</v>
      </c>
      <c r="Q89" s="3">
        <v>0</v>
      </c>
      <c r="R89" s="3">
        <v>9.7534119382651001E-13</v>
      </c>
      <c r="S89" s="3">
        <v>0</v>
      </c>
      <c r="T89">
        <f>Constraint[[#This Row],[nx]]</f>
        <v>87</v>
      </c>
      <c r="U89">
        <v>5</v>
      </c>
    </row>
    <row r="90" spans="1:21" x14ac:dyDescent="0.3">
      <c r="A90">
        <v>0</v>
      </c>
      <c r="B90">
        <v>0</v>
      </c>
      <c r="C90">
        <v>0</v>
      </c>
      <c r="D90">
        <v>0</v>
      </c>
      <c r="E90">
        <v>-1.9500026593455289E-14</v>
      </c>
      <c r="F90">
        <v>0</v>
      </c>
      <c r="G90">
        <v>-4.3000325522513094E-14</v>
      </c>
      <c r="H90">
        <v>0</v>
      </c>
      <c r="I90">
        <v>9.0500523741710026E-14</v>
      </c>
      <c r="J90">
        <v>0</v>
      </c>
      <c r="K90">
        <v>2.9004576518332215E-15</v>
      </c>
      <c r="L90">
        <v>1.3386756980704462E-12</v>
      </c>
      <c r="M90">
        <v>2.9519720001758287E-12</v>
      </c>
      <c r="N90">
        <v>-6.2128496791657994E-12</v>
      </c>
      <c r="O90">
        <v>-1.9911849946652183E-13</v>
      </c>
      <c r="P90" s="3">
        <v>3.3126658872435909E-12</v>
      </c>
      <c r="Q90" s="3">
        <v>0</v>
      </c>
      <c r="R90" s="3">
        <v>9.7760113155534197E-13</v>
      </c>
      <c r="S90" s="3">
        <v>0</v>
      </c>
      <c r="T90">
        <f>Constraint[[#This Row],[nx]]</f>
        <v>72</v>
      </c>
      <c r="U90">
        <v>5</v>
      </c>
    </row>
    <row r="91" spans="1:21" x14ac:dyDescent="0.3">
      <c r="A91">
        <v>0</v>
      </c>
      <c r="B91">
        <v>0</v>
      </c>
      <c r="C91">
        <v>0</v>
      </c>
      <c r="D91">
        <v>0</v>
      </c>
      <c r="E91">
        <v>2.7500571264660323E-14</v>
      </c>
      <c r="F91">
        <v>0</v>
      </c>
      <c r="G91">
        <v>2.3200191767713818E-14</v>
      </c>
      <c r="H91">
        <v>0</v>
      </c>
      <c r="I91">
        <v>2.8201399548954953E-14</v>
      </c>
      <c r="J91">
        <v>0</v>
      </c>
      <c r="K91">
        <v>-1.890154699424329E-14</v>
      </c>
      <c r="L91">
        <v>-1.887910834608153E-12</v>
      </c>
      <c r="M91">
        <v>-1.5926843177638261E-12</v>
      </c>
      <c r="N91">
        <v>-1.9360207881291558E-12</v>
      </c>
      <c r="O91">
        <v>1.2975870378184595E-12</v>
      </c>
      <c r="P91" s="3">
        <v>3.3192616752207162E-12</v>
      </c>
      <c r="Q91" s="3">
        <v>0</v>
      </c>
      <c r="R91" s="3">
        <v>9.7972398843113867E-13</v>
      </c>
      <c r="S91" s="3">
        <v>0</v>
      </c>
      <c r="T91">
        <f>Constraint[[#This Row],[nx]]</f>
        <v>63</v>
      </c>
      <c r="U91">
        <v>5</v>
      </c>
    </row>
    <row r="92" spans="1:21" x14ac:dyDescent="0.3">
      <c r="A92">
        <v>0</v>
      </c>
      <c r="B92">
        <v>0</v>
      </c>
      <c r="C92">
        <v>0</v>
      </c>
      <c r="D92">
        <v>0</v>
      </c>
      <c r="E92">
        <v>2.2001497845813844E-14</v>
      </c>
      <c r="F92">
        <v>0</v>
      </c>
      <c r="G92">
        <v>1.3900339213002155E-14</v>
      </c>
      <c r="H92">
        <v>0</v>
      </c>
      <c r="I92">
        <v>3.009918703167358E-14</v>
      </c>
      <c r="J92">
        <v>0</v>
      </c>
      <c r="K92">
        <v>5.2007009809784677E-15</v>
      </c>
      <c r="L92">
        <v>-1.5104003117660803E-12</v>
      </c>
      <c r="M92">
        <v>-9.5425750634703377E-13</v>
      </c>
      <c r="N92">
        <v>-2.0663054600689179E-12</v>
      </c>
      <c r="O92">
        <v>-3.5701996914383471E-13</v>
      </c>
      <c r="P92" s="3">
        <v>3.3279657994199743E-12</v>
      </c>
      <c r="Q92" s="3">
        <v>0</v>
      </c>
      <c r="R92" s="3">
        <v>9.8260122116389152E-13</v>
      </c>
      <c r="S92" s="3">
        <v>0</v>
      </c>
      <c r="T92">
        <f>Constraint[[#This Row],[nx]]</f>
        <v>54</v>
      </c>
      <c r="U92">
        <v>5</v>
      </c>
    </row>
    <row r="93" spans="1:21" x14ac:dyDescent="0.3">
      <c r="A93">
        <v>0</v>
      </c>
      <c r="B93">
        <v>0</v>
      </c>
      <c r="C93">
        <v>0</v>
      </c>
      <c r="D93">
        <v>0</v>
      </c>
      <c r="E93">
        <v>-2.8000171625741643E-14</v>
      </c>
      <c r="F93">
        <v>0</v>
      </c>
      <c r="G93">
        <v>5.9398666540921852E-14</v>
      </c>
      <c r="H93">
        <v>0</v>
      </c>
      <c r="I93">
        <v>-2.4600113612827101E-14</v>
      </c>
      <c r="J93">
        <v>0</v>
      </c>
      <c r="K93">
        <v>3.0010716134398763E-16</v>
      </c>
      <c r="L93">
        <v>1.9222084861325595E-12</v>
      </c>
      <c r="M93">
        <v>-4.0777103915701218E-12</v>
      </c>
      <c r="N93">
        <v>1.6887949372268451E-12</v>
      </c>
      <c r="O93">
        <v>-2.0594637106796654E-14</v>
      </c>
      <c r="P93" s="3">
        <v>3.3398383221009786E-12</v>
      </c>
      <c r="Q93" s="3">
        <v>0</v>
      </c>
      <c r="R93" s="3">
        <v>9.8642286361588865E-13</v>
      </c>
      <c r="S93" s="3">
        <v>0</v>
      </c>
      <c r="T93">
        <f>Constraint[[#This Row],[nx]]</f>
        <v>45</v>
      </c>
      <c r="U93">
        <v>5</v>
      </c>
    </row>
    <row r="94" spans="1:21" x14ac:dyDescent="0.3">
      <c r="A94">
        <v>0</v>
      </c>
      <c r="B94">
        <v>0</v>
      </c>
      <c r="C94">
        <v>0</v>
      </c>
      <c r="D94">
        <v>0</v>
      </c>
      <c r="E94">
        <v>-1.0500281200087613E-14</v>
      </c>
      <c r="F94">
        <v>0</v>
      </c>
      <c r="G94">
        <v>1.3900339213002155E-14</v>
      </c>
      <c r="H94">
        <v>0</v>
      </c>
      <c r="I94">
        <v>4.3499925883594415E-14</v>
      </c>
      <c r="J94">
        <v>0</v>
      </c>
      <c r="K94">
        <v>-3.1700336800000173E-14</v>
      </c>
      <c r="L94">
        <v>7.2084309007958147E-13</v>
      </c>
      <c r="M94">
        <v>-9.5425750634703377E-13</v>
      </c>
      <c r="N94">
        <v>-2.9862674832958902E-12</v>
      </c>
      <c r="O94">
        <v>2.1762175395068084E-12</v>
      </c>
      <c r="P94" s="3">
        <v>3.3506450838935277E-12</v>
      </c>
      <c r="Q94" s="3">
        <v>0</v>
      </c>
      <c r="R94" s="3">
        <v>9.8962890891106534E-13</v>
      </c>
      <c r="S94" s="3">
        <v>0</v>
      </c>
      <c r="T94">
        <f>Constraint[[#This Row],[nx]]</f>
        <v>39</v>
      </c>
      <c r="U94">
        <v>5</v>
      </c>
    </row>
    <row r="95" spans="1:21" x14ac:dyDescent="0.3">
      <c r="A95">
        <v>0</v>
      </c>
      <c r="B95">
        <v>0</v>
      </c>
      <c r="C95">
        <v>0</v>
      </c>
      <c r="D95">
        <v>0</v>
      </c>
      <c r="E95">
        <v>-3.9300160348254565E-14</v>
      </c>
      <c r="F95">
        <v>0</v>
      </c>
      <c r="G95">
        <v>9.7994529157929833E-15</v>
      </c>
      <c r="H95">
        <v>0</v>
      </c>
      <c r="I95">
        <v>1.8499091147816671E-14</v>
      </c>
      <c r="J95">
        <v>0</v>
      </c>
      <c r="K95">
        <v>-1.330012489031418E-14</v>
      </c>
      <c r="L95">
        <v>2.6979512374181169E-12</v>
      </c>
      <c r="M95">
        <v>-6.7272576398380579E-13</v>
      </c>
      <c r="N95">
        <v>-1.2699598317400529E-12</v>
      </c>
      <c r="O95">
        <v>9.1305435434563265E-13</v>
      </c>
      <c r="P95" s="3">
        <v>3.3655805620974549E-12</v>
      </c>
      <c r="Q95" s="3">
        <v>0</v>
      </c>
      <c r="R95" s="3">
        <v>9.9351994006862961E-13</v>
      </c>
      <c r="S95" s="3">
        <v>0</v>
      </c>
      <c r="T95">
        <f>Constraint[[#This Row],[nx]]</f>
        <v>33</v>
      </c>
      <c r="U95">
        <v>5</v>
      </c>
    </row>
    <row r="96" spans="1:21" x14ac:dyDescent="0.3">
      <c r="A96">
        <v>0</v>
      </c>
      <c r="B96">
        <v>0</v>
      </c>
      <c r="C96">
        <v>0</v>
      </c>
      <c r="D96">
        <v>0</v>
      </c>
      <c r="E96">
        <v>1.5799861419196759E-14</v>
      </c>
      <c r="F96">
        <v>0</v>
      </c>
      <c r="G96">
        <v>-2.5399821135252409E-14</v>
      </c>
      <c r="H96">
        <v>0</v>
      </c>
      <c r="I96">
        <v>-2.5699928296596397E-14</v>
      </c>
      <c r="J96">
        <v>0</v>
      </c>
      <c r="K96">
        <v>4.90059381963448E-15</v>
      </c>
      <c r="L96">
        <v>-1.0846601394831623E-12</v>
      </c>
      <c r="M96">
        <v>1.7436954657945591E-12</v>
      </c>
      <c r="N96">
        <v>1.7642970417952597E-12</v>
      </c>
      <c r="O96">
        <v>-3.3642533203703806E-13</v>
      </c>
      <c r="P96" s="3">
        <v>3.3883375901541325E-12</v>
      </c>
      <c r="Q96" s="3">
        <v>0</v>
      </c>
      <c r="R96" s="3">
        <v>9.9835843477011607E-13</v>
      </c>
      <c r="S96" s="3">
        <v>0</v>
      </c>
      <c r="T96">
        <f>Constraint[[#This Row],[nx]]</f>
        <v>27</v>
      </c>
      <c r="U96">
        <v>5</v>
      </c>
    </row>
    <row r="97" spans="1:21" x14ac:dyDescent="0.3">
      <c r="A97">
        <v>0</v>
      </c>
      <c r="B97">
        <v>0</v>
      </c>
      <c r="C97">
        <v>0</v>
      </c>
      <c r="D97">
        <v>0</v>
      </c>
      <c r="E97">
        <v>3.2994440513078871E-15</v>
      </c>
      <c r="F97">
        <v>0</v>
      </c>
      <c r="G97">
        <v>4.100886297209172E-15</v>
      </c>
      <c r="H97">
        <v>0</v>
      </c>
      <c r="I97">
        <v>-1.6998555341096733E-14</v>
      </c>
      <c r="J97">
        <v>0</v>
      </c>
      <c r="K97">
        <v>-8.3995310706797E-15</v>
      </c>
      <c r="L97">
        <v>-2.2650631370524366E-13</v>
      </c>
      <c r="M97">
        <v>-2.8152480346932407E-13</v>
      </c>
      <c r="N97">
        <v>1.1669502170130741E-12</v>
      </c>
      <c r="O97">
        <v>5.7662902230859459E-13</v>
      </c>
      <c r="P97" s="3">
        <v>3.4050887300040235E-12</v>
      </c>
      <c r="Q97" s="3">
        <v>0</v>
      </c>
      <c r="R97" s="3">
        <v>1.0012826125542539E-12</v>
      </c>
      <c r="S97" s="3">
        <v>0</v>
      </c>
      <c r="T97">
        <f>Constraint[[#This Row],[nx]]</f>
        <v>24</v>
      </c>
      <c r="U97">
        <v>5</v>
      </c>
    </row>
    <row r="98" spans="1:21" x14ac:dyDescent="0.3">
      <c r="A98">
        <v>0</v>
      </c>
      <c r="B98">
        <v>0</v>
      </c>
      <c r="C98">
        <v>0</v>
      </c>
      <c r="D98">
        <v>0</v>
      </c>
      <c r="E98">
        <v>-2.6000035457940385E-14</v>
      </c>
      <c r="F98">
        <v>0</v>
      </c>
      <c r="G98">
        <v>-1.3100631690576847E-14</v>
      </c>
      <c r="H98">
        <v>0</v>
      </c>
      <c r="I98">
        <v>-4.2500725161431774E-14</v>
      </c>
      <c r="J98">
        <v>0</v>
      </c>
      <c r="K98">
        <v>6.699502064222429E-15</v>
      </c>
      <c r="L98">
        <v>1.7848986177959603E-12</v>
      </c>
      <c r="M98">
        <v>8.9935697777931978E-13</v>
      </c>
      <c r="N98">
        <v>2.9176704455236013E-12</v>
      </c>
      <c r="O98">
        <v>-4.5992376573877891E-13</v>
      </c>
      <c r="P98" s="3">
        <v>3.4280590098769074E-12</v>
      </c>
      <c r="Q98" s="3">
        <v>0</v>
      </c>
      <c r="R98" s="3">
        <v>1.0046841876794125E-12</v>
      </c>
      <c r="S98" s="3">
        <v>0</v>
      </c>
      <c r="T98">
        <f>Constraint[[#This Row],[nx]]</f>
        <v>21</v>
      </c>
      <c r="U98">
        <v>5</v>
      </c>
    </row>
    <row r="99" spans="1:21" x14ac:dyDescent="0.3">
      <c r="A99">
        <v>0</v>
      </c>
      <c r="B99">
        <v>0</v>
      </c>
      <c r="C99">
        <v>0</v>
      </c>
      <c r="D99">
        <v>0</v>
      </c>
      <c r="E99">
        <v>3.0701136077837532E-14</v>
      </c>
      <c r="F99">
        <v>0</v>
      </c>
      <c r="G99">
        <v>-2.0499227315617929E-14</v>
      </c>
      <c r="H99">
        <v>0</v>
      </c>
      <c r="I99">
        <v>7.5998235482543919E-15</v>
      </c>
      <c r="J99">
        <v>0</v>
      </c>
      <c r="K99">
        <v>-2.0100240916143264E-14</v>
      </c>
      <c r="L99">
        <v>-2.1076265732666855E-12</v>
      </c>
      <c r="M99">
        <v>1.4072701337575211E-12</v>
      </c>
      <c r="N99">
        <v>-5.2172675901740462E-13</v>
      </c>
      <c r="O99">
        <v>1.3798823195187992E-12</v>
      </c>
      <c r="P99" s="3">
        <v>3.4610932968013685E-12</v>
      </c>
      <c r="Q99" s="3">
        <v>0</v>
      </c>
      <c r="R99" s="3">
        <v>1.0087437510131231E-12</v>
      </c>
      <c r="S99" s="3">
        <v>0</v>
      </c>
      <c r="T99">
        <f>Constraint[[#This Row],[nx]]</f>
        <v>18</v>
      </c>
      <c r="U99">
        <v>5</v>
      </c>
    </row>
    <row r="100" spans="1:21" x14ac:dyDescent="0.3">
      <c r="A100">
        <v>0</v>
      </c>
      <c r="B100">
        <v>0</v>
      </c>
      <c r="C100">
        <v>0</v>
      </c>
      <c r="D100">
        <v>0</v>
      </c>
      <c r="E100">
        <v>-6.699502064222429E-15</v>
      </c>
      <c r="F100">
        <v>0</v>
      </c>
      <c r="G100">
        <v>-1.4798925973558141E-14</v>
      </c>
      <c r="H100">
        <v>0</v>
      </c>
      <c r="I100">
        <v>-1.8006429680639258E-15</v>
      </c>
      <c r="J100">
        <v>0</v>
      </c>
      <c r="K100">
        <v>5.2900392399912732E-14</v>
      </c>
      <c r="L100">
        <v>4.59916826844875E-13</v>
      </c>
      <c r="M100">
        <v>1.015947742599721E-12</v>
      </c>
      <c r="N100">
        <v>1.236146601746313E-13</v>
      </c>
      <c r="O100">
        <v>-3.6316054330409742E-12</v>
      </c>
      <c r="P100" s="3">
        <v>3.5112979118844878E-12</v>
      </c>
      <c r="Q100" s="3">
        <v>0</v>
      </c>
      <c r="R100" s="3">
        <v>1.013762967251943E-12</v>
      </c>
      <c r="S100" s="3">
        <v>0</v>
      </c>
      <c r="T100">
        <f>Constraint[[#This Row],[nx]]</f>
        <v>15</v>
      </c>
      <c r="U100">
        <v>5</v>
      </c>
    </row>
    <row r="101" spans="1:21" x14ac:dyDescent="0.3">
      <c r="A101">
        <v>0</v>
      </c>
      <c r="B101">
        <v>0</v>
      </c>
      <c r="C101">
        <v>0</v>
      </c>
      <c r="D101">
        <v>0</v>
      </c>
      <c r="E101">
        <v>-4.0000988632549195E-14</v>
      </c>
      <c r="F101">
        <v>0</v>
      </c>
      <c r="G101">
        <v>-5.2007009809784677E-15</v>
      </c>
      <c r="H101">
        <v>0</v>
      </c>
      <c r="I101">
        <v>-3.969914674772923E-14</v>
      </c>
      <c r="J101">
        <v>0</v>
      </c>
      <c r="K101">
        <v>1.4399939574083476E-14</v>
      </c>
      <c r="L101">
        <v>2.7460672624712856E-12</v>
      </c>
      <c r="M101">
        <v>3.5702690803773862E-13</v>
      </c>
      <c r="N101">
        <v>2.7253442558272667E-12</v>
      </c>
      <c r="O101">
        <v>-9.8855298946709524E-13</v>
      </c>
      <c r="P101" s="3">
        <v>3.5925896958758507E-12</v>
      </c>
      <c r="Q101" s="3">
        <v>0</v>
      </c>
      <c r="R101" s="3">
        <v>1.020288647792272E-12</v>
      </c>
      <c r="S101" s="3">
        <v>0</v>
      </c>
      <c r="T101">
        <f>Constraint[[#This Row],[nx]]</f>
        <v>12</v>
      </c>
      <c r="U101">
        <v>5</v>
      </c>
    </row>
    <row r="102" spans="1:21" x14ac:dyDescent="0.3">
      <c r="A102">
        <v>0</v>
      </c>
      <c r="B102">
        <v>0</v>
      </c>
      <c r="C102">
        <v>0</v>
      </c>
      <c r="D102">
        <v>0</v>
      </c>
      <c r="E102">
        <v>1.4099832412739488E-14</v>
      </c>
      <c r="F102">
        <v>0</v>
      </c>
      <c r="G102">
        <v>3.2999644683506801E-14</v>
      </c>
      <c r="H102">
        <v>0</v>
      </c>
      <c r="I102">
        <v>-4.060120295523717E-14</v>
      </c>
      <c r="J102">
        <v>0</v>
      </c>
      <c r="K102">
        <v>-1.2399803406282217E-14</v>
      </c>
      <c r="L102">
        <v>-9.6794794401944273E-13</v>
      </c>
      <c r="M102">
        <v>-2.2654222248119638E-12</v>
      </c>
      <c r="N102">
        <v>2.7872704144726868E-12</v>
      </c>
      <c r="O102">
        <v>8.5124442217310303E-13</v>
      </c>
      <c r="P102" s="3">
        <v>3.7331922013223676E-12</v>
      </c>
      <c r="Q102" s="3">
        <v>0</v>
      </c>
      <c r="R102" s="3">
        <v>1.0293585490084652E-12</v>
      </c>
      <c r="S102" s="3">
        <v>0</v>
      </c>
      <c r="T102">
        <f>Constraint[[#This Row],[nx]]</f>
        <v>9</v>
      </c>
      <c r="U102">
        <v>5</v>
      </c>
    </row>
    <row r="103" spans="1:21" x14ac:dyDescent="0.3">
      <c r="A103">
        <v>0</v>
      </c>
      <c r="B103">
        <v>0</v>
      </c>
      <c r="C103">
        <v>0</v>
      </c>
      <c r="D103">
        <v>0</v>
      </c>
      <c r="E103">
        <v>-2.3800406090401793E-14</v>
      </c>
      <c r="F103">
        <v>0</v>
      </c>
      <c r="G103">
        <v>-3.9300160348254565E-14</v>
      </c>
      <c r="H103">
        <v>0</v>
      </c>
      <c r="I103">
        <v>3.6000716296946678E-14</v>
      </c>
      <c r="J103">
        <v>0</v>
      </c>
      <c r="K103">
        <v>3.5199274051045393E-14</v>
      </c>
      <c r="L103">
        <v>1.6338874697652273E-12</v>
      </c>
      <c r="M103">
        <v>2.6979514542585514E-12</v>
      </c>
      <c r="N103">
        <v>-2.4714535973302532E-12</v>
      </c>
      <c r="O103">
        <v>-2.4164262171083584E-12</v>
      </c>
      <c r="P103" s="3">
        <v>3.9812087462488977E-12</v>
      </c>
      <c r="Q103" s="3">
        <v>0</v>
      </c>
      <c r="R103" s="3">
        <v>1.0417915811381946E-12</v>
      </c>
      <c r="S103" s="3">
        <v>0</v>
      </c>
      <c r="T103">
        <f>Constraint[[#This Row],[nx]]</f>
        <v>6</v>
      </c>
      <c r="U103">
        <v>5</v>
      </c>
    </row>
    <row r="104" spans="1:21" x14ac:dyDescent="0.3">
      <c r="A104">
        <v>0</v>
      </c>
      <c r="B104">
        <v>0</v>
      </c>
      <c r="C104">
        <v>0</v>
      </c>
      <c r="D104">
        <v>0</v>
      </c>
      <c r="E104">
        <v>-9.1499724463872667E-14</v>
      </c>
      <c r="F104">
        <v>0</v>
      </c>
      <c r="G104">
        <v>5.390132784555135E-14</v>
      </c>
      <c r="H104">
        <v>0</v>
      </c>
      <c r="I104">
        <v>6.4000887922688321E-14</v>
      </c>
      <c r="J104">
        <v>0</v>
      </c>
      <c r="K104">
        <v>-6.7199718012389553E-14</v>
      </c>
      <c r="L104">
        <v>6.2814441148528743E-12</v>
      </c>
      <c r="M104">
        <v>-3.7003178299244155E-12</v>
      </c>
      <c r="N104">
        <v>-4.3936521088028258E-12</v>
      </c>
      <c r="O104">
        <v>4.6132542230736817E-12</v>
      </c>
      <c r="P104" s="3">
        <v>3.3055732311793145E-12</v>
      </c>
      <c r="Q104" s="3">
        <v>0</v>
      </c>
      <c r="R104" s="3">
        <v>9.5961989956039414E-13</v>
      </c>
      <c r="S104" s="3">
        <v>0</v>
      </c>
      <c r="T104">
        <f>Constraint[[#This Row],[nx]]</f>
        <v>120</v>
      </c>
      <c r="U104">
        <v>4</v>
      </c>
    </row>
    <row r="105" spans="1:21" x14ac:dyDescent="0.3">
      <c r="A105">
        <v>0</v>
      </c>
      <c r="B105">
        <v>0</v>
      </c>
      <c r="C105">
        <v>0</v>
      </c>
      <c r="D105">
        <v>0</v>
      </c>
      <c r="E105">
        <v>-1.5100767858378106E-14</v>
      </c>
      <c r="F105">
        <v>0</v>
      </c>
      <c r="G105">
        <v>-1.1896733598248943E-14</v>
      </c>
      <c r="H105">
        <v>0</v>
      </c>
      <c r="I105">
        <v>-7.0400282825566762E-14</v>
      </c>
      <c r="J105">
        <v>0</v>
      </c>
      <c r="K105">
        <v>2.3699792128795139E-14</v>
      </c>
      <c r="L105">
        <v>1.036665545073312E-12</v>
      </c>
      <c r="M105">
        <v>8.1670781248988078E-13</v>
      </c>
      <c r="N105">
        <v>4.8329673596470002E-12</v>
      </c>
      <c r="O105">
        <v>-1.6269902092247435E-12</v>
      </c>
      <c r="P105" s="3">
        <v>3.3068117623089325E-12</v>
      </c>
      <c r="Q105" s="3">
        <v>0</v>
      </c>
      <c r="R105" s="3">
        <v>9.5882357369849087E-13</v>
      </c>
      <c r="S105" s="3">
        <v>0</v>
      </c>
      <c r="T105">
        <f>Constraint[[#This Row],[nx]]</f>
        <v>102</v>
      </c>
      <c r="U105">
        <v>4</v>
      </c>
    </row>
    <row r="106" spans="1:21" x14ac:dyDescent="0.3">
      <c r="A106">
        <v>0</v>
      </c>
      <c r="B106">
        <v>0</v>
      </c>
      <c r="C106">
        <v>0</v>
      </c>
      <c r="D106">
        <v>0</v>
      </c>
      <c r="E106">
        <v>-2.4801341536040411E-14</v>
      </c>
      <c r="F106">
        <v>0</v>
      </c>
      <c r="G106">
        <v>-9.5298768876261875E-14</v>
      </c>
      <c r="H106">
        <v>0</v>
      </c>
      <c r="I106">
        <v>6.8001160258290838E-15</v>
      </c>
      <c r="J106">
        <v>0</v>
      </c>
      <c r="K106">
        <v>5.1299242631586139E-14</v>
      </c>
      <c r="L106">
        <v>1.7026085402660485E-12</v>
      </c>
      <c r="M106">
        <v>6.5422528505720834E-12</v>
      </c>
      <c r="N106">
        <v>-4.668279651731666E-13</v>
      </c>
      <c r="O106">
        <v>-3.5216968230500356E-12</v>
      </c>
      <c r="P106" s="3">
        <v>3.3104490534419988E-12</v>
      </c>
      <c r="Q106" s="3">
        <v>0</v>
      </c>
      <c r="R106" s="3">
        <v>9.5892931883023293E-13</v>
      </c>
      <c r="S106" s="3">
        <v>0</v>
      </c>
      <c r="T106">
        <f>Constraint[[#This Row],[nx]]</f>
        <v>87</v>
      </c>
      <c r="U106">
        <v>4</v>
      </c>
    </row>
    <row r="107" spans="1:21" x14ac:dyDescent="0.3">
      <c r="A107">
        <v>0</v>
      </c>
      <c r="B107">
        <v>0</v>
      </c>
      <c r="C107">
        <v>0</v>
      </c>
      <c r="D107">
        <v>0</v>
      </c>
      <c r="E107">
        <v>2.0398613354011275E-14</v>
      </c>
      <c r="F107">
        <v>0</v>
      </c>
      <c r="G107">
        <v>-3.9000053186910577E-14</v>
      </c>
      <c r="H107">
        <v>0</v>
      </c>
      <c r="I107">
        <v>9.5499996799475184E-14</v>
      </c>
      <c r="J107">
        <v>0</v>
      </c>
      <c r="K107">
        <v>1.609823385706477E-14</v>
      </c>
      <c r="L107">
        <v>-1.4003624648761814E-12</v>
      </c>
      <c r="M107">
        <v>2.6773444572469884E-12</v>
      </c>
      <c r="N107">
        <v>-6.5560612494408588E-12</v>
      </c>
      <c r="O107">
        <v>-1.1051437542874964E-12</v>
      </c>
      <c r="P107" s="3">
        <v>3.3180894039298201E-12</v>
      </c>
      <c r="Q107" s="3">
        <v>0</v>
      </c>
      <c r="R107" s="3">
        <v>9.6040045095118408E-13</v>
      </c>
      <c r="S107" s="3">
        <v>0</v>
      </c>
      <c r="T107">
        <f>Constraint[[#This Row],[nx]]</f>
        <v>72</v>
      </c>
      <c r="U107">
        <v>4</v>
      </c>
    </row>
    <row r="108" spans="1:21" x14ac:dyDescent="0.3">
      <c r="A108">
        <v>0</v>
      </c>
      <c r="B108">
        <v>0</v>
      </c>
      <c r="C108">
        <v>0</v>
      </c>
      <c r="D108">
        <v>0</v>
      </c>
      <c r="E108">
        <v>-7.1002231871730714E-15</v>
      </c>
      <c r="F108">
        <v>0</v>
      </c>
      <c r="G108">
        <v>-3.7300024180453306E-14</v>
      </c>
      <c r="H108">
        <v>0</v>
      </c>
      <c r="I108">
        <v>-1.3000017728970192E-14</v>
      </c>
      <c r="J108">
        <v>0</v>
      </c>
      <c r="K108">
        <v>1.8599705109423326E-14</v>
      </c>
      <c r="L108">
        <v>4.8742954117386716E-13</v>
      </c>
      <c r="M108">
        <v>2.5606322617832689E-12</v>
      </c>
      <c r="N108">
        <v>8.9245277834493209E-13</v>
      </c>
      <c r="O108">
        <v>-1.2768675006213925E-12</v>
      </c>
      <c r="P108" s="3">
        <v>3.3255565049728683E-12</v>
      </c>
      <c r="Q108" s="3">
        <v>0</v>
      </c>
      <c r="R108" s="3">
        <v>9.6234447195030693E-13</v>
      </c>
      <c r="S108" s="3">
        <v>0</v>
      </c>
      <c r="T108">
        <f>Constraint[[#This Row],[nx]]</f>
        <v>63</v>
      </c>
      <c r="U108">
        <v>4</v>
      </c>
    </row>
    <row r="109" spans="1:21" x14ac:dyDescent="0.3">
      <c r="A109">
        <v>0</v>
      </c>
      <c r="B109">
        <v>0</v>
      </c>
      <c r="C109">
        <v>0</v>
      </c>
      <c r="D109">
        <v>0</v>
      </c>
      <c r="E109">
        <v>2.0199120154273942E-14</v>
      </c>
      <c r="F109">
        <v>0</v>
      </c>
      <c r="G109">
        <v>-4.9800441548342178E-14</v>
      </c>
      <c r="H109">
        <v>0</v>
      </c>
      <c r="I109">
        <v>2.8900493109773606E-14</v>
      </c>
      <c r="J109">
        <v>0</v>
      </c>
      <c r="K109">
        <v>-1.4301060335952798E-14</v>
      </c>
      <c r="L109">
        <v>-1.3866672567142135E-12</v>
      </c>
      <c r="M109">
        <v>3.4187930264550914E-12</v>
      </c>
      <c r="N109">
        <v>-1.9840101783685782E-12</v>
      </c>
      <c r="O109">
        <v>9.8177022067602593E-13</v>
      </c>
      <c r="P109" s="3">
        <v>3.3360760862758044E-12</v>
      </c>
      <c r="Q109" s="3">
        <v>0</v>
      </c>
      <c r="R109" s="3">
        <v>9.6543672648189417E-13</v>
      </c>
      <c r="S109" s="3">
        <v>0</v>
      </c>
      <c r="T109">
        <f>Constraint[[#This Row],[nx]]</f>
        <v>54</v>
      </c>
      <c r="U109">
        <v>4</v>
      </c>
    </row>
    <row r="110" spans="1:21" x14ac:dyDescent="0.3">
      <c r="A110">
        <v>0</v>
      </c>
      <c r="B110">
        <v>0</v>
      </c>
      <c r="C110">
        <v>0</v>
      </c>
      <c r="D110">
        <v>0</v>
      </c>
      <c r="E110">
        <v>-2.7601185226266978E-14</v>
      </c>
      <c r="F110">
        <v>0</v>
      </c>
      <c r="G110">
        <v>-2.7998436902265667E-15</v>
      </c>
      <c r="H110">
        <v>0</v>
      </c>
      <c r="I110">
        <v>4.7999798580278252E-15</v>
      </c>
      <c r="J110">
        <v>0</v>
      </c>
      <c r="K110">
        <v>1.7302131949392674E-14</v>
      </c>
      <c r="L110">
        <v>1.8948185034894927E-12</v>
      </c>
      <c r="M110">
        <v>1.9222123892603804E-13</v>
      </c>
      <c r="N110">
        <v>-3.2951766315569841E-13</v>
      </c>
      <c r="O110">
        <v>-1.1877998584708394E-12</v>
      </c>
      <c r="P110" s="3">
        <v>3.3508172752501867E-12</v>
      </c>
      <c r="Q110" s="3">
        <v>0</v>
      </c>
      <c r="R110" s="3">
        <v>9.7003273164801768E-13</v>
      </c>
      <c r="S110" s="3">
        <v>0</v>
      </c>
      <c r="T110">
        <f>Constraint[[#This Row],[nx]]</f>
        <v>45</v>
      </c>
      <c r="U110">
        <v>4</v>
      </c>
    </row>
    <row r="111" spans="1:21" x14ac:dyDescent="0.3">
      <c r="A111">
        <v>0</v>
      </c>
      <c r="B111">
        <v>0</v>
      </c>
      <c r="C111">
        <v>0</v>
      </c>
      <c r="D111">
        <v>0</v>
      </c>
      <c r="E111">
        <v>7.4992095866477371E-15</v>
      </c>
      <c r="F111">
        <v>0</v>
      </c>
      <c r="G111">
        <v>-2.4799606812564434E-14</v>
      </c>
      <c r="H111">
        <v>0</v>
      </c>
      <c r="I111">
        <v>-2.499736528882579E-15</v>
      </c>
      <c r="J111">
        <v>0</v>
      </c>
      <c r="K111">
        <v>-3.9898639947466563E-16</v>
      </c>
      <c r="L111">
        <v>-5.1481995749780296E-13</v>
      </c>
      <c r="M111">
        <v>1.7024992526870619E-12</v>
      </c>
      <c r="N111">
        <v>1.7160578513752967E-13</v>
      </c>
      <c r="O111">
        <v>2.7394753132625738E-14</v>
      </c>
      <c r="P111" s="3">
        <v>3.3640410956759312E-12</v>
      </c>
      <c r="Q111" s="3">
        <v>0</v>
      </c>
      <c r="R111" s="3">
        <v>9.7413625303715375E-13</v>
      </c>
      <c r="S111" s="3">
        <v>0</v>
      </c>
      <c r="T111">
        <f>Constraint[[#This Row],[nx]]</f>
        <v>39</v>
      </c>
      <c r="U111">
        <v>4</v>
      </c>
    </row>
    <row r="112" spans="1:21" x14ac:dyDescent="0.3">
      <c r="A112">
        <v>0</v>
      </c>
      <c r="B112">
        <v>0</v>
      </c>
      <c r="C112">
        <v>0</v>
      </c>
      <c r="D112">
        <v>0</v>
      </c>
      <c r="E112">
        <v>-8.3006518325490219E-15</v>
      </c>
      <c r="F112">
        <v>0</v>
      </c>
      <c r="G112">
        <v>-1.7699383625391363E-14</v>
      </c>
      <c r="H112">
        <v>0</v>
      </c>
      <c r="I112">
        <v>1.309889696710087E-14</v>
      </c>
      <c r="J112">
        <v>0</v>
      </c>
      <c r="K112">
        <v>-1.120284420785822E-14</v>
      </c>
      <c r="L112">
        <v>5.6983931462362136E-13</v>
      </c>
      <c r="M112">
        <v>1.2150697115131948E-12</v>
      </c>
      <c r="N112">
        <v>-8.9923901658295335E-13</v>
      </c>
      <c r="O112">
        <v>7.6907924473346156E-13</v>
      </c>
      <c r="P112" s="3">
        <v>3.3815692649122869E-12</v>
      </c>
      <c r="Q112" s="3">
        <v>0</v>
      </c>
      <c r="R112" s="3">
        <v>9.7925407977447036E-13</v>
      </c>
      <c r="S112" s="3">
        <v>0</v>
      </c>
      <c r="T112">
        <f>Constraint[[#This Row],[nx]]</f>
        <v>33</v>
      </c>
      <c r="U112">
        <v>4</v>
      </c>
    </row>
    <row r="113" spans="1:21" x14ac:dyDescent="0.3">
      <c r="A113">
        <v>0</v>
      </c>
      <c r="B113">
        <v>0</v>
      </c>
      <c r="C113">
        <v>0</v>
      </c>
      <c r="D113">
        <v>0</v>
      </c>
      <c r="E113">
        <v>-3.4000580129145419E-15</v>
      </c>
      <c r="F113">
        <v>0</v>
      </c>
      <c r="G113">
        <v>3.0999508515705543E-15</v>
      </c>
      <c r="H113">
        <v>0</v>
      </c>
      <c r="I113">
        <v>2.0599841277224584E-14</v>
      </c>
      <c r="J113">
        <v>0</v>
      </c>
      <c r="K113">
        <v>1.0901002323038256E-14</v>
      </c>
      <c r="L113">
        <v>2.334139825865833E-13</v>
      </c>
      <c r="M113">
        <v>-2.1281587603283469E-13</v>
      </c>
      <c r="N113">
        <v>-1.4141743331919088E-12</v>
      </c>
      <c r="O113">
        <v>-7.4834582974858677E-13</v>
      </c>
      <c r="P113" s="3">
        <v>3.4066706576096796E-12</v>
      </c>
      <c r="Q113" s="3">
        <v>0</v>
      </c>
      <c r="R113" s="3">
        <v>9.8564314539593213E-13</v>
      </c>
      <c r="S113" s="3">
        <v>0</v>
      </c>
      <c r="T113">
        <f>Constraint[[#This Row],[nx]]</f>
        <v>27</v>
      </c>
      <c r="U113">
        <v>4</v>
      </c>
    </row>
    <row r="114" spans="1:21" x14ac:dyDescent="0.3">
      <c r="A114">
        <v>0</v>
      </c>
      <c r="B114">
        <v>0</v>
      </c>
      <c r="C114">
        <v>0</v>
      </c>
      <c r="D114">
        <v>0</v>
      </c>
      <c r="E114">
        <v>1.2993078835066285E-15</v>
      </c>
      <c r="F114">
        <v>0</v>
      </c>
      <c r="G114">
        <v>5.7003013420597881E-15</v>
      </c>
      <c r="H114">
        <v>0</v>
      </c>
      <c r="I114">
        <v>-1.9949319973733282E-16</v>
      </c>
      <c r="J114">
        <v>0</v>
      </c>
      <c r="K114">
        <v>-7.8999307095983795E-15</v>
      </c>
      <c r="L114">
        <v>-8.9199481134727421E-14</v>
      </c>
      <c r="M114">
        <v>-3.9132586060475205E-13</v>
      </c>
      <c r="N114">
        <v>1.3695641842836892E-14</v>
      </c>
      <c r="O114">
        <v>5.4233006974158116E-13</v>
      </c>
      <c r="P114" s="3">
        <v>3.424280975989269E-12</v>
      </c>
      <c r="Q114" s="3">
        <v>0</v>
      </c>
      <c r="R114" s="3">
        <v>9.8946030676400721E-13</v>
      </c>
      <c r="S114" s="3">
        <v>0</v>
      </c>
      <c r="T114">
        <f>Constraint[[#This Row],[nx]]</f>
        <v>24</v>
      </c>
      <c r="U114">
        <v>4</v>
      </c>
    </row>
    <row r="115" spans="1:21" x14ac:dyDescent="0.3">
      <c r="A115">
        <v>0</v>
      </c>
      <c r="B115">
        <v>0</v>
      </c>
      <c r="C115">
        <v>0</v>
      </c>
      <c r="D115">
        <v>0</v>
      </c>
      <c r="E115">
        <v>3.8399838864222602E-14</v>
      </c>
      <c r="F115">
        <v>0</v>
      </c>
      <c r="G115">
        <v>-2.0301468839356573E-14</v>
      </c>
      <c r="H115">
        <v>0</v>
      </c>
      <c r="I115">
        <v>6.8989952639597618E-15</v>
      </c>
      <c r="J115">
        <v>0</v>
      </c>
      <c r="K115">
        <v>1.9399412631848634E-14</v>
      </c>
      <c r="L115">
        <v>-2.6361447746925393E-12</v>
      </c>
      <c r="M115">
        <v>1.3936907183875746E-12</v>
      </c>
      <c r="N115">
        <v>-4.7361593813466385E-13</v>
      </c>
      <c r="O115">
        <v>-1.3317680291891065E-12</v>
      </c>
      <c r="P115" s="3">
        <v>3.4477220374377516E-12</v>
      </c>
      <c r="Q115" s="3">
        <v>0</v>
      </c>
      <c r="R115" s="3">
        <v>9.9383625199549143E-13</v>
      </c>
      <c r="S115" s="3">
        <v>0</v>
      </c>
      <c r="T115">
        <f>Constraint[[#This Row],[nx]]</f>
        <v>21</v>
      </c>
      <c r="U115">
        <v>4</v>
      </c>
    </row>
    <row r="116" spans="1:21" x14ac:dyDescent="0.3">
      <c r="A116">
        <v>0</v>
      </c>
      <c r="B116">
        <v>0</v>
      </c>
      <c r="C116">
        <v>0</v>
      </c>
      <c r="D116">
        <v>0</v>
      </c>
      <c r="E116">
        <v>-1.1900203045200897E-14</v>
      </c>
      <c r="F116">
        <v>0</v>
      </c>
      <c r="G116">
        <v>-6.9909356081865326E-16</v>
      </c>
      <c r="H116">
        <v>0</v>
      </c>
      <c r="I116">
        <v>-1.1400602684119576E-14</v>
      </c>
      <c r="J116">
        <v>0</v>
      </c>
      <c r="K116">
        <v>2.0100240916143264E-14</v>
      </c>
      <c r="L116">
        <v>8.1695067377651753E-13</v>
      </c>
      <c r="M116">
        <v>4.7996329133326299E-14</v>
      </c>
      <c r="N116">
        <v>7.8264998648602813E-13</v>
      </c>
      <c r="O116">
        <v>-1.3798753806248953E-12</v>
      </c>
      <c r="P116" s="3">
        <v>3.4806391282942851E-12</v>
      </c>
      <c r="Q116" s="3">
        <v>0</v>
      </c>
      <c r="R116" s="3">
        <v>9.9896249833459285E-13</v>
      </c>
      <c r="S116" s="3">
        <v>0</v>
      </c>
      <c r="T116">
        <f>Constraint[[#This Row],[nx]]</f>
        <v>18</v>
      </c>
      <c r="U116">
        <v>4</v>
      </c>
    </row>
    <row r="117" spans="1:21" x14ac:dyDescent="0.3">
      <c r="A117">
        <v>0</v>
      </c>
      <c r="B117">
        <v>0</v>
      </c>
      <c r="C117">
        <v>0</v>
      </c>
      <c r="D117">
        <v>0</v>
      </c>
      <c r="E117">
        <v>-1.6299461780278079E-14</v>
      </c>
      <c r="F117">
        <v>0</v>
      </c>
      <c r="G117">
        <v>-3.9600267509598552E-14</v>
      </c>
      <c r="H117">
        <v>0</v>
      </c>
      <c r="I117">
        <v>3.0010716134398763E-16</v>
      </c>
      <c r="J117">
        <v>0</v>
      </c>
      <c r="K117">
        <v>1.2798789805756883E-14</v>
      </c>
      <c r="L117">
        <v>1.1189521531562718E-12</v>
      </c>
      <c r="M117">
        <v>2.7185545481422935E-12</v>
      </c>
      <c r="N117">
        <v>-2.0601576000700561E-14</v>
      </c>
      <c r="O117">
        <v>-8.7863744058225279E-13</v>
      </c>
      <c r="P117" s="3">
        <v>3.5298529810249712E-12</v>
      </c>
      <c r="Q117" s="3">
        <v>0</v>
      </c>
      <c r="R117" s="3">
        <v>1.005163244346793E-12</v>
      </c>
      <c r="S117" s="3">
        <v>0</v>
      </c>
      <c r="T117">
        <f>Constraint[[#This Row],[nx]]</f>
        <v>15</v>
      </c>
      <c r="U117">
        <v>4</v>
      </c>
    </row>
    <row r="118" spans="1:21" x14ac:dyDescent="0.3">
      <c r="A118">
        <v>0</v>
      </c>
      <c r="B118">
        <v>0</v>
      </c>
      <c r="C118">
        <v>0</v>
      </c>
      <c r="D118">
        <v>0</v>
      </c>
      <c r="E118">
        <v>-5.7003013420597881E-15</v>
      </c>
      <c r="F118">
        <v>0</v>
      </c>
      <c r="G118">
        <v>-1.0200174038743626E-14</v>
      </c>
      <c r="H118">
        <v>0</v>
      </c>
      <c r="I118">
        <v>-1.9800133754799276E-14</v>
      </c>
      <c r="J118">
        <v>0</v>
      </c>
      <c r="K118">
        <v>-1.37997252513955E-14</v>
      </c>
      <c r="L118">
        <v>3.9132586060475205E-13</v>
      </c>
      <c r="M118">
        <v>7.0023847831279795E-13</v>
      </c>
      <c r="N118">
        <v>1.3592772740711467E-12</v>
      </c>
      <c r="O118">
        <v>9.4734983746569412E-13</v>
      </c>
      <c r="P118" s="3">
        <v>3.6088751371300829E-12</v>
      </c>
      <c r="Q118" s="3">
        <v>0</v>
      </c>
      <c r="R118" s="3">
        <v>1.0130226397255647E-12</v>
      </c>
      <c r="S118" s="3">
        <v>0</v>
      </c>
      <c r="T118">
        <f>Constraint[[#This Row],[nx]]</f>
        <v>12</v>
      </c>
      <c r="U118">
        <v>4</v>
      </c>
    </row>
    <row r="119" spans="1:21" x14ac:dyDescent="0.3">
      <c r="A119">
        <v>0</v>
      </c>
      <c r="B119">
        <v>0</v>
      </c>
      <c r="C119">
        <v>0</v>
      </c>
      <c r="D119">
        <v>0</v>
      </c>
      <c r="E119">
        <v>1.4099832412739488E-14</v>
      </c>
      <c r="F119">
        <v>0</v>
      </c>
      <c r="G119">
        <v>5.1699963754536782E-14</v>
      </c>
      <c r="H119">
        <v>0</v>
      </c>
      <c r="I119">
        <v>2.169965596099388E-14</v>
      </c>
      <c r="J119">
        <v>0</v>
      </c>
      <c r="K119">
        <v>-3.2994440513078871E-15</v>
      </c>
      <c r="L119">
        <v>-9.6794794401944273E-13</v>
      </c>
      <c r="M119">
        <v>-3.54919565959122E-12</v>
      </c>
      <c r="N119">
        <v>-1.4896764377603233E-12</v>
      </c>
      <c r="O119">
        <v>2.2650631370524366E-13</v>
      </c>
      <c r="P119" s="3">
        <v>3.7454706356077296E-12</v>
      </c>
      <c r="Q119" s="3">
        <v>0</v>
      </c>
      <c r="R119" s="3">
        <v>1.0236351971985108E-12</v>
      </c>
      <c r="S119" s="3">
        <v>0</v>
      </c>
      <c r="T119">
        <f>Constraint[[#This Row],[nx]]</f>
        <v>9</v>
      </c>
      <c r="U119">
        <v>4</v>
      </c>
    </row>
    <row r="120" spans="1:21" x14ac:dyDescent="0.3">
      <c r="A120">
        <v>0</v>
      </c>
      <c r="B120">
        <v>0</v>
      </c>
      <c r="C120">
        <v>0</v>
      </c>
      <c r="D120">
        <v>0</v>
      </c>
      <c r="E120">
        <v>-1.700029006457271E-15</v>
      </c>
      <c r="F120">
        <v>0</v>
      </c>
      <c r="G120">
        <v>7.4992095866477371E-15</v>
      </c>
      <c r="H120">
        <v>0</v>
      </c>
      <c r="I120">
        <v>-1.1799589083594242E-14</v>
      </c>
      <c r="J120">
        <v>0</v>
      </c>
      <c r="K120">
        <v>-1.0899267599562279E-14</v>
      </c>
      <c r="L120">
        <v>1.1671219546371958E-13</v>
      </c>
      <c r="M120">
        <v>-5.1481995749780296E-13</v>
      </c>
      <c r="N120">
        <v>8.1003259655432203E-13</v>
      </c>
      <c r="O120">
        <v>7.4823307272264827E-13</v>
      </c>
      <c r="P120" s="3">
        <v>3.9878493381435015E-12</v>
      </c>
      <c r="Q120" s="3">
        <v>0</v>
      </c>
      <c r="R120" s="3">
        <v>1.0378915758031155E-12</v>
      </c>
      <c r="S120" s="3">
        <v>0</v>
      </c>
      <c r="T120">
        <f>Constraint[[#This Row],[nx]]</f>
        <v>6</v>
      </c>
      <c r="U120">
        <v>4</v>
      </c>
    </row>
    <row r="121" spans="1:21" x14ac:dyDescent="0.3">
      <c r="A121">
        <v>0</v>
      </c>
      <c r="B121">
        <v>0</v>
      </c>
      <c r="C121">
        <v>0</v>
      </c>
      <c r="D121">
        <v>0</v>
      </c>
      <c r="E121">
        <v>-1.0770030700602007E-13</v>
      </c>
      <c r="F121">
        <v>0</v>
      </c>
      <c r="G121">
        <v>-1.1969938928935164E-13</v>
      </c>
      <c r="H121">
        <v>0</v>
      </c>
      <c r="I121">
        <v>3.8000852464747936E-14</v>
      </c>
      <c r="J121">
        <v>0</v>
      </c>
      <c r="K121">
        <v>3.5006719745211967E-15</v>
      </c>
      <c r="L121">
        <v>7.3936143665798149E-12</v>
      </c>
      <c r="M121">
        <v>8.2173573501265196E-12</v>
      </c>
      <c r="N121">
        <v>-2.6087534910068655E-12</v>
      </c>
      <c r="O121">
        <v>-2.4033552925573076E-13</v>
      </c>
      <c r="P121" s="3">
        <v>3.3296330367385737E-12</v>
      </c>
      <c r="Q121" s="3">
        <v>0</v>
      </c>
      <c r="R121" s="3">
        <v>9.4015824759685887E-13</v>
      </c>
      <c r="S121" s="3">
        <v>0</v>
      </c>
      <c r="T121">
        <f>Constraint[[#This Row],[nx]]</f>
        <v>120</v>
      </c>
      <c r="U121">
        <v>3</v>
      </c>
    </row>
    <row r="122" spans="1:21" x14ac:dyDescent="0.3">
      <c r="A122">
        <v>0</v>
      </c>
      <c r="B122">
        <v>0</v>
      </c>
      <c r="C122">
        <v>0</v>
      </c>
      <c r="D122">
        <v>0</v>
      </c>
      <c r="E122">
        <v>4.1900510838743799E-14</v>
      </c>
      <c r="F122">
        <v>0</v>
      </c>
      <c r="G122">
        <v>-1.6299461780278079E-14</v>
      </c>
      <c r="H122">
        <v>0</v>
      </c>
      <c r="I122">
        <v>-4.4998726966838376E-15</v>
      </c>
      <c r="J122">
        <v>0</v>
      </c>
      <c r="K122">
        <v>-3.4802022375046704E-14</v>
      </c>
      <c r="L122">
        <v>-2.8764655587987242E-12</v>
      </c>
      <c r="M122">
        <v>1.1189521531562718E-12</v>
      </c>
      <c r="N122">
        <v>3.0891955660194981E-13</v>
      </c>
      <c r="O122">
        <v>2.3891444378421056E-12</v>
      </c>
      <c r="P122" s="3">
        <v>3.3257053531095699E-12</v>
      </c>
      <c r="Q122" s="3">
        <v>0</v>
      </c>
      <c r="R122" s="3">
        <v>9.3700717140737269E-13</v>
      </c>
      <c r="S122" s="3">
        <v>0</v>
      </c>
      <c r="T122">
        <f>Constraint[[#This Row],[nx]]</f>
        <v>102</v>
      </c>
      <c r="U122">
        <v>3</v>
      </c>
    </row>
    <row r="123" spans="1:21" x14ac:dyDescent="0.3">
      <c r="A123">
        <v>0</v>
      </c>
      <c r="B123">
        <v>0</v>
      </c>
      <c r="C123">
        <v>0</v>
      </c>
      <c r="D123">
        <v>0</v>
      </c>
      <c r="E123">
        <v>7.0100175664222775E-14</v>
      </c>
      <c r="F123">
        <v>0</v>
      </c>
      <c r="G123">
        <v>6.8001160258290838E-15</v>
      </c>
      <c r="H123">
        <v>0</v>
      </c>
      <c r="I123">
        <v>2.5500435096859064E-14</v>
      </c>
      <c r="J123">
        <v>0</v>
      </c>
      <c r="K123">
        <v>1.1519951659266781E-13</v>
      </c>
      <c r="L123">
        <v>-4.8123692530932516E-12</v>
      </c>
      <c r="M123">
        <v>-4.668210262792627E-13</v>
      </c>
      <c r="N123">
        <v>-1.7505996652289468E-12</v>
      </c>
      <c r="O123">
        <v>-7.908423915736762E-12</v>
      </c>
      <c r="P123" s="3">
        <v>3.3246647294675484E-12</v>
      </c>
      <c r="Q123" s="3">
        <v>0</v>
      </c>
      <c r="R123" s="3">
        <v>9.3468783443720333E-13</v>
      </c>
      <c r="S123" s="3">
        <v>0</v>
      </c>
      <c r="T123">
        <f>Constraint[[#This Row],[nx]]</f>
        <v>87</v>
      </c>
      <c r="U123">
        <v>3</v>
      </c>
    </row>
    <row r="124" spans="1:21" x14ac:dyDescent="0.3">
      <c r="A124">
        <v>0</v>
      </c>
      <c r="B124">
        <v>0</v>
      </c>
      <c r="C124">
        <v>0</v>
      </c>
      <c r="D124">
        <v>0</v>
      </c>
      <c r="E124">
        <v>-4.039997503202386E-14</v>
      </c>
      <c r="F124">
        <v>0</v>
      </c>
      <c r="G124">
        <v>-1.9401147355324611E-14</v>
      </c>
      <c r="H124">
        <v>0</v>
      </c>
      <c r="I124">
        <v>2.3600912890664461E-14</v>
      </c>
      <c r="J124">
        <v>0</v>
      </c>
      <c r="K124">
        <v>-1.700029006457271E-14</v>
      </c>
      <c r="L124">
        <v>2.7734542093482695E-12</v>
      </c>
      <c r="M124">
        <v>1.3318929292793769E-12</v>
      </c>
      <c r="N124">
        <v>-1.6201970320928183E-12</v>
      </c>
      <c r="O124">
        <v>1.1670664434859646E-12</v>
      </c>
      <c r="P124" s="3">
        <v>3.3281117920619817E-12</v>
      </c>
      <c r="Q124" s="3">
        <v>0</v>
      </c>
      <c r="R124" s="3">
        <v>9.3345658948965169E-13</v>
      </c>
      <c r="S124" s="3">
        <v>0</v>
      </c>
      <c r="T124">
        <f>Constraint[[#This Row],[nx]]</f>
        <v>72</v>
      </c>
      <c r="U124">
        <v>3</v>
      </c>
    </row>
    <row r="125" spans="1:21" x14ac:dyDescent="0.3">
      <c r="A125">
        <v>0</v>
      </c>
      <c r="B125">
        <v>0</v>
      </c>
      <c r="C125">
        <v>0</v>
      </c>
      <c r="D125">
        <v>0</v>
      </c>
      <c r="E125">
        <v>-5.6499943612564607E-14</v>
      </c>
      <c r="F125">
        <v>0</v>
      </c>
      <c r="G125">
        <v>5.5299514967188657E-14</v>
      </c>
      <c r="H125">
        <v>0</v>
      </c>
      <c r="I125">
        <v>-1.8100104748342005E-14</v>
      </c>
      <c r="J125">
        <v>0</v>
      </c>
      <c r="K125">
        <v>-3.9798025985859908E-14</v>
      </c>
      <c r="L125">
        <v>3.8787146237895254E-12</v>
      </c>
      <c r="M125">
        <v>-3.7963104881910681E-12</v>
      </c>
      <c r="N125">
        <v>1.2425685480543791E-12</v>
      </c>
      <c r="O125">
        <v>2.7321200857244321E-12</v>
      </c>
      <c r="P125" s="3">
        <v>3.3340528606994059E-12</v>
      </c>
      <c r="Q125" s="3">
        <v>0</v>
      </c>
      <c r="R125" s="3">
        <v>9.3387368939140728E-13</v>
      </c>
      <c r="S125" s="3">
        <v>0</v>
      </c>
      <c r="T125">
        <f>Constraint[[#This Row],[nx]]</f>
        <v>63</v>
      </c>
      <c r="U125">
        <v>3</v>
      </c>
    </row>
    <row r="126" spans="1:21" x14ac:dyDescent="0.3">
      <c r="A126">
        <v>0</v>
      </c>
      <c r="B126">
        <v>0</v>
      </c>
      <c r="C126">
        <v>0</v>
      </c>
      <c r="D126">
        <v>0</v>
      </c>
      <c r="E126">
        <v>-4.7300705019459599E-14</v>
      </c>
      <c r="F126">
        <v>0</v>
      </c>
      <c r="G126">
        <v>-4.5099340928445031E-14</v>
      </c>
      <c r="H126">
        <v>0</v>
      </c>
      <c r="I126">
        <v>3.4000580129145419E-15</v>
      </c>
      <c r="J126">
        <v>0</v>
      </c>
      <c r="K126">
        <v>4.3798298321462426E-14</v>
      </c>
      <c r="L126">
        <v>3.2471880002590825E-12</v>
      </c>
      <c r="M126">
        <v>3.0960650709843662E-12</v>
      </c>
      <c r="N126">
        <v>-2.3341051313963135E-13</v>
      </c>
      <c r="O126">
        <v>-3.0067337508654646E-12</v>
      </c>
      <c r="P126" s="3">
        <v>3.3446411564013105E-12</v>
      </c>
      <c r="Q126" s="3">
        <v>0</v>
      </c>
      <c r="R126" s="3">
        <v>9.3584264072254227E-13</v>
      </c>
      <c r="S126" s="3">
        <v>0</v>
      </c>
      <c r="T126">
        <f>Constraint[[#This Row],[nx]]</f>
        <v>54</v>
      </c>
      <c r="U126">
        <v>3</v>
      </c>
    </row>
    <row r="127" spans="1:21" x14ac:dyDescent="0.3">
      <c r="A127">
        <v>0</v>
      </c>
      <c r="B127">
        <v>0</v>
      </c>
      <c r="C127">
        <v>0</v>
      </c>
      <c r="D127">
        <v>0</v>
      </c>
      <c r="E127">
        <v>-8.6996382320236876E-15</v>
      </c>
      <c r="F127">
        <v>0</v>
      </c>
      <c r="G127">
        <v>2.0899948438568572E-14</v>
      </c>
      <c r="H127">
        <v>0</v>
      </c>
      <c r="I127">
        <v>3.2999644683506801E-14</v>
      </c>
      <c r="J127">
        <v>0</v>
      </c>
      <c r="K127">
        <v>2.1097706914829928E-14</v>
      </c>
      <c r="L127">
        <v>5.9722973094755716E-13</v>
      </c>
      <c r="M127">
        <v>-1.4347689702987054E-12</v>
      </c>
      <c r="N127">
        <v>-2.2654239595354397E-12</v>
      </c>
      <c r="O127">
        <v>-1.4483692023503636E-12</v>
      </c>
      <c r="P127" s="3">
        <v>3.3620091683277363E-12</v>
      </c>
      <c r="Q127" s="3">
        <v>0</v>
      </c>
      <c r="R127" s="3">
        <v>9.4020077449512803E-13</v>
      </c>
      <c r="S127" s="3">
        <v>0</v>
      </c>
      <c r="T127">
        <f>Constraint[[#This Row],[nx]]</f>
        <v>45</v>
      </c>
      <c r="U127">
        <v>3</v>
      </c>
    </row>
    <row r="128" spans="1:21" x14ac:dyDescent="0.3">
      <c r="A128">
        <v>0</v>
      </c>
      <c r="B128">
        <v>0</v>
      </c>
      <c r="C128">
        <v>0</v>
      </c>
      <c r="D128">
        <v>0</v>
      </c>
      <c r="E128">
        <v>-9.5010804779249725E-15</v>
      </c>
      <c r="F128">
        <v>0</v>
      </c>
      <c r="G128">
        <v>-2.5399821135252409E-14</v>
      </c>
      <c r="H128">
        <v>0</v>
      </c>
      <c r="I128">
        <v>-9.9000668773996381E-15</v>
      </c>
      <c r="J128">
        <v>0</v>
      </c>
      <c r="K128">
        <v>-1.799949078673535E-14</v>
      </c>
      <c r="L128">
        <v>6.5224908807337556E-13</v>
      </c>
      <c r="M128">
        <v>1.743702404688463E-12</v>
      </c>
      <c r="N128">
        <v>6.7963690231209739E-13</v>
      </c>
      <c r="O128">
        <v>1.2356504708321836E-12</v>
      </c>
      <c r="P128" s="3">
        <v>3.3788638749750644E-12</v>
      </c>
      <c r="Q128" s="3">
        <v>0</v>
      </c>
      <c r="R128" s="3">
        <v>9.4496484116679877E-13</v>
      </c>
      <c r="S128" s="3">
        <v>0</v>
      </c>
      <c r="T128">
        <f>Constraint[[#This Row],[nx]]</f>
        <v>39</v>
      </c>
      <c r="U128">
        <v>3</v>
      </c>
    </row>
    <row r="129" spans="1:21" x14ac:dyDescent="0.3">
      <c r="A129">
        <v>0</v>
      </c>
      <c r="B129">
        <v>0</v>
      </c>
      <c r="C129">
        <v>0</v>
      </c>
      <c r="D129">
        <v>0</v>
      </c>
      <c r="E129">
        <v>-8.2000378709423671E-15</v>
      </c>
      <c r="F129">
        <v>0</v>
      </c>
      <c r="G129">
        <v>1.7100904026179364E-14</v>
      </c>
      <c r="H129">
        <v>0</v>
      </c>
      <c r="I129">
        <v>4.4009934585531596E-15</v>
      </c>
      <c r="J129">
        <v>0</v>
      </c>
      <c r="K129">
        <v>4.3100939484119749E-14</v>
      </c>
      <c r="L129">
        <v>5.6293164574228172E-13</v>
      </c>
      <c r="M129">
        <v>-1.1739637040264483E-12</v>
      </c>
      <c r="N129">
        <v>-3.0212637947002463E-13</v>
      </c>
      <c r="O129">
        <v>-2.9588692607163125E-12</v>
      </c>
      <c r="P129" s="3">
        <v>3.4016172306058751E-12</v>
      </c>
      <c r="Q129" s="3">
        <v>0</v>
      </c>
      <c r="R129" s="3">
        <v>9.5165598523472461E-13</v>
      </c>
      <c r="S129" s="3">
        <v>0</v>
      </c>
      <c r="T129">
        <f>Constraint[[#This Row],[nx]]</f>
        <v>33</v>
      </c>
      <c r="U129">
        <v>3</v>
      </c>
    </row>
    <row r="130" spans="1:21" x14ac:dyDescent="0.3">
      <c r="A130">
        <v>0</v>
      </c>
      <c r="B130">
        <v>0</v>
      </c>
      <c r="C130">
        <v>0</v>
      </c>
      <c r="D130">
        <v>0</v>
      </c>
      <c r="E130">
        <v>-2.6199528657677718E-14</v>
      </c>
      <c r="F130">
        <v>0</v>
      </c>
      <c r="G130">
        <v>5.5996873804531333E-15</v>
      </c>
      <c r="H130">
        <v>0</v>
      </c>
      <c r="I130">
        <v>-1.9949319973733282E-16</v>
      </c>
      <c r="J130">
        <v>0</v>
      </c>
      <c r="K130">
        <v>-8.6979035085477108E-15</v>
      </c>
      <c r="L130">
        <v>1.7985925249153212E-12</v>
      </c>
      <c r="M130">
        <v>-3.8441472227646045E-13</v>
      </c>
      <c r="N130">
        <v>1.3693907119360915E-14</v>
      </c>
      <c r="O130">
        <v>5.9711957600683263E-13</v>
      </c>
      <c r="P130" s="3">
        <v>3.433066018876895E-12</v>
      </c>
      <c r="Q130" s="3">
        <v>0</v>
      </c>
      <c r="R130" s="3">
        <v>9.6070612640730649E-13</v>
      </c>
      <c r="S130" s="3">
        <v>0</v>
      </c>
      <c r="T130">
        <f>Constraint[[#This Row],[nx]]</f>
        <v>27</v>
      </c>
      <c r="U130">
        <v>3</v>
      </c>
    </row>
    <row r="131" spans="1:21" x14ac:dyDescent="0.3">
      <c r="A131">
        <v>0</v>
      </c>
      <c r="B131">
        <v>0</v>
      </c>
      <c r="C131">
        <v>0</v>
      </c>
      <c r="D131">
        <v>0</v>
      </c>
      <c r="E131">
        <v>-1.4899539935164796E-14</v>
      </c>
      <c r="F131">
        <v>0</v>
      </c>
      <c r="G131">
        <v>-1.2299189444675562E-14</v>
      </c>
      <c r="H131">
        <v>0</v>
      </c>
      <c r="I131">
        <v>-2.3002433291452462E-15</v>
      </c>
      <c r="J131">
        <v>0</v>
      </c>
      <c r="K131">
        <v>-2.3200191767713818E-14</v>
      </c>
      <c r="L131">
        <v>1.0228484725871567E-12</v>
      </c>
      <c r="M131">
        <v>8.4433848801523936E-13</v>
      </c>
      <c r="N131">
        <v>1.5791187801816875E-13</v>
      </c>
      <c r="O131">
        <v>1.5926981955516339E-12</v>
      </c>
      <c r="P131" s="3">
        <v>3.4538445701989843E-12</v>
      </c>
      <c r="Q131" s="3">
        <v>0</v>
      </c>
      <c r="R131" s="3">
        <v>9.6627898020197369E-13</v>
      </c>
      <c r="S131" s="3">
        <v>0</v>
      </c>
      <c r="T131">
        <f>Constraint[[#This Row],[nx]]</f>
        <v>24</v>
      </c>
      <c r="U131">
        <v>3</v>
      </c>
    </row>
    <row r="132" spans="1:21" x14ac:dyDescent="0.3">
      <c r="A132">
        <v>0</v>
      </c>
      <c r="B132">
        <v>0</v>
      </c>
      <c r="C132">
        <v>0</v>
      </c>
      <c r="D132">
        <v>0</v>
      </c>
      <c r="E132">
        <v>-2.499736528882579E-15</v>
      </c>
      <c r="F132">
        <v>0</v>
      </c>
      <c r="G132">
        <v>-1.3010426069826053E-15</v>
      </c>
      <c r="H132">
        <v>0</v>
      </c>
      <c r="I132">
        <v>1.0399667238480959E-14</v>
      </c>
      <c r="J132">
        <v>0</v>
      </c>
      <c r="K132">
        <v>1.729866250244072E-14</v>
      </c>
      <c r="L132">
        <v>1.7160578513752967E-13</v>
      </c>
      <c r="M132">
        <v>8.9317442331093844E-14</v>
      </c>
      <c r="N132">
        <v>-7.1393585487911082E-13</v>
      </c>
      <c r="O132">
        <v>-1.1875500582902987E-12</v>
      </c>
      <c r="P132" s="3">
        <v>3.4800072493587883E-12</v>
      </c>
      <c r="Q132" s="3">
        <v>0</v>
      </c>
      <c r="R132" s="3">
        <v>9.7267470414435139E-13</v>
      </c>
      <c r="S132" s="3">
        <v>0</v>
      </c>
      <c r="T132">
        <f>Constraint[[#This Row],[nx]]</f>
        <v>21</v>
      </c>
      <c r="U132">
        <v>3</v>
      </c>
    </row>
    <row r="133" spans="1:21" x14ac:dyDescent="0.3">
      <c r="A133">
        <v>0</v>
      </c>
      <c r="B133">
        <v>0</v>
      </c>
      <c r="C133">
        <v>0</v>
      </c>
      <c r="D133">
        <v>0</v>
      </c>
      <c r="E133">
        <v>4.0072112295064244E-16</v>
      </c>
      <c r="F133">
        <v>0</v>
      </c>
      <c r="G133">
        <v>1.749989042565403E-14</v>
      </c>
      <c r="H133">
        <v>0</v>
      </c>
      <c r="I133">
        <v>-5.8997945417971209E-15</v>
      </c>
      <c r="J133">
        <v>0</v>
      </c>
      <c r="K133">
        <v>1.9401147355324611E-14</v>
      </c>
      <c r="L133">
        <v>-2.7505775435088253E-14</v>
      </c>
      <c r="M133">
        <v>-1.2013584571590741E-12</v>
      </c>
      <c r="N133">
        <v>4.0501976772411297E-13</v>
      </c>
      <c r="O133">
        <v>-1.3318929292793769E-12</v>
      </c>
      <c r="P133" s="3">
        <v>3.5146607509639028E-12</v>
      </c>
      <c r="Q133" s="3">
        <v>0</v>
      </c>
      <c r="R133" s="3">
        <v>9.8005149892944846E-13</v>
      </c>
      <c r="S133" s="3">
        <v>0</v>
      </c>
      <c r="T133">
        <f>Constraint[[#This Row],[nx]]</f>
        <v>18</v>
      </c>
      <c r="U133">
        <v>3</v>
      </c>
    </row>
    <row r="134" spans="1:21" x14ac:dyDescent="0.3">
      <c r="A134">
        <v>0</v>
      </c>
      <c r="B134">
        <v>0</v>
      </c>
      <c r="C134">
        <v>0</v>
      </c>
      <c r="D134">
        <v>0</v>
      </c>
      <c r="E134">
        <v>-1.5000153896771451E-14</v>
      </c>
      <c r="F134">
        <v>0</v>
      </c>
      <c r="G134">
        <v>-6.0021432268797525E-16</v>
      </c>
      <c r="H134">
        <v>0</v>
      </c>
      <c r="I134">
        <v>2.0001361678012586E-15</v>
      </c>
      <c r="J134">
        <v>0</v>
      </c>
      <c r="K134">
        <v>8.8002521936303424E-15</v>
      </c>
      <c r="L134">
        <v>1.0297596109154483E-12</v>
      </c>
      <c r="M134">
        <v>4.1203152001401122E-14</v>
      </c>
      <c r="N134">
        <v>-1.3730900097486121E-13</v>
      </c>
      <c r="O134">
        <v>-6.0414173663758675E-13</v>
      </c>
      <c r="P134" s="3">
        <v>3.5638555079663862E-12</v>
      </c>
      <c r="Q134" s="3">
        <v>0</v>
      </c>
      <c r="R134" s="3">
        <v>9.8869741336301892E-13</v>
      </c>
      <c r="S134" s="3">
        <v>0</v>
      </c>
      <c r="T134">
        <f>Constraint[[#This Row],[nx]]</f>
        <v>15</v>
      </c>
      <c r="U134">
        <v>3</v>
      </c>
    </row>
    <row r="135" spans="1:21" x14ac:dyDescent="0.3">
      <c r="A135">
        <v>0</v>
      </c>
      <c r="B135">
        <v>0</v>
      </c>
      <c r="C135">
        <v>0</v>
      </c>
      <c r="D135">
        <v>0</v>
      </c>
      <c r="E135">
        <v>9.9989461155303161E-15</v>
      </c>
      <c r="F135">
        <v>0</v>
      </c>
      <c r="G135">
        <v>1.8006429680639258E-15</v>
      </c>
      <c r="H135">
        <v>0</v>
      </c>
      <c r="I135">
        <v>-7.5998235482543919E-15</v>
      </c>
      <c r="J135">
        <v>0</v>
      </c>
      <c r="K135">
        <v>6.4011296263544182E-15</v>
      </c>
      <c r="L135">
        <v>-6.8642314055011866E-13</v>
      </c>
      <c r="M135">
        <v>-1.2361639489810727E-13</v>
      </c>
      <c r="N135">
        <v>5.2172849374088059E-13</v>
      </c>
      <c r="O135">
        <v>-4.3944015093444477E-13</v>
      </c>
      <c r="P135" s="3">
        <v>3.6400550834375364E-12</v>
      </c>
      <c r="Q135" s="3">
        <v>0</v>
      </c>
      <c r="R135" s="3">
        <v>9.9918924830363399E-13</v>
      </c>
      <c r="S135" s="3">
        <v>0</v>
      </c>
      <c r="T135">
        <f>Constraint[[#This Row],[nx]]</f>
        <v>12</v>
      </c>
      <c r="U135">
        <v>3</v>
      </c>
    </row>
    <row r="136" spans="1:21" x14ac:dyDescent="0.3">
      <c r="A136">
        <v>0</v>
      </c>
      <c r="B136">
        <v>0</v>
      </c>
      <c r="C136">
        <v>0</v>
      </c>
      <c r="D136">
        <v>0</v>
      </c>
      <c r="E136">
        <v>1.6899676102966055E-14</v>
      </c>
      <c r="F136">
        <v>0</v>
      </c>
      <c r="G136">
        <v>-2.2799470644763176E-14</v>
      </c>
      <c r="H136">
        <v>0</v>
      </c>
      <c r="I136">
        <v>-8.9997453933676752E-15</v>
      </c>
      <c r="J136">
        <v>0</v>
      </c>
      <c r="K136">
        <v>-4.0072112295064244E-16</v>
      </c>
      <c r="L136">
        <v>-1.1601691829454808E-12</v>
      </c>
      <c r="M136">
        <v>1.5651820117756898E-12</v>
      </c>
      <c r="N136">
        <v>6.1783217430999571E-13</v>
      </c>
      <c r="O136">
        <v>2.7512714328992161E-14</v>
      </c>
      <c r="P136" s="3">
        <v>3.7698500423702066E-12</v>
      </c>
      <c r="Q136" s="3">
        <v>0</v>
      </c>
      <c r="R136" s="3">
        <v>1.0127003525813093E-12</v>
      </c>
      <c r="S136" s="3">
        <v>0</v>
      </c>
      <c r="T136">
        <f>Constraint[[#This Row],[nx]]</f>
        <v>9</v>
      </c>
      <c r="U136">
        <v>3</v>
      </c>
    </row>
    <row r="137" spans="1:21" x14ac:dyDescent="0.3">
      <c r="A137">
        <v>0</v>
      </c>
      <c r="B137">
        <v>0</v>
      </c>
      <c r="C137">
        <v>0</v>
      </c>
      <c r="D137">
        <v>0</v>
      </c>
      <c r="E137">
        <v>1.700029006457271E-15</v>
      </c>
      <c r="F137">
        <v>0</v>
      </c>
      <c r="G137">
        <v>1.0000680839006293E-14</v>
      </c>
      <c r="H137">
        <v>0</v>
      </c>
      <c r="I137">
        <v>-5.8997945417971209E-15</v>
      </c>
      <c r="J137">
        <v>0</v>
      </c>
      <c r="K137">
        <v>-1.5005358067199381E-15</v>
      </c>
      <c r="L137">
        <v>-1.1671219546371958E-13</v>
      </c>
      <c r="M137">
        <v>-6.8654630591691301E-13</v>
      </c>
      <c r="N137">
        <v>4.0502323717106492E-13</v>
      </c>
      <c r="O137">
        <v>1.0301134945045476E-13</v>
      </c>
      <c r="P137" s="3">
        <v>4.0011765892444603E-12</v>
      </c>
      <c r="Q137" s="3">
        <v>0</v>
      </c>
      <c r="R137" s="3">
        <v>1.0302882014286266E-12</v>
      </c>
      <c r="S137" s="3">
        <v>0</v>
      </c>
      <c r="T137">
        <f>Constraint[[#This Row],[nx]]</f>
        <v>6</v>
      </c>
      <c r="U137">
        <v>3</v>
      </c>
    </row>
    <row r="138" spans="1:21" x14ac:dyDescent="0.3">
      <c r="A138">
        <v>0</v>
      </c>
      <c r="B138">
        <v>0</v>
      </c>
      <c r="C138">
        <v>0</v>
      </c>
      <c r="D138">
        <v>0</v>
      </c>
      <c r="E138">
        <v>-1.8230035536692668E-13</v>
      </c>
      <c r="F138">
        <v>0</v>
      </c>
      <c r="G138">
        <v>3.0184188481996443E-16</v>
      </c>
      <c r="H138">
        <v>0</v>
      </c>
      <c r="I138">
        <v>-1.6379952949563403E-13</v>
      </c>
      <c r="J138">
        <v>0</v>
      </c>
      <c r="K138">
        <v>-3.5398767250782726E-14</v>
      </c>
      <c r="L138">
        <v>1.2514898839466326E-11</v>
      </c>
      <c r="M138">
        <v>-2.0705659409259169E-14</v>
      </c>
      <c r="N138">
        <v>1.1244824515976859E-11</v>
      </c>
      <c r="O138">
        <v>2.4301116674507739E-12</v>
      </c>
      <c r="P138" s="3">
        <v>3.4214693431587321E-12</v>
      </c>
      <c r="Q138" s="3">
        <v>0</v>
      </c>
      <c r="R138" s="3">
        <v>9.2576542852502896E-13</v>
      </c>
      <c r="S138" s="3">
        <v>0</v>
      </c>
      <c r="T138">
        <f>Constraint[[#This Row],[nx]]</f>
        <v>120</v>
      </c>
      <c r="U138">
        <v>2</v>
      </c>
    </row>
    <row r="139" spans="1:21" x14ac:dyDescent="0.3">
      <c r="A139">
        <v>0</v>
      </c>
      <c r="B139">
        <v>0</v>
      </c>
      <c r="C139">
        <v>0</v>
      </c>
      <c r="D139">
        <v>0</v>
      </c>
      <c r="E139">
        <v>1.3900339213002155E-14</v>
      </c>
      <c r="F139">
        <v>0</v>
      </c>
      <c r="G139">
        <v>-3.0798280592492233E-14</v>
      </c>
      <c r="H139">
        <v>0</v>
      </c>
      <c r="I139">
        <v>3.0298680231410913E-14</v>
      </c>
      <c r="J139">
        <v>0</v>
      </c>
      <c r="K139">
        <v>-9.659981148324448E-14</v>
      </c>
      <c r="L139">
        <v>-9.5425750634703377E-13</v>
      </c>
      <c r="M139">
        <v>2.1143087280961481E-12</v>
      </c>
      <c r="N139">
        <v>-2.079988958847423E-12</v>
      </c>
      <c r="O139">
        <v>6.6315564151153694E-12</v>
      </c>
      <c r="P139" s="3">
        <v>3.4033721102210676E-12</v>
      </c>
      <c r="Q139" s="3">
        <v>0</v>
      </c>
      <c r="R139" s="3">
        <v>9.1849350700392692E-13</v>
      </c>
      <c r="S139" s="3">
        <v>0</v>
      </c>
      <c r="T139">
        <f>Constraint[[#This Row],[nx]]</f>
        <v>102</v>
      </c>
      <c r="U139">
        <v>2</v>
      </c>
    </row>
    <row r="140" spans="1:21" x14ac:dyDescent="0.3">
      <c r="A140">
        <v>0</v>
      </c>
      <c r="B140">
        <v>0</v>
      </c>
      <c r="C140">
        <v>0</v>
      </c>
      <c r="D140">
        <v>0</v>
      </c>
      <c r="E140">
        <v>-8.8002521936303424E-15</v>
      </c>
      <c r="F140">
        <v>0</v>
      </c>
      <c r="G140">
        <v>-9.4802637962132508E-14</v>
      </c>
      <c r="H140">
        <v>0</v>
      </c>
      <c r="I140">
        <v>-4.269848363769313E-14</v>
      </c>
      <c r="J140">
        <v>0</v>
      </c>
      <c r="K140">
        <v>1.5699247457590104E-14</v>
      </c>
      <c r="L140">
        <v>6.0413653246715882E-13</v>
      </c>
      <c r="M140">
        <v>6.5081828815038989E-12</v>
      </c>
      <c r="N140">
        <v>2.9312524629787617E-12</v>
      </c>
      <c r="O140">
        <v>-1.0777490011548707E-12</v>
      </c>
      <c r="P140" s="3">
        <v>3.3867957260468908E-12</v>
      </c>
      <c r="Q140" s="3">
        <v>0</v>
      </c>
      <c r="R140" s="3">
        <v>9.1102675509870994E-13</v>
      </c>
      <c r="S140" s="3">
        <v>0</v>
      </c>
      <c r="T140">
        <f>Constraint[[#This Row],[nx]]</f>
        <v>87</v>
      </c>
      <c r="U140">
        <v>2</v>
      </c>
    </row>
    <row r="141" spans="1:21" x14ac:dyDescent="0.3">
      <c r="A141">
        <v>0</v>
      </c>
      <c r="B141">
        <v>0</v>
      </c>
      <c r="C141">
        <v>0</v>
      </c>
      <c r="D141">
        <v>0</v>
      </c>
      <c r="E141">
        <v>2.7200464103316335E-14</v>
      </c>
      <c r="F141">
        <v>0</v>
      </c>
      <c r="G141">
        <v>-7.1800204670680046E-14</v>
      </c>
      <c r="H141">
        <v>0</v>
      </c>
      <c r="I141">
        <v>9.9989461155303161E-15</v>
      </c>
      <c r="J141">
        <v>0</v>
      </c>
      <c r="K141">
        <v>-3.8597597340483958E-14</v>
      </c>
      <c r="L141">
        <v>-1.8673083912457145E-12</v>
      </c>
      <c r="M141">
        <v>4.9290849180039231E-12</v>
      </c>
      <c r="N141">
        <v>-6.8643701833792647E-13</v>
      </c>
      <c r="O141">
        <v>2.6497137817216299E-12</v>
      </c>
      <c r="P141" s="3">
        <v>3.3708676227681237E-12</v>
      </c>
      <c r="Q141" s="3">
        <v>0</v>
      </c>
      <c r="R141" s="3">
        <v>9.0230587048027358E-13</v>
      </c>
      <c r="S141" s="3">
        <v>0</v>
      </c>
      <c r="T141">
        <f>Constraint[[#This Row],[nx]]</f>
        <v>72</v>
      </c>
      <c r="U141">
        <v>2</v>
      </c>
    </row>
    <row r="142" spans="1:21" x14ac:dyDescent="0.3">
      <c r="A142">
        <v>0</v>
      </c>
      <c r="B142">
        <v>0</v>
      </c>
      <c r="C142">
        <v>0</v>
      </c>
      <c r="D142">
        <v>0</v>
      </c>
      <c r="E142">
        <v>-6.3900273961081666E-14</v>
      </c>
      <c r="F142">
        <v>0</v>
      </c>
      <c r="G142">
        <v>-1.5400875019722093E-14</v>
      </c>
      <c r="H142">
        <v>0</v>
      </c>
      <c r="I142">
        <v>-3.9100667148517232E-14</v>
      </c>
      <c r="J142">
        <v>0</v>
      </c>
      <c r="K142">
        <v>1.7201517987786019E-14</v>
      </c>
      <c r="L142">
        <v>4.3867461746449621E-12</v>
      </c>
      <c r="M142">
        <v>1.0572931419261522E-12</v>
      </c>
      <c r="N142">
        <v>2.68425559557528E-12</v>
      </c>
      <c r="O142">
        <v>-1.1808887201425478E-12</v>
      </c>
      <c r="P142" s="3">
        <v>3.3638698234952254E-12</v>
      </c>
      <c r="Q142" s="3">
        <v>0</v>
      </c>
      <c r="R142" s="3">
        <v>8.9682991359828893E-13</v>
      </c>
      <c r="S142" s="3">
        <v>0</v>
      </c>
      <c r="T142">
        <f>Constraint[[#This Row],[nx]]</f>
        <v>63</v>
      </c>
      <c r="U142">
        <v>2</v>
      </c>
    </row>
    <row r="143" spans="1:21" x14ac:dyDescent="0.3">
      <c r="A143">
        <v>0</v>
      </c>
      <c r="B143">
        <v>0</v>
      </c>
      <c r="C143">
        <v>0</v>
      </c>
      <c r="D143">
        <v>0</v>
      </c>
      <c r="E143">
        <v>1.1799589083594242E-14</v>
      </c>
      <c r="F143">
        <v>0</v>
      </c>
      <c r="G143">
        <v>-4.3701153806807724E-14</v>
      </c>
      <c r="H143">
        <v>0</v>
      </c>
      <c r="I143">
        <v>2.1999763122337868E-14</v>
      </c>
      <c r="J143">
        <v>0</v>
      </c>
      <c r="K143">
        <v>-2.5601049058465719E-14</v>
      </c>
      <c r="L143">
        <v>-8.1004040280996392E-13</v>
      </c>
      <c r="M143">
        <v>3.0000724127177136E-12</v>
      </c>
      <c r="N143">
        <v>-1.5102780137610239E-12</v>
      </c>
      <c r="O143">
        <v>1.7575108035572384E-12</v>
      </c>
      <c r="P143" s="3">
        <v>3.3620380214982207E-12</v>
      </c>
      <c r="Q143" s="3">
        <v>0</v>
      </c>
      <c r="R143" s="3">
        <v>8.9195911540479039E-13</v>
      </c>
      <c r="S143" s="3">
        <v>0</v>
      </c>
      <c r="T143">
        <f>Constraint[[#This Row],[nx]]</f>
        <v>54</v>
      </c>
      <c r="U143">
        <v>2</v>
      </c>
    </row>
    <row r="144" spans="1:21" x14ac:dyDescent="0.3">
      <c r="A144">
        <v>0</v>
      </c>
      <c r="B144">
        <v>0</v>
      </c>
      <c r="C144">
        <v>0</v>
      </c>
      <c r="D144">
        <v>0</v>
      </c>
      <c r="E144">
        <v>5.5008081423224553E-15</v>
      </c>
      <c r="F144">
        <v>0</v>
      </c>
      <c r="G144">
        <v>3.1603192285345472E-14</v>
      </c>
      <c r="H144">
        <v>0</v>
      </c>
      <c r="I144">
        <v>1.6899676102966055E-14</v>
      </c>
      <c r="J144">
        <v>0</v>
      </c>
      <c r="K144">
        <v>-1.5994150448506161E-15</v>
      </c>
      <c r="L144">
        <v>-3.7763021876191516E-13</v>
      </c>
      <c r="M144">
        <v>-2.1695700791468653E-12</v>
      </c>
      <c r="N144">
        <v>-1.1601691829454808E-12</v>
      </c>
      <c r="O144">
        <v>1.0977330155981235E-13</v>
      </c>
      <c r="P144" s="3">
        <v>3.3706272965520723E-12</v>
      </c>
      <c r="Q144" s="3">
        <v>0</v>
      </c>
      <c r="R144" s="3">
        <v>8.8931772236356677E-13</v>
      </c>
      <c r="S144" s="3">
        <v>0</v>
      </c>
      <c r="T144">
        <f>Constraint[[#This Row],[nx]]</f>
        <v>45</v>
      </c>
      <c r="U144">
        <v>2</v>
      </c>
    </row>
    <row r="145" spans="1:21" x14ac:dyDescent="0.3">
      <c r="A145">
        <v>0</v>
      </c>
      <c r="B145">
        <v>0</v>
      </c>
      <c r="C145">
        <v>0</v>
      </c>
      <c r="D145">
        <v>0</v>
      </c>
      <c r="E145">
        <v>1.3201245652183502E-14</v>
      </c>
      <c r="F145">
        <v>0</v>
      </c>
      <c r="G145">
        <v>1.4016565685892601E-15</v>
      </c>
      <c r="H145">
        <v>0</v>
      </c>
      <c r="I145">
        <v>-1.7600504387260685E-14</v>
      </c>
      <c r="J145">
        <v>0</v>
      </c>
      <c r="K145">
        <v>-1.2299189444675562E-14</v>
      </c>
      <c r="L145">
        <v>-9.0626464666065942E-13</v>
      </c>
      <c r="M145">
        <v>-9.6228580659385443E-14</v>
      </c>
      <c r="N145">
        <v>1.2082695954873657E-12</v>
      </c>
      <c r="O145">
        <v>8.4435236580304718E-13</v>
      </c>
      <c r="P145" s="3">
        <v>3.3863850773915686E-12</v>
      </c>
      <c r="Q145" s="3">
        <v>0</v>
      </c>
      <c r="R145" s="3">
        <v>8.9033669871183526E-13</v>
      </c>
      <c r="S145" s="3">
        <v>0</v>
      </c>
      <c r="T145">
        <f>Constraint[[#This Row],[nx]]</f>
        <v>39</v>
      </c>
      <c r="U145">
        <v>2</v>
      </c>
    </row>
    <row r="146" spans="1:21" x14ac:dyDescent="0.3">
      <c r="A146">
        <v>0</v>
      </c>
      <c r="B146">
        <v>0</v>
      </c>
      <c r="C146">
        <v>0</v>
      </c>
      <c r="D146">
        <v>0</v>
      </c>
      <c r="E146">
        <v>-2.1298934838043238E-14</v>
      </c>
      <c r="F146">
        <v>0</v>
      </c>
      <c r="G146">
        <v>-1.3298390166838203E-14</v>
      </c>
      <c r="H146">
        <v>0</v>
      </c>
      <c r="I146">
        <v>1.5799861419196759E-14</v>
      </c>
      <c r="J146">
        <v>0</v>
      </c>
      <c r="K146">
        <v>-1.799949078673535E-14</v>
      </c>
      <c r="L146">
        <v>1.4621706623252351E-12</v>
      </c>
      <c r="M146">
        <v>9.1293639314926622E-13</v>
      </c>
      <c r="N146">
        <v>-1.0846601394831623E-12</v>
      </c>
      <c r="O146">
        <v>1.2356504708321836E-12</v>
      </c>
      <c r="P146" s="3">
        <v>3.41448083873646E-12</v>
      </c>
      <c r="Q146" s="3">
        <v>0</v>
      </c>
      <c r="R146" s="3">
        <v>8.9535891312478653E-13</v>
      </c>
      <c r="S146" s="3">
        <v>0</v>
      </c>
      <c r="T146">
        <f>Constraint[[#This Row],[nx]]</f>
        <v>33</v>
      </c>
      <c r="U146">
        <v>2</v>
      </c>
    </row>
    <row r="147" spans="1:21" x14ac:dyDescent="0.3">
      <c r="A147">
        <v>0</v>
      </c>
      <c r="B147">
        <v>0</v>
      </c>
      <c r="C147">
        <v>0</v>
      </c>
      <c r="D147">
        <v>0</v>
      </c>
      <c r="E147">
        <v>-1.0800388361431601E-14</v>
      </c>
      <c r="F147">
        <v>0</v>
      </c>
      <c r="G147">
        <v>7.4003303485170591E-15</v>
      </c>
      <c r="H147">
        <v>0</v>
      </c>
      <c r="I147">
        <v>3.4000580129145419E-15</v>
      </c>
      <c r="J147">
        <v>0</v>
      </c>
      <c r="K147">
        <v>-5.7003013420597881E-15</v>
      </c>
      <c r="L147">
        <v>7.4144856920810298E-13</v>
      </c>
      <c r="M147">
        <v>-5.0803805606847163E-13</v>
      </c>
      <c r="N147">
        <v>-2.3341051313963135E-13</v>
      </c>
      <c r="O147">
        <v>3.9132586060475205E-13</v>
      </c>
      <c r="P147" s="3">
        <v>3.459624279949582E-12</v>
      </c>
      <c r="Q147" s="3">
        <v>0</v>
      </c>
      <c r="R147" s="3">
        <v>9.0644847090232796E-13</v>
      </c>
      <c r="S147" s="3">
        <v>0</v>
      </c>
      <c r="T147">
        <f>Constraint[[#This Row],[nx]]</f>
        <v>27</v>
      </c>
      <c r="U147">
        <v>2</v>
      </c>
    </row>
    <row r="148" spans="1:21" x14ac:dyDescent="0.3">
      <c r="A148">
        <v>0</v>
      </c>
      <c r="B148">
        <v>0</v>
      </c>
      <c r="C148">
        <v>0</v>
      </c>
      <c r="D148">
        <v>0</v>
      </c>
      <c r="E148">
        <v>-2.2013640910145682E-15</v>
      </c>
      <c r="F148">
        <v>0</v>
      </c>
      <c r="G148">
        <v>6.501743587961073E-15</v>
      </c>
      <c r="H148">
        <v>0</v>
      </c>
      <c r="I148">
        <v>-9.4993457544489956E-15</v>
      </c>
      <c r="J148">
        <v>0</v>
      </c>
      <c r="K148">
        <v>-1.4988010832439613E-15</v>
      </c>
      <c r="L148">
        <v>1.5112217033319553E-13</v>
      </c>
      <c r="M148">
        <v>-4.4636516705054419E-13</v>
      </c>
      <c r="N148">
        <v>6.5212418798310523E-13</v>
      </c>
      <c r="O148">
        <v>1.0288991880713638E-13</v>
      </c>
      <c r="P148" s="3">
        <v>3.4902995023962165E-12</v>
      </c>
      <c r="Q148" s="3">
        <v>0</v>
      </c>
      <c r="R148" s="3">
        <v>9.1492908827040676E-13</v>
      </c>
      <c r="S148" s="3">
        <v>0</v>
      </c>
      <c r="T148">
        <f>Constraint[[#This Row],[nx]]</f>
        <v>24</v>
      </c>
      <c r="U148">
        <v>2</v>
      </c>
    </row>
    <row r="149" spans="1:21" x14ac:dyDescent="0.3">
      <c r="A149">
        <v>0</v>
      </c>
      <c r="B149">
        <v>0</v>
      </c>
      <c r="C149">
        <v>0</v>
      </c>
      <c r="D149">
        <v>0</v>
      </c>
      <c r="E149">
        <v>-9.0032148403196288E-16</v>
      </c>
      <c r="F149">
        <v>0</v>
      </c>
      <c r="G149">
        <v>6.6023575495677278E-15</v>
      </c>
      <c r="H149">
        <v>0</v>
      </c>
      <c r="I149">
        <v>1.0599160438218291E-14</v>
      </c>
      <c r="J149">
        <v>0</v>
      </c>
      <c r="K149">
        <v>2.6499635819021705E-14</v>
      </c>
      <c r="L149">
        <v>6.1804728002101683E-14</v>
      </c>
      <c r="M149">
        <v>-4.5327630537883579E-13</v>
      </c>
      <c r="N149">
        <v>-7.2763323144542369E-13</v>
      </c>
      <c r="O149">
        <v>-1.8191836925751659E-12</v>
      </c>
      <c r="P149" s="3">
        <v>3.5275760730637822E-12</v>
      </c>
      <c r="Q149" s="3">
        <v>0</v>
      </c>
      <c r="R149" s="3">
        <v>9.2561383736432312E-13</v>
      </c>
      <c r="S149" s="3">
        <v>0</v>
      </c>
      <c r="T149">
        <f>Constraint[[#This Row],[nx]]</f>
        <v>21</v>
      </c>
      <c r="U149">
        <v>2</v>
      </c>
    </row>
    <row r="150" spans="1:21" x14ac:dyDescent="0.3">
      <c r="A150">
        <v>0</v>
      </c>
      <c r="B150">
        <v>0</v>
      </c>
      <c r="C150">
        <v>0</v>
      </c>
      <c r="D150">
        <v>0</v>
      </c>
      <c r="E150">
        <v>3.7001651742585295E-15</v>
      </c>
      <c r="F150">
        <v>0</v>
      </c>
      <c r="G150">
        <v>-1.1900203045200897E-14</v>
      </c>
      <c r="H150">
        <v>0</v>
      </c>
      <c r="I150">
        <v>-6.1010224650104306E-15</v>
      </c>
      <c r="J150">
        <v>0</v>
      </c>
      <c r="K150">
        <v>-2.2898349882893854E-14</v>
      </c>
      <c r="L150">
        <v>-2.54005150246428E-13</v>
      </c>
      <c r="M150">
        <v>8.1694373488261363E-13</v>
      </c>
      <c r="N150">
        <v>4.1883510548679226E-13</v>
      </c>
      <c r="O150">
        <v>1.5719647805667591E-12</v>
      </c>
      <c r="P150" s="3">
        <v>3.5730735160984116E-12</v>
      </c>
      <c r="Q150" s="3">
        <v>0</v>
      </c>
      <c r="R150" s="3">
        <v>9.3854037310241352E-13</v>
      </c>
      <c r="S150" s="3">
        <v>0</v>
      </c>
      <c r="T150">
        <f>Constraint[[#This Row],[nx]]</f>
        <v>18</v>
      </c>
      <c r="U150">
        <v>2</v>
      </c>
    </row>
    <row r="151" spans="1:21" x14ac:dyDescent="0.3">
      <c r="A151">
        <v>0</v>
      </c>
      <c r="B151">
        <v>0</v>
      </c>
      <c r="C151">
        <v>0</v>
      </c>
      <c r="D151">
        <v>0</v>
      </c>
      <c r="E151">
        <v>1.5005358067199381E-15</v>
      </c>
      <c r="F151">
        <v>0</v>
      </c>
      <c r="G151">
        <v>-8.1011586328116891E-15</v>
      </c>
      <c r="H151">
        <v>0</v>
      </c>
      <c r="I151">
        <v>9.5010804779249725E-15</v>
      </c>
      <c r="J151">
        <v>0</v>
      </c>
      <c r="K151">
        <v>1.0599160438218291E-14</v>
      </c>
      <c r="L151">
        <v>-1.0301481889740671E-13</v>
      </c>
      <c r="M151">
        <v>5.5613846861035654E-13</v>
      </c>
      <c r="N151">
        <v>-6.5224735334989958E-13</v>
      </c>
      <c r="O151">
        <v>-7.2762629255151978E-13</v>
      </c>
      <c r="P151" s="3">
        <v>3.6303258847689243E-12</v>
      </c>
      <c r="Q151" s="3">
        <v>0</v>
      </c>
      <c r="R151" s="3">
        <v>9.536289173332115E-13</v>
      </c>
      <c r="S151" s="3">
        <v>0</v>
      </c>
      <c r="T151">
        <f>Constraint[[#This Row],[nx]]</f>
        <v>15</v>
      </c>
      <c r="U151">
        <v>2</v>
      </c>
    </row>
    <row r="152" spans="1:21" x14ac:dyDescent="0.3">
      <c r="A152">
        <v>0</v>
      </c>
      <c r="B152">
        <v>0</v>
      </c>
      <c r="C152">
        <v>0</v>
      </c>
      <c r="D152">
        <v>0</v>
      </c>
      <c r="E152">
        <v>-3.9898639947466563E-16</v>
      </c>
      <c r="F152">
        <v>0</v>
      </c>
      <c r="G152">
        <v>-3.1988300897012323E-15</v>
      </c>
      <c r="H152">
        <v>0</v>
      </c>
      <c r="I152">
        <v>3.1988300897012323E-15</v>
      </c>
      <c r="J152">
        <v>0</v>
      </c>
      <c r="K152">
        <v>8.3023865560249988E-15</v>
      </c>
      <c r="L152">
        <v>2.7380875344817923E-14</v>
      </c>
      <c r="M152">
        <v>2.1960211427085596E-13</v>
      </c>
      <c r="N152">
        <v>-2.1959864482390401E-13</v>
      </c>
      <c r="O152">
        <v>-5.6996074526693974E-13</v>
      </c>
      <c r="P152" s="3">
        <v>3.7080308304763508E-12</v>
      </c>
      <c r="Q152" s="3">
        <v>0</v>
      </c>
      <c r="R152" s="3">
        <v>9.7087327867359448E-13</v>
      </c>
      <c r="S152" s="3">
        <v>0</v>
      </c>
      <c r="T152">
        <f>Constraint[[#This Row],[nx]]</f>
        <v>12</v>
      </c>
      <c r="U152">
        <v>2</v>
      </c>
    </row>
    <row r="153" spans="1:21" x14ac:dyDescent="0.3">
      <c r="A153">
        <v>0</v>
      </c>
      <c r="B153">
        <v>0</v>
      </c>
      <c r="C153">
        <v>0</v>
      </c>
      <c r="D153">
        <v>0</v>
      </c>
      <c r="E153">
        <v>3.5006719745211967E-15</v>
      </c>
      <c r="F153">
        <v>0</v>
      </c>
      <c r="G153">
        <v>1.700029006457271E-15</v>
      </c>
      <c r="H153">
        <v>0</v>
      </c>
      <c r="I153">
        <v>1.5005358067199381E-15</v>
      </c>
      <c r="J153">
        <v>0</v>
      </c>
      <c r="K153">
        <v>2.3991225672759242E-15</v>
      </c>
      <c r="L153">
        <v>-2.4030777368011513E-13</v>
      </c>
      <c r="M153">
        <v>-1.1670525656981567E-13</v>
      </c>
      <c r="N153">
        <v>-1.0301481889740671E-13</v>
      </c>
      <c r="O153">
        <v>-1.6470158570314197E-13</v>
      </c>
      <c r="P153" s="3">
        <v>3.8279420615247196E-12</v>
      </c>
      <c r="Q153" s="3">
        <v>0</v>
      </c>
      <c r="R153" s="3">
        <v>9.908981020866712E-13</v>
      </c>
      <c r="S153" s="3">
        <v>0</v>
      </c>
      <c r="T153">
        <f>Constraint[[#This Row],[nx]]</f>
        <v>9</v>
      </c>
      <c r="U153">
        <v>2</v>
      </c>
    </row>
    <row r="154" spans="1:21" x14ac:dyDescent="0.3">
      <c r="A154">
        <v>0</v>
      </c>
      <c r="B154">
        <v>0</v>
      </c>
      <c r="C154">
        <v>0</v>
      </c>
      <c r="D154">
        <v>0</v>
      </c>
      <c r="E154">
        <v>-8.6996382320236876E-15</v>
      </c>
      <c r="F154">
        <v>0</v>
      </c>
      <c r="G154">
        <v>-4.4998726966838376E-15</v>
      </c>
      <c r="H154">
        <v>0</v>
      </c>
      <c r="I154">
        <v>9.2009733165809848E-15</v>
      </c>
      <c r="J154">
        <v>0</v>
      </c>
      <c r="K154">
        <v>4.90059381963448E-15</v>
      </c>
      <c r="L154">
        <v>5.9721672052148733E-13</v>
      </c>
      <c r="M154">
        <v>3.089126177080459E-13</v>
      </c>
      <c r="N154">
        <v>-6.3163363428486718E-13</v>
      </c>
      <c r="O154">
        <v>-3.3642533203703806E-13</v>
      </c>
      <c r="P154" s="3">
        <v>4.0332742925241196E-12</v>
      </c>
      <c r="Q154" s="3">
        <v>0</v>
      </c>
      <c r="R154" s="3">
        <v>1.0145212701254096E-12</v>
      </c>
      <c r="S154" s="3">
        <v>0</v>
      </c>
      <c r="T154">
        <f>Constraint[[#This Row],[nx]]</f>
        <v>6</v>
      </c>
      <c r="U154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FD58-9672-4FE2-95FC-FB1CEBC928EC}">
  <dimension ref="A1:U154"/>
  <sheetViews>
    <sheetView workbookViewId="0">
      <selection activeCell="W12" sqref="W12"/>
    </sheetView>
  </sheetViews>
  <sheetFormatPr defaultRowHeight="14.4" x14ac:dyDescent="0.3"/>
  <cols>
    <col min="16" max="17" width="14.44140625" style="3" bestFit="1" customWidth="1"/>
    <col min="18" max="19" width="14.88671875" style="3" bestFit="1" customWidth="1"/>
    <col min="21" max="21" width="7.77734375" bestFit="1" customWidth="1"/>
  </cols>
  <sheetData>
    <row r="1" spans="1:21" x14ac:dyDescent="0.3">
      <c r="A1" s="1"/>
      <c r="B1" s="2"/>
      <c r="C1" s="2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" t="s">
        <v>12</v>
      </c>
      <c r="M1" s="4" t="s">
        <v>13</v>
      </c>
      <c r="N1" s="4" t="s">
        <v>14</v>
      </c>
      <c r="O1" s="5" t="s">
        <v>15</v>
      </c>
      <c r="P1" s="4" t="s">
        <v>20</v>
      </c>
      <c r="Q1" s="4" t="s">
        <v>21</v>
      </c>
      <c r="R1" s="4" t="s">
        <v>22</v>
      </c>
      <c r="S1" s="4" t="s">
        <v>23</v>
      </c>
      <c r="T1" s="6" t="s">
        <v>1</v>
      </c>
      <c r="U1" s="6" t="s">
        <v>0</v>
      </c>
    </row>
    <row r="2" spans="1:21" x14ac:dyDescent="0.3">
      <c r="A2" cm="1">
        <f t="array" ref="A2:O154">Constraint[]-Mortar[]</f>
        <v>0</v>
      </c>
      <c r="B2">
        <v>0</v>
      </c>
      <c r="C2">
        <v>0</v>
      </c>
      <c r="D2">
        <v>0</v>
      </c>
      <c r="E2">
        <v>-2.3401030108012588E-6</v>
      </c>
      <c r="F2">
        <v>0</v>
      </c>
      <c r="G2">
        <v>-9.4465685382899914E-5</v>
      </c>
      <c r="H2">
        <v>0</v>
      </c>
      <c r="I2">
        <v>-2.4844734113002587E-6</v>
      </c>
      <c r="J2">
        <v>0</v>
      </c>
      <c r="K2">
        <v>-1.0687346665229878E-4</v>
      </c>
      <c r="L2">
        <v>1.6064780394516726E-4</v>
      </c>
      <c r="M2">
        <v>6.4850584931052876E-3</v>
      </c>
      <c r="N2">
        <v>1.7055881542107215E-4</v>
      </c>
      <c r="O2">
        <v>7.336851257594916E-3</v>
      </c>
      <c r="P2" s="3" cm="1">
        <f t="array" ref="P2:P154">ABS(E2/Constraint[disp_t3])</f>
        <v>1.5723093441495937E-4</v>
      </c>
      <c r="Q2" s="3" cm="1">
        <f t="array" ref="Q2:Q154">ABS(F2/Constraint[dofs_t6])</f>
        <v>0</v>
      </c>
      <c r="R2" s="3" cm="1">
        <f t="array" ref="R2:R154">ABS(G2/Constraint[disp_t6])</f>
        <v>6.2944439585936015E-3</v>
      </c>
      <c r="S2" s="3" cm="1">
        <f t="array" ref="S2:S154">ABS(H2/Constraint[dofs_q4])</f>
        <v>0</v>
      </c>
      <c r="T2">
        <f>Constraint[[#This Row],[nx]]</f>
        <v>120</v>
      </c>
      <c r="U2" cm="1">
        <f t="array" ref="U2:U154">Constraint[ny]</f>
        <v>20</v>
      </c>
    </row>
    <row r="3" spans="1:21" x14ac:dyDescent="0.3">
      <c r="A3">
        <v>0</v>
      </c>
      <c r="B3">
        <v>0</v>
      </c>
      <c r="C3">
        <v>0</v>
      </c>
      <c r="D3">
        <v>0</v>
      </c>
      <c r="E3">
        <v>-1.7189789731988925E-6</v>
      </c>
      <c r="F3">
        <v>0</v>
      </c>
      <c r="G3">
        <v>-8.6311847004900619E-5</v>
      </c>
      <c r="H3">
        <v>0</v>
      </c>
      <c r="I3">
        <v>-1.7878250843997301E-6</v>
      </c>
      <c r="J3">
        <v>0</v>
      </c>
      <c r="K3">
        <v>-9.3668808036500434E-5</v>
      </c>
      <c r="L3">
        <v>1.180077098305865E-4</v>
      </c>
      <c r="M3">
        <v>5.9252984213890858E-3</v>
      </c>
      <c r="N3">
        <v>1.2273398748739728E-4</v>
      </c>
      <c r="O3">
        <v>6.4303529544508624E-3</v>
      </c>
      <c r="P3" s="3">
        <v>1.5732202616072487E-4</v>
      </c>
      <c r="Q3" s="3">
        <v>0</v>
      </c>
      <c r="R3" s="3">
        <v>6.299011183812573E-3</v>
      </c>
      <c r="S3" s="3">
        <v>0</v>
      </c>
      <c r="T3">
        <f>Constraint[[#This Row],[nx]]</f>
        <v>102</v>
      </c>
      <c r="U3">
        <v>20</v>
      </c>
    </row>
    <row r="4" spans="1:21" x14ac:dyDescent="0.3">
      <c r="A4">
        <v>0</v>
      </c>
      <c r="B4">
        <v>0</v>
      </c>
      <c r="C4">
        <v>0</v>
      </c>
      <c r="D4">
        <v>0</v>
      </c>
      <c r="E4">
        <v>-1.2653207776998354E-6</v>
      </c>
      <c r="F4">
        <v>0</v>
      </c>
      <c r="G4">
        <v>-7.8150664570598993E-5</v>
      </c>
      <c r="H4">
        <v>0</v>
      </c>
      <c r="I4">
        <v>-1.2759072545998063E-6</v>
      </c>
      <c r="J4">
        <v>0</v>
      </c>
      <c r="K4">
        <v>-8.1614406063299991E-5</v>
      </c>
      <c r="L4">
        <v>8.6864126615550374E-5</v>
      </c>
      <c r="M4">
        <v>5.3650341810480111E-3</v>
      </c>
      <c r="N4">
        <v>8.759088704346496E-5</v>
      </c>
      <c r="O4">
        <v>5.6028196382128422E-3</v>
      </c>
      <c r="P4" s="3">
        <v>1.5744206068690498E-4</v>
      </c>
      <c r="Q4" s="3">
        <v>0</v>
      </c>
      <c r="R4" s="3">
        <v>6.304039620277313E-3</v>
      </c>
      <c r="S4" s="3">
        <v>0</v>
      </c>
      <c r="T4">
        <f>Constraint[[#This Row],[nx]]</f>
        <v>87</v>
      </c>
      <c r="U4">
        <v>20</v>
      </c>
    </row>
    <row r="5" spans="1:21" x14ac:dyDescent="0.3">
      <c r="A5">
        <v>0</v>
      </c>
      <c r="B5">
        <v>0</v>
      </c>
      <c r="C5">
        <v>0</v>
      </c>
      <c r="D5">
        <v>0</v>
      </c>
      <c r="E5">
        <v>-8.8371212729997095E-7</v>
      </c>
      <c r="F5">
        <v>0</v>
      </c>
      <c r="G5">
        <v>-6.8501857665300217E-5</v>
      </c>
      <c r="H5">
        <v>0</v>
      </c>
      <c r="I5">
        <v>-8.4154184720047764E-7</v>
      </c>
      <c r="J5">
        <v>0</v>
      </c>
      <c r="K5">
        <v>-6.8672247367099551E-5</v>
      </c>
      <c r="L5">
        <v>6.0666736427916063E-5</v>
      </c>
      <c r="M5">
        <v>4.702644690981729E-3</v>
      </c>
      <c r="N5">
        <v>5.7771751524059861E-5</v>
      </c>
      <c r="O5">
        <v>4.7143419245148643E-3</v>
      </c>
      <c r="P5" s="3">
        <v>1.5763751036440617E-4</v>
      </c>
      <c r="Q5" s="3">
        <v>0</v>
      </c>
      <c r="R5" s="3">
        <v>6.3106930523585706E-3</v>
      </c>
      <c r="S5" s="3">
        <v>0</v>
      </c>
      <c r="T5">
        <f>Constraint[[#This Row],[nx]]</f>
        <v>72</v>
      </c>
      <c r="U5">
        <v>20</v>
      </c>
    </row>
    <row r="6" spans="1:21" x14ac:dyDescent="0.3">
      <c r="A6">
        <v>0</v>
      </c>
      <c r="B6">
        <v>0</v>
      </c>
      <c r="C6">
        <v>0</v>
      </c>
      <c r="D6">
        <v>0</v>
      </c>
      <c r="E6">
        <v>-6.9332944989917988E-7</v>
      </c>
      <c r="F6">
        <v>0</v>
      </c>
      <c r="G6">
        <v>-6.1908467439799816E-5</v>
      </c>
      <c r="H6">
        <v>0</v>
      </c>
      <c r="I6">
        <v>-6.2281611970006756E-7</v>
      </c>
      <c r="J6">
        <v>0</v>
      </c>
      <c r="K6">
        <v>-6.053028570619963E-5</v>
      </c>
      <c r="L6">
        <v>4.7596987407267505E-5</v>
      </c>
      <c r="M6">
        <v>4.2500092063935992E-3</v>
      </c>
      <c r="N6">
        <v>4.2756255356983519E-5</v>
      </c>
      <c r="O6">
        <v>4.1553971880686456E-3</v>
      </c>
      <c r="P6" s="3">
        <v>1.5781962732503831E-4</v>
      </c>
      <c r="Q6" s="3">
        <v>0</v>
      </c>
      <c r="R6" s="3">
        <v>6.315779035560928E-3</v>
      </c>
      <c r="S6" s="3">
        <v>0</v>
      </c>
      <c r="T6">
        <f>Constraint[[#This Row],[nx]]</f>
        <v>63</v>
      </c>
      <c r="U6">
        <v>20</v>
      </c>
    </row>
    <row r="7" spans="1:21" x14ac:dyDescent="0.3">
      <c r="A7">
        <v>0</v>
      </c>
      <c r="B7">
        <v>0</v>
      </c>
      <c r="C7">
        <v>0</v>
      </c>
      <c r="D7">
        <v>0</v>
      </c>
      <c r="E7">
        <v>-5.3233551799980461E-7</v>
      </c>
      <c r="F7">
        <v>0</v>
      </c>
      <c r="G7">
        <v>-5.4670685151398876E-5</v>
      </c>
      <c r="H7">
        <v>0</v>
      </c>
      <c r="I7">
        <v>-4.3698815349949016E-7</v>
      </c>
      <c r="J7">
        <v>0</v>
      </c>
      <c r="K7">
        <v>-5.2150136958400289E-5</v>
      </c>
      <c r="L7">
        <v>3.6544772402734987E-5</v>
      </c>
      <c r="M7">
        <v>3.7531362804164164E-3</v>
      </c>
      <c r="N7">
        <v>2.9999186739095712E-5</v>
      </c>
      <c r="O7">
        <v>3.5801009353593066E-3</v>
      </c>
      <c r="P7" s="3">
        <v>1.5808835442040177E-4</v>
      </c>
      <c r="Q7" s="3">
        <v>0</v>
      </c>
      <c r="R7" s="3">
        <v>6.3220116192628543E-3</v>
      </c>
      <c r="S7" s="3">
        <v>0</v>
      </c>
      <c r="T7">
        <f>Constraint[[#This Row],[nx]]</f>
        <v>54</v>
      </c>
      <c r="U7">
        <v>20</v>
      </c>
    </row>
    <row r="8" spans="1:21" x14ac:dyDescent="0.3">
      <c r="A8">
        <v>0</v>
      </c>
      <c r="B8">
        <v>0</v>
      </c>
      <c r="C8">
        <v>0</v>
      </c>
      <c r="D8">
        <v>0</v>
      </c>
      <c r="E8">
        <v>-3.9705729619997354E-7</v>
      </c>
      <c r="F8">
        <v>0</v>
      </c>
      <c r="G8">
        <v>-4.6777835847399557E-5</v>
      </c>
      <c r="H8">
        <v>0</v>
      </c>
      <c r="I8">
        <v>-2.829627141001656E-7</v>
      </c>
      <c r="J8">
        <v>0</v>
      </c>
      <c r="K8">
        <v>-4.3576700786500042E-5</v>
      </c>
      <c r="L8">
        <v>2.7257937954232661E-5</v>
      </c>
      <c r="M8">
        <v>3.2112930787688634E-3</v>
      </c>
      <c r="N8">
        <v>1.9425357947380067E-5</v>
      </c>
      <c r="O8">
        <v>2.9915355231007051E-3</v>
      </c>
      <c r="P8" s="3">
        <v>1.5851123306322596E-4</v>
      </c>
      <c r="Q8" s="3">
        <v>0</v>
      </c>
      <c r="R8" s="3">
        <v>6.3298723558134571E-3</v>
      </c>
      <c r="S8" s="3">
        <v>0</v>
      </c>
      <c r="T8">
        <f>Constraint[[#This Row],[nx]]</f>
        <v>45</v>
      </c>
      <c r="U8">
        <v>20</v>
      </c>
    </row>
    <row r="9" spans="1:21" x14ac:dyDescent="0.3">
      <c r="A9">
        <v>0</v>
      </c>
      <c r="B9">
        <v>0</v>
      </c>
      <c r="C9">
        <v>0</v>
      </c>
      <c r="D9">
        <v>0</v>
      </c>
      <c r="E9">
        <v>-3.1508815899992937E-7</v>
      </c>
      <c r="F9">
        <v>0</v>
      </c>
      <c r="G9">
        <v>-4.1160136828900795E-5</v>
      </c>
      <c r="H9">
        <v>0</v>
      </c>
      <c r="I9">
        <v>-1.9545161340089878E-7</v>
      </c>
      <c r="J9">
        <v>0</v>
      </c>
      <c r="K9">
        <v>-3.7778674595100731E-5</v>
      </c>
      <c r="L9">
        <v>2.1630766064067997E-5</v>
      </c>
      <c r="M9">
        <v>2.825638683906246E-3</v>
      </c>
      <c r="N9">
        <v>1.3417730897087587E-5</v>
      </c>
      <c r="O9">
        <v>2.5935016884508638E-3</v>
      </c>
      <c r="P9" s="3">
        <v>1.5894779279393805E-4</v>
      </c>
      <c r="Q9" s="3">
        <v>0</v>
      </c>
      <c r="R9" s="3">
        <v>6.3364551506872903E-3</v>
      </c>
      <c r="S9" s="3">
        <v>0</v>
      </c>
      <c r="T9">
        <f>Constraint[[#This Row],[nx]]</f>
        <v>39</v>
      </c>
      <c r="U9">
        <v>20</v>
      </c>
    </row>
    <row r="10" spans="1:21" x14ac:dyDescent="0.3">
      <c r="A10">
        <v>0</v>
      </c>
      <c r="B10">
        <v>0</v>
      </c>
      <c r="C10">
        <v>0</v>
      </c>
      <c r="D10">
        <v>0</v>
      </c>
      <c r="E10">
        <v>-2.2813487800081578E-7</v>
      </c>
      <c r="F10">
        <v>0</v>
      </c>
      <c r="G10">
        <v>-3.527394307050076E-5</v>
      </c>
      <c r="H10">
        <v>0</v>
      </c>
      <c r="I10">
        <v>-1.1552949879915786E-7</v>
      </c>
      <c r="J10">
        <v>0</v>
      </c>
      <c r="K10">
        <v>-3.1933449036200198E-5</v>
      </c>
      <c r="L10">
        <v>1.5661433272366916E-5</v>
      </c>
      <c r="M10">
        <v>2.4215521558696267E-3</v>
      </c>
      <c r="N10">
        <v>7.9310868740835316E-6</v>
      </c>
      <c r="O10">
        <v>2.1922276226224481E-3</v>
      </c>
      <c r="P10" s="3">
        <v>1.5961172546770646E-4</v>
      </c>
      <c r="Q10" s="3">
        <v>0</v>
      </c>
      <c r="R10" s="3">
        <v>6.3447151930488789E-3</v>
      </c>
      <c r="S10" s="3">
        <v>0</v>
      </c>
      <c r="T10">
        <f>Constraint[[#This Row],[nx]]</f>
        <v>33</v>
      </c>
      <c r="U10">
        <v>20</v>
      </c>
    </row>
    <row r="11" spans="1:21" x14ac:dyDescent="0.3">
      <c r="A11">
        <v>0</v>
      </c>
      <c r="B11">
        <v>0</v>
      </c>
      <c r="C11">
        <v>0</v>
      </c>
      <c r="D11">
        <v>0</v>
      </c>
      <c r="E11">
        <v>-1.0978467630123889E-7</v>
      </c>
      <c r="F11">
        <v>0</v>
      </c>
      <c r="G11">
        <v>-2.914159347129977E-5</v>
      </c>
      <c r="H11">
        <v>0</v>
      </c>
      <c r="I11">
        <v>-3.3756143500221492E-8</v>
      </c>
      <c r="J11">
        <v>0</v>
      </c>
      <c r="K11">
        <v>-2.605736199949929E-5</v>
      </c>
      <c r="L11">
        <v>7.5367054669043393E-6</v>
      </c>
      <c r="M11">
        <v>2.0005670575263083E-3</v>
      </c>
      <c r="N11">
        <v>2.3173553890306481E-6</v>
      </c>
      <c r="O11">
        <v>1.7888349198741001E-3</v>
      </c>
      <c r="P11" s="3">
        <v>1.6070282294672659E-4</v>
      </c>
      <c r="Q11" s="3">
        <v>0</v>
      </c>
      <c r="R11" s="3">
        <v>6.3557331914622919E-3</v>
      </c>
      <c r="S11" s="3">
        <v>0</v>
      </c>
      <c r="T11">
        <f>Constraint[[#This Row],[nx]]</f>
        <v>27</v>
      </c>
      <c r="U11">
        <v>20</v>
      </c>
    </row>
    <row r="12" spans="1:21" x14ac:dyDescent="0.3">
      <c r="A12">
        <v>0</v>
      </c>
      <c r="B12">
        <v>0</v>
      </c>
      <c r="C12">
        <v>0</v>
      </c>
      <c r="D12">
        <v>0</v>
      </c>
      <c r="E12">
        <v>-1.9767166899858912E-8</v>
      </c>
      <c r="F12">
        <v>0</v>
      </c>
      <c r="G12">
        <v>-2.599183190479977E-5</v>
      </c>
      <c r="H12">
        <v>0</v>
      </c>
      <c r="I12">
        <v>1.4214468799927937E-8</v>
      </c>
      <c r="J12">
        <v>0</v>
      </c>
      <c r="K12">
        <v>-2.311098984460018E-5</v>
      </c>
      <c r="L12">
        <v>1.357013745985694E-6</v>
      </c>
      <c r="M12">
        <v>1.7843362863707024E-3</v>
      </c>
      <c r="N12">
        <v>-9.7582165674466037E-7</v>
      </c>
      <c r="O12">
        <v>1.5865668085537979E-3</v>
      </c>
      <c r="P12" s="3">
        <v>1.6153682897234755E-4</v>
      </c>
      <c r="Q12" s="3">
        <v>0</v>
      </c>
      <c r="R12" s="3">
        <v>6.3629318138501935E-3</v>
      </c>
      <c r="S12" s="3">
        <v>0</v>
      </c>
      <c r="T12">
        <f>Constraint[[#This Row],[nx]]</f>
        <v>24</v>
      </c>
      <c r="U12">
        <v>20</v>
      </c>
    </row>
    <row r="13" spans="1:21" x14ac:dyDescent="0.3">
      <c r="A13">
        <v>0</v>
      </c>
      <c r="B13">
        <v>0</v>
      </c>
      <c r="C13">
        <v>0</v>
      </c>
      <c r="D13">
        <v>0</v>
      </c>
      <c r="E13">
        <v>1.1298431850000068E-7</v>
      </c>
      <c r="F13">
        <v>0</v>
      </c>
      <c r="G13">
        <v>-2.279134300499884E-5</v>
      </c>
      <c r="H13">
        <v>0</v>
      </c>
      <c r="I13">
        <v>7.4197804999023842E-8</v>
      </c>
      <c r="J13">
        <v>0</v>
      </c>
      <c r="K13">
        <v>-2.0167282170000661E-5</v>
      </c>
      <c r="L13">
        <v>-7.7563605377570233E-6</v>
      </c>
      <c r="M13">
        <v>1.5646230895880291E-3</v>
      </c>
      <c r="N13">
        <v>-5.0936708237319175E-6</v>
      </c>
      <c r="O13">
        <v>1.3844816135011977E-3</v>
      </c>
      <c r="P13" s="3">
        <v>1.6269970802566737E-4</v>
      </c>
      <c r="Q13" s="3">
        <v>0</v>
      </c>
      <c r="R13" s="3">
        <v>6.371922546753974E-3</v>
      </c>
      <c r="S13" s="3">
        <v>0</v>
      </c>
      <c r="T13">
        <f>Constraint[[#This Row],[nx]]</f>
        <v>21</v>
      </c>
      <c r="U13">
        <v>20</v>
      </c>
    </row>
    <row r="14" spans="1:21" x14ac:dyDescent="0.3">
      <c r="A14">
        <v>0</v>
      </c>
      <c r="B14">
        <v>0</v>
      </c>
      <c r="C14">
        <v>0</v>
      </c>
      <c r="D14">
        <v>0</v>
      </c>
      <c r="E14">
        <v>3.2241816680031454E-7</v>
      </c>
      <c r="F14">
        <v>0</v>
      </c>
      <c r="G14">
        <v>-1.9543423885800063E-5</v>
      </c>
      <c r="H14">
        <v>0</v>
      </c>
      <c r="I14">
        <v>1.577977091996724E-7</v>
      </c>
      <c r="J14">
        <v>0</v>
      </c>
      <c r="K14">
        <v>-1.7204009519398988E-5</v>
      </c>
      <c r="L14">
        <v>-2.2133970260889563E-5</v>
      </c>
      <c r="M14">
        <v>1.3416538136704903E-3</v>
      </c>
      <c r="N14">
        <v>-1.0832794681899828E-5</v>
      </c>
      <c r="O14">
        <v>1.1810532850846031E-3</v>
      </c>
      <c r="P14" s="3">
        <v>1.6438873796951044E-4</v>
      </c>
      <c r="Q14" s="3">
        <v>0</v>
      </c>
      <c r="R14" s="3">
        <v>6.3836347199676246E-3</v>
      </c>
      <c r="S14" s="3">
        <v>0</v>
      </c>
      <c r="T14">
        <f>Constraint[[#This Row],[nx]]</f>
        <v>18</v>
      </c>
      <c r="U14">
        <v>20</v>
      </c>
    </row>
    <row r="15" spans="1:21" x14ac:dyDescent="0.3">
      <c r="A15">
        <v>0</v>
      </c>
      <c r="B15">
        <v>0</v>
      </c>
      <c r="C15">
        <v>0</v>
      </c>
      <c r="D15">
        <v>0</v>
      </c>
      <c r="E15">
        <v>6.721053612008393E-7</v>
      </c>
      <c r="F15">
        <v>0</v>
      </c>
      <c r="G15">
        <v>-1.6249737036200598E-5</v>
      </c>
      <c r="H15">
        <v>0</v>
      </c>
      <c r="I15">
        <v>2.8917763589958456E-7</v>
      </c>
      <c r="J15">
        <v>0</v>
      </c>
      <c r="K15">
        <v>-1.4294864655400863E-5</v>
      </c>
      <c r="L15">
        <v>-4.6139956146509786E-5</v>
      </c>
      <c r="M15">
        <v>1.1155425882975276E-3</v>
      </c>
      <c r="N15">
        <v>-1.9852011617820312E-5</v>
      </c>
      <c r="O15">
        <v>9.8134082302523545E-4</v>
      </c>
      <c r="P15" s="3">
        <v>1.6696561880084177E-4</v>
      </c>
      <c r="Q15" s="3">
        <v>0</v>
      </c>
      <c r="R15" s="3">
        <v>6.3997388748454577E-3</v>
      </c>
      <c r="S15" s="3">
        <v>0</v>
      </c>
      <c r="T15">
        <f>Constraint[[#This Row],[nx]]</f>
        <v>15</v>
      </c>
      <c r="U15">
        <v>20</v>
      </c>
    </row>
    <row r="16" spans="1:21" x14ac:dyDescent="0.3">
      <c r="A16">
        <v>0</v>
      </c>
      <c r="B16">
        <v>0</v>
      </c>
      <c r="C16">
        <v>0</v>
      </c>
      <c r="D16">
        <v>0</v>
      </c>
      <c r="E16">
        <v>1.2804093516005643E-6</v>
      </c>
      <c r="F16">
        <v>0</v>
      </c>
      <c r="G16">
        <v>-1.2907169287800294E-5</v>
      </c>
      <c r="H16">
        <v>0</v>
      </c>
      <c r="I16">
        <v>5.2602346760008412E-7</v>
      </c>
      <c r="J16">
        <v>0</v>
      </c>
      <c r="K16">
        <v>-1.1204148340200268E-5</v>
      </c>
      <c r="L16">
        <v>-8.78999554874485E-5</v>
      </c>
      <c r="M16">
        <v>8.860756948146694E-4</v>
      </c>
      <c r="N16">
        <v>-3.6111450864993039E-5</v>
      </c>
      <c r="O16">
        <v>7.691635016155822E-4</v>
      </c>
      <c r="P16" s="3">
        <v>1.7113059086743009E-4</v>
      </c>
      <c r="Q16" s="3">
        <v>0</v>
      </c>
      <c r="R16" s="3">
        <v>6.4234356260498412E-3</v>
      </c>
      <c r="S16" s="3">
        <v>0</v>
      </c>
      <c r="T16">
        <f>Constraint[[#This Row],[nx]]</f>
        <v>12</v>
      </c>
      <c r="U16">
        <v>20</v>
      </c>
    </row>
    <row r="17" spans="1:21" x14ac:dyDescent="0.3">
      <c r="A17">
        <v>0</v>
      </c>
      <c r="B17">
        <v>0</v>
      </c>
      <c r="C17">
        <v>0</v>
      </c>
      <c r="D17">
        <v>0</v>
      </c>
      <c r="E17">
        <v>2.3419924571003309E-6</v>
      </c>
      <c r="F17">
        <v>0</v>
      </c>
      <c r="G17">
        <v>-9.4960841215008945E-6</v>
      </c>
      <c r="H17">
        <v>0</v>
      </c>
      <c r="I17">
        <v>1.0248340168005771E-6</v>
      </c>
      <c r="J17">
        <v>0</v>
      </c>
      <c r="K17">
        <v>-8.6172050560995306E-6</v>
      </c>
      <c r="L17">
        <v>-1.6077751421741948E-4</v>
      </c>
      <c r="M17">
        <v>6.5190508843255852E-4</v>
      </c>
      <c r="N17">
        <v>-7.0354737995464989E-5</v>
      </c>
      <c r="O17">
        <v>5.9157014115100021E-4</v>
      </c>
      <c r="P17" s="3">
        <v>1.7827718296223557E-4</v>
      </c>
      <c r="Q17" s="3">
        <v>0</v>
      </c>
      <c r="R17" s="3">
        <v>6.4609350292407731E-3</v>
      </c>
      <c r="S17" s="3">
        <v>0</v>
      </c>
      <c r="T17">
        <f>Constraint[[#This Row],[nx]]</f>
        <v>9</v>
      </c>
      <c r="U17">
        <v>20</v>
      </c>
    </row>
    <row r="18" spans="1:21" x14ac:dyDescent="0.3">
      <c r="A18">
        <v>0</v>
      </c>
      <c r="B18">
        <v>0</v>
      </c>
      <c r="C18">
        <v>0</v>
      </c>
      <c r="D18">
        <v>0</v>
      </c>
      <c r="E18">
        <v>4.3063730912010906E-6</v>
      </c>
      <c r="F18">
        <v>0</v>
      </c>
      <c r="G18">
        <v>-5.6151342495997653E-6</v>
      </c>
      <c r="H18">
        <v>0</v>
      </c>
      <c r="I18">
        <v>2.4647966397998988E-6</v>
      </c>
      <c r="J18">
        <v>0</v>
      </c>
      <c r="K18">
        <v>-4.2458727133997537E-6</v>
      </c>
      <c r="L18">
        <v>-2.9563201999091571E-4</v>
      </c>
      <c r="M18">
        <v>3.8547832377115298E-4</v>
      </c>
      <c r="N18">
        <v>-1.692080073089075E-4</v>
      </c>
      <c r="O18">
        <v>2.9147867597710108E-4</v>
      </c>
      <c r="P18" s="3">
        <v>1.9070267020954138E-4</v>
      </c>
      <c r="Q18" s="3">
        <v>0</v>
      </c>
      <c r="R18" s="3">
        <v>6.5168842306995746E-3</v>
      </c>
      <c r="S18" s="3">
        <v>0</v>
      </c>
      <c r="T18">
        <f>Constraint[[#This Row],[nx]]</f>
        <v>6</v>
      </c>
      <c r="U18">
        <v>20</v>
      </c>
    </row>
    <row r="19" spans="1:21" x14ac:dyDescent="0.3">
      <c r="A19">
        <v>0</v>
      </c>
      <c r="B19">
        <v>0</v>
      </c>
      <c r="C19">
        <v>0</v>
      </c>
      <c r="D19">
        <v>0</v>
      </c>
      <c r="E19">
        <v>-7.4115464551993693E-6</v>
      </c>
      <c r="F19">
        <v>0</v>
      </c>
      <c r="G19">
        <v>-1.4778572615299981E-4</v>
      </c>
      <c r="H19">
        <v>0</v>
      </c>
      <c r="I19">
        <v>-7.8581452791007256E-6</v>
      </c>
      <c r="J19">
        <v>0</v>
      </c>
      <c r="K19">
        <v>-1.8071209997900031E-4</v>
      </c>
      <c r="L19">
        <v>5.0880181614641404E-4</v>
      </c>
      <c r="M19">
        <v>1.0145473191281496E-2</v>
      </c>
      <c r="N19">
        <v>5.394607743089766E-4</v>
      </c>
      <c r="O19">
        <v>1.2405864987116787E-2</v>
      </c>
      <c r="P19" s="3">
        <v>1.574338121525197E-4</v>
      </c>
      <c r="Q19" s="3">
        <v>0</v>
      </c>
      <c r="R19" s="3">
        <v>6.2763523666531217E-3</v>
      </c>
      <c r="S19" s="3">
        <v>0</v>
      </c>
      <c r="T19">
        <f>Constraint[[#This Row],[nx]]</f>
        <v>120</v>
      </c>
      <c r="U19">
        <v>15</v>
      </c>
    </row>
    <row r="20" spans="1:21" x14ac:dyDescent="0.3">
      <c r="A20">
        <v>0</v>
      </c>
      <c r="B20">
        <v>0</v>
      </c>
      <c r="C20">
        <v>0</v>
      </c>
      <c r="D20">
        <v>0</v>
      </c>
      <c r="E20">
        <v>-5.6643376912003662E-6</v>
      </c>
      <c r="F20">
        <v>0</v>
      </c>
      <c r="G20">
        <v>-1.371331231165996E-4</v>
      </c>
      <c r="H20">
        <v>0</v>
      </c>
      <c r="I20">
        <v>-5.936513302500987E-6</v>
      </c>
      <c r="J20">
        <v>0</v>
      </c>
      <c r="K20">
        <v>-1.6114540123719941E-4</v>
      </c>
      <c r="L20">
        <v>3.8885613440734976E-4</v>
      </c>
      <c r="M20">
        <v>9.4141732116659223E-3</v>
      </c>
      <c r="N20">
        <v>4.0754095898176343E-4</v>
      </c>
      <c r="O20">
        <v>1.1062613357244861E-2</v>
      </c>
      <c r="P20" s="3">
        <v>1.5752493726665993E-4</v>
      </c>
      <c r="Q20" s="3">
        <v>0</v>
      </c>
      <c r="R20" s="3">
        <v>6.2814805984982942E-3</v>
      </c>
      <c r="S20" s="3">
        <v>0</v>
      </c>
      <c r="T20">
        <f>Constraint[[#This Row],[nx]]</f>
        <v>102</v>
      </c>
      <c r="U20">
        <v>15</v>
      </c>
    </row>
    <row r="21" spans="1:21" x14ac:dyDescent="0.3">
      <c r="A21">
        <v>0</v>
      </c>
      <c r="B21">
        <v>0</v>
      </c>
      <c r="C21">
        <v>0</v>
      </c>
      <c r="D21">
        <v>0</v>
      </c>
      <c r="E21">
        <v>-4.2916279016994019E-6</v>
      </c>
      <c r="F21">
        <v>0</v>
      </c>
      <c r="G21">
        <v>-1.2613248025380129E-4</v>
      </c>
      <c r="H21">
        <v>0</v>
      </c>
      <c r="I21">
        <v>-4.4225527034008616E-6</v>
      </c>
      <c r="J21">
        <v>0</v>
      </c>
      <c r="K21">
        <v>-1.4236630491050103E-4</v>
      </c>
      <c r="L21">
        <v>2.9461976441872567E-4</v>
      </c>
      <c r="M21">
        <v>8.6589803377896055E-3</v>
      </c>
      <c r="N21">
        <v>3.0360773707557506E-4</v>
      </c>
      <c r="O21">
        <v>9.7734305430550381E-3</v>
      </c>
      <c r="P21" s="3">
        <v>1.5764005838678804E-4</v>
      </c>
      <c r="Q21" s="3">
        <v>0</v>
      </c>
      <c r="R21" s="3">
        <v>6.2871078010501586E-3</v>
      </c>
      <c r="S21" s="3">
        <v>0</v>
      </c>
      <c r="T21">
        <f>Constraint[[#This Row],[nx]]</f>
        <v>87</v>
      </c>
      <c r="U21">
        <v>15</v>
      </c>
    </row>
    <row r="22" spans="1:21" x14ac:dyDescent="0.3">
      <c r="A22">
        <v>0</v>
      </c>
      <c r="B22">
        <v>0</v>
      </c>
      <c r="C22">
        <v>0</v>
      </c>
      <c r="D22">
        <v>0</v>
      </c>
      <c r="E22">
        <v>-3.0553632951006715E-6</v>
      </c>
      <c r="F22">
        <v>0</v>
      </c>
      <c r="G22">
        <v>-1.1264667000200103E-4</v>
      </c>
      <c r="H22">
        <v>0</v>
      </c>
      <c r="I22">
        <v>-3.0552691265006704E-6</v>
      </c>
      <c r="J22">
        <v>0</v>
      </c>
      <c r="K22">
        <v>-1.2127893683430008E-4</v>
      </c>
      <c r="L22">
        <v>2.0975034062475917E-4</v>
      </c>
      <c r="M22">
        <v>7.7331810070023939E-3</v>
      </c>
      <c r="N22">
        <v>2.0974387596114571E-4</v>
      </c>
      <c r="O22">
        <v>8.3257851373661797E-3</v>
      </c>
      <c r="P22" s="3">
        <v>1.5782547753499847E-4</v>
      </c>
      <c r="Q22" s="3">
        <v>0</v>
      </c>
      <c r="R22" s="3">
        <v>6.29460958350417E-3</v>
      </c>
      <c r="S22" s="3">
        <v>0</v>
      </c>
      <c r="T22">
        <f>Constraint[[#This Row],[nx]]</f>
        <v>72</v>
      </c>
      <c r="U22">
        <v>15</v>
      </c>
    </row>
    <row r="23" spans="1:21" x14ac:dyDescent="0.3">
      <c r="A23">
        <v>0</v>
      </c>
      <c r="B23">
        <v>0</v>
      </c>
      <c r="C23">
        <v>0</v>
      </c>
      <c r="D23">
        <v>0</v>
      </c>
      <c r="E23">
        <v>-2.4027167014016582E-6</v>
      </c>
      <c r="F23">
        <v>0</v>
      </c>
      <c r="G23">
        <v>-1.030960007872006E-4</v>
      </c>
      <c r="H23">
        <v>0</v>
      </c>
      <c r="I23">
        <v>-2.3314799156015642E-6</v>
      </c>
      <c r="J23">
        <v>0</v>
      </c>
      <c r="K23">
        <v>-1.0756510973159925E-4</v>
      </c>
      <c r="L23">
        <v>1.649462266408476E-4</v>
      </c>
      <c r="M23">
        <v>7.0775286581602585E-3</v>
      </c>
      <c r="N23">
        <v>1.6005582944633029E-4</v>
      </c>
      <c r="O23">
        <v>7.3843324758535306E-3</v>
      </c>
      <c r="P23" s="3">
        <v>1.5799939658038366E-4</v>
      </c>
      <c r="Q23" s="3">
        <v>0</v>
      </c>
      <c r="R23" s="3">
        <v>6.3004233507126129E-3</v>
      </c>
      <c r="S23" s="3">
        <v>0</v>
      </c>
      <c r="T23">
        <f>Constraint[[#This Row],[nx]]</f>
        <v>63</v>
      </c>
      <c r="U23">
        <v>15</v>
      </c>
    </row>
    <row r="24" spans="1:21" x14ac:dyDescent="0.3">
      <c r="A24">
        <v>0</v>
      </c>
      <c r="B24">
        <v>0</v>
      </c>
      <c r="C24">
        <v>0</v>
      </c>
      <c r="D24">
        <v>0</v>
      </c>
      <c r="E24">
        <v>-1.8295251065000157E-6</v>
      </c>
      <c r="F24">
        <v>0</v>
      </c>
      <c r="G24">
        <v>-9.2268887081000187E-5</v>
      </c>
      <c r="H24">
        <v>0</v>
      </c>
      <c r="I24">
        <v>-1.6948310041994818E-6</v>
      </c>
      <c r="J24">
        <v>0</v>
      </c>
      <c r="K24">
        <v>-9.3135860559100808E-5</v>
      </c>
      <c r="L24">
        <v>1.2559668923341205E-4</v>
      </c>
      <c r="M24">
        <v>6.3342485410297911E-3</v>
      </c>
      <c r="N24">
        <v>1.1634995452170296E-4</v>
      </c>
      <c r="O24">
        <v>6.3937661711053508E-3</v>
      </c>
      <c r="P24" s="3">
        <v>1.582588088311826E-4</v>
      </c>
      <c r="Q24" s="3">
        <v>0</v>
      </c>
      <c r="R24" s="3">
        <v>6.3076410021522334E-3</v>
      </c>
      <c r="S24" s="3">
        <v>0</v>
      </c>
      <c r="T24">
        <f>Constraint[[#This Row],[nx]]</f>
        <v>54</v>
      </c>
      <c r="U24">
        <v>15</v>
      </c>
    </row>
    <row r="25" spans="1:21" x14ac:dyDescent="0.3">
      <c r="A25">
        <v>0</v>
      </c>
      <c r="B25">
        <v>0</v>
      </c>
      <c r="C25">
        <v>0</v>
      </c>
      <c r="D25">
        <v>0</v>
      </c>
      <c r="E25">
        <v>-1.3406104006005726E-6</v>
      </c>
      <c r="F25">
        <v>0</v>
      </c>
      <c r="G25">
        <v>-8.0033150362901137E-5</v>
      </c>
      <c r="H25">
        <v>0</v>
      </c>
      <c r="I25">
        <v>-1.1536408845991275E-6</v>
      </c>
      <c r="J25">
        <v>0</v>
      </c>
      <c r="K25">
        <v>-7.8098683264299709E-5</v>
      </c>
      <c r="L25">
        <v>9.2032750613311662E-5</v>
      </c>
      <c r="M25">
        <v>5.4942666153021645E-3</v>
      </c>
      <c r="N25">
        <v>7.9197314732205176E-5</v>
      </c>
      <c r="O25">
        <v>5.3614656703180816E-3</v>
      </c>
      <c r="P25" s="3">
        <v>1.5867177130290787E-4</v>
      </c>
      <c r="Q25" s="3">
        <v>0</v>
      </c>
      <c r="R25" s="3">
        <v>6.3168342717938916E-3</v>
      </c>
      <c r="S25" s="3">
        <v>0</v>
      </c>
      <c r="T25">
        <f>Constraint[[#This Row],[nx]]</f>
        <v>45</v>
      </c>
      <c r="U25">
        <v>15</v>
      </c>
    </row>
    <row r="26" spans="1:21" x14ac:dyDescent="0.3">
      <c r="A26">
        <v>0</v>
      </c>
      <c r="B26">
        <v>0</v>
      </c>
      <c r="C26">
        <v>0</v>
      </c>
      <c r="D26">
        <v>0</v>
      </c>
      <c r="E26">
        <v>-1.0581415619999313E-6</v>
      </c>
      <c r="F26">
        <v>0</v>
      </c>
      <c r="G26">
        <v>-7.1050710072999984E-5</v>
      </c>
      <c r="H26">
        <v>0</v>
      </c>
      <c r="I26">
        <v>-8.4682182800027705E-7</v>
      </c>
      <c r="J26">
        <v>0</v>
      </c>
      <c r="K26">
        <v>-6.7805186636200193E-5</v>
      </c>
      <c r="L26">
        <v>7.2641297162466534E-5</v>
      </c>
      <c r="M26">
        <v>4.8776231171396116E-3</v>
      </c>
      <c r="N26">
        <v>5.8134221601852804E-5</v>
      </c>
      <c r="O26">
        <v>4.6548183045446584E-3</v>
      </c>
      <c r="P26" s="3">
        <v>1.5910150572875063E-4</v>
      </c>
      <c r="Q26" s="3">
        <v>0</v>
      </c>
      <c r="R26" s="3">
        <v>6.3245405073559932E-3</v>
      </c>
      <c r="S26" s="3">
        <v>0</v>
      </c>
      <c r="T26">
        <f>Constraint[[#This Row],[nx]]</f>
        <v>39</v>
      </c>
      <c r="U26">
        <v>15</v>
      </c>
    </row>
    <row r="27" spans="1:21" x14ac:dyDescent="0.3">
      <c r="A27">
        <v>0</v>
      </c>
      <c r="B27">
        <v>0</v>
      </c>
      <c r="C27">
        <v>0</v>
      </c>
      <c r="D27">
        <v>0</v>
      </c>
      <c r="E27">
        <v>-7.9876136519982377E-7</v>
      </c>
      <c r="F27">
        <v>0</v>
      </c>
      <c r="G27">
        <v>-6.1404188644699834E-5</v>
      </c>
      <c r="H27">
        <v>0</v>
      </c>
      <c r="I27">
        <v>-5.7960035220079587E-7</v>
      </c>
      <c r="J27">
        <v>0</v>
      </c>
      <c r="K27">
        <v>-5.7354163155399693E-5</v>
      </c>
      <c r="L27">
        <v>5.4834876329507357E-5</v>
      </c>
      <c r="M27">
        <v>4.2153905248077904E-3</v>
      </c>
      <c r="N27">
        <v>3.9789497862754639E-5</v>
      </c>
      <c r="O27">
        <v>3.9373567383569757E-3</v>
      </c>
      <c r="P27" s="3">
        <v>1.5975824026337061E-4</v>
      </c>
      <c r="Q27" s="3">
        <v>0</v>
      </c>
      <c r="R27" s="3">
        <v>6.3341333111168723E-3</v>
      </c>
      <c r="S27" s="3">
        <v>0</v>
      </c>
      <c r="T27">
        <f>Constraint[[#This Row],[nx]]</f>
        <v>33</v>
      </c>
      <c r="U27">
        <v>15</v>
      </c>
    </row>
    <row r="28" spans="1:21" x14ac:dyDescent="0.3">
      <c r="A28">
        <v>0</v>
      </c>
      <c r="B28">
        <v>0</v>
      </c>
      <c r="C28">
        <v>0</v>
      </c>
      <c r="D28">
        <v>0</v>
      </c>
      <c r="E28">
        <v>-5.3248468709875263E-7</v>
      </c>
      <c r="F28">
        <v>0</v>
      </c>
      <c r="G28">
        <v>-5.1119344489000337E-5</v>
      </c>
      <c r="H28">
        <v>0</v>
      </c>
      <c r="I28">
        <v>-3.4129651989983634E-7</v>
      </c>
      <c r="J28">
        <v>0</v>
      </c>
      <c r="K28">
        <v>-4.6800769168698839E-5</v>
      </c>
      <c r="L28">
        <v>3.6555012844308264E-5</v>
      </c>
      <c r="M28">
        <v>3.5093371502746377E-3</v>
      </c>
      <c r="N28">
        <v>2.3429967041178196E-5</v>
      </c>
      <c r="O28">
        <v>3.2128674486521097E-3</v>
      </c>
      <c r="P28" s="3">
        <v>1.608410580518857E-4</v>
      </c>
      <c r="Q28" s="3">
        <v>0</v>
      </c>
      <c r="R28" s="3">
        <v>6.346699857045196E-3</v>
      </c>
      <c r="S28" s="3">
        <v>0</v>
      </c>
      <c r="T28">
        <f>Constraint[[#This Row],[nx]]</f>
        <v>27</v>
      </c>
      <c r="U28">
        <v>15</v>
      </c>
    </row>
    <row r="29" spans="1:21" x14ac:dyDescent="0.3">
      <c r="A29">
        <v>0</v>
      </c>
      <c r="B29">
        <v>0</v>
      </c>
      <c r="C29">
        <v>0</v>
      </c>
      <c r="D29">
        <v>0</v>
      </c>
      <c r="E29">
        <v>-3.7488105620112067E-7</v>
      </c>
      <c r="F29">
        <v>0</v>
      </c>
      <c r="G29">
        <v>-4.5754060179998418E-5</v>
      </c>
      <c r="H29">
        <v>0</v>
      </c>
      <c r="I29">
        <v>-2.2531013730078819E-7</v>
      </c>
      <c r="J29">
        <v>0</v>
      </c>
      <c r="K29">
        <v>-4.1501275457999504E-5</v>
      </c>
      <c r="L29">
        <v>2.5735541615637576E-5</v>
      </c>
      <c r="M29">
        <v>3.1410109963385772E-3</v>
      </c>
      <c r="N29">
        <v>1.546751514650696E-5</v>
      </c>
      <c r="O29">
        <v>2.849057811761993E-3</v>
      </c>
      <c r="P29" s="3">
        <v>1.6167001553329556E-4</v>
      </c>
      <c r="Q29" s="3">
        <v>0</v>
      </c>
      <c r="R29" s="3">
        <v>6.354751866840984E-3</v>
      </c>
      <c r="S29" s="3">
        <v>0</v>
      </c>
      <c r="T29">
        <f>Constraint[[#This Row],[nx]]</f>
        <v>24</v>
      </c>
      <c r="U29">
        <v>15</v>
      </c>
    </row>
    <row r="30" spans="1:21" x14ac:dyDescent="0.3">
      <c r="A30">
        <v>0</v>
      </c>
      <c r="B30">
        <v>0</v>
      </c>
      <c r="C30">
        <v>0</v>
      </c>
      <c r="D30">
        <v>0</v>
      </c>
      <c r="E30">
        <v>-1.7589364880062075E-7</v>
      </c>
      <c r="F30">
        <v>0</v>
      </c>
      <c r="G30">
        <v>-4.0252936127499472E-5</v>
      </c>
      <c r="H30">
        <v>0</v>
      </c>
      <c r="I30">
        <v>-1.0274239140017905E-7</v>
      </c>
      <c r="J30">
        <v>0</v>
      </c>
      <c r="K30">
        <v>-3.6206868601800293E-5</v>
      </c>
      <c r="L30">
        <v>1.2075078865031105E-5</v>
      </c>
      <c r="M30">
        <v>2.7633594595537526E-3</v>
      </c>
      <c r="N30">
        <v>7.0532534142001349E-6</v>
      </c>
      <c r="O30">
        <v>2.4855973868512932E-3</v>
      </c>
      <c r="P30" s="3">
        <v>1.6282671348385476E-4</v>
      </c>
      <c r="Q30" s="3">
        <v>0</v>
      </c>
      <c r="R30" s="3">
        <v>6.3646458323708306E-3</v>
      </c>
      <c r="S30" s="3">
        <v>0</v>
      </c>
      <c r="T30">
        <f>Constraint[[#This Row],[nx]]</f>
        <v>21</v>
      </c>
      <c r="U30">
        <v>15</v>
      </c>
    </row>
    <row r="31" spans="1:21" x14ac:dyDescent="0.3">
      <c r="A31">
        <v>0</v>
      </c>
      <c r="B31">
        <v>0</v>
      </c>
      <c r="C31">
        <v>0</v>
      </c>
      <c r="D31">
        <v>0</v>
      </c>
      <c r="E31">
        <v>1.0211779459881609E-7</v>
      </c>
      <c r="F31">
        <v>0</v>
      </c>
      <c r="G31">
        <v>-3.4627499719800878E-5</v>
      </c>
      <c r="H31">
        <v>0</v>
      </c>
      <c r="I31">
        <v>3.9865452300391624E-8</v>
      </c>
      <c r="J31">
        <v>0</v>
      </c>
      <c r="K31">
        <v>-3.0884766479499781E-5</v>
      </c>
      <c r="L31">
        <v>-7.0103749152498895E-6</v>
      </c>
      <c r="M31">
        <v>2.3771738938078522E-3</v>
      </c>
      <c r="N31">
        <v>-2.7367587391572594E-6</v>
      </c>
      <c r="O31">
        <v>2.1202356850915285E-3</v>
      </c>
      <c r="P31" s="3">
        <v>1.6450771775774665E-4</v>
      </c>
      <c r="Q31" s="3">
        <v>0</v>
      </c>
      <c r="R31" s="3">
        <v>6.3773076554380238E-3</v>
      </c>
      <c r="S31" s="3">
        <v>0</v>
      </c>
      <c r="T31">
        <f>Constraint[[#This Row],[nx]]</f>
        <v>18</v>
      </c>
      <c r="U31">
        <v>15</v>
      </c>
    </row>
    <row r="32" spans="1:21" x14ac:dyDescent="0.3">
      <c r="A32">
        <v>0</v>
      </c>
      <c r="B32">
        <v>0</v>
      </c>
      <c r="C32">
        <v>0</v>
      </c>
      <c r="D32">
        <v>0</v>
      </c>
      <c r="E32">
        <v>5.2852699910024836E-7</v>
      </c>
      <c r="F32">
        <v>0</v>
      </c>
      <c r="G32">
        <v>-2.8889624171800007E-5</v>
      </c>
      <c r="H32">
        <v>0</v>
      </c>
      <c r="I32">
        <v>2.2977686009971465E-7</v>
      </c>
      <c r="J32">
        <v>0</v>
      </c>
      <c r="K32">
        <v>-2.5671736727000266E-5</v>
      </c>
      <c r="L32">
        <v>-3.6283318016035182E-5</v>
      </c>
      <c r="M32">
        <v>1.9832693939450894E-3</v>
      </c>
      <c r="N32">
        <v>-1.577415515558768E-5</v>
      </c>
      <c r="O32">
        <v>1.7623617890389284E-3</v>
      </c>
      <c r="P32" s="3">
        <v>1.6707354862996292E-4</v>
      </c>
      <c r="Q32" s="3">
        <v>0</v>
      </c>
      <c r="R32" s="3">
        <v>6.3944031327871761E-3</v>
      </c>
      <c r="S32" s="3">
        <v>0</v>
      </c>
      <c r="T32">
        <f>Constraint[[#This Row],[nx]]</f>
        <v>15</v>
      </c>
      <c r="U32">
        <v>15</v>
      </c>
    </row>
    <row r="33" spans="1:21" x14ac:dyDescent="0.3">
      <c r="A33">
        <v>0</v>
      </c>
      <c r="B33">
        <v>0</v>
      </c>
      <c r="C33">
        <v>0</v>
      </c>
      <c r="D33">
        <v>0</v>
      </c>
      <c r="E33">
        <v>1.2316687431988133E-6</v>
      </c>
      <c r="F33">
        <v>0</v>
      </c>
      <c r="G33">
        <v>-2.3048256915901219E-5</v>
      </c>
      <c r="H33">
        <v>0</v>
      </c>
      <c r="I33">
        <v>5.3112678860024742E-7</v>
      </c>
      <c r="J33">
        <v>0</v>
      </c>
      <c r="K33">
        <v>-2.0162773481699481E-5</v>
      </c>
      <c r="L33">
        <v>-8.4553918297397557E-5</v>
      </c>
      <c r="M33">
        <v>1.5822602001762925E-3</v>
      </c>
      <c r="N33">
        <v>-3.6461793267751619E-5</v>
      </c>
      <c r="O33">
        <v>1.3841720925651876E-3</v>
      </c>
      <c r="P33" s="3">
        <v>1.712225553769274E-4</v>
      </c>
      <c r="Q33" s="3">
        <v>0</v>
      </c>
      <c r="R33" s="3">
        <v>6.4191263531811465E-3</v>
      </c>
      <c r="S33" s="3">
        <v>0</v>
      </c>
      <c r="T33">
        <f>Constraint[[#This Row],[nx]]</f>
        <v>12</v>
      </c>
      <c r="U33">
        <v>15</v>
      </c>
    </row>
    <row r="34" spans="1:21" x14ac:dyDescent="0.3">
      <c r="A34">
        <v>0</v>
      </c>
      <c r="B34">
        <v>0</v>
      </c>
      <c r="C34">
        <v>0</v>
      </c>
      <c r="D34">
        <v>0</v>
      </c>
      <c r="E34">
        <v>2.4268427632010564E-6</v>
      </c>
      <c r="F34">
        <v>0</v>
      </c>
      <c r="G34">
        <v>-1.709601023060052E-5</v>
      </c>
      <c r="H34">
        <v>0</v>
      </c>
      <c r="I34">
        <v>1.1130482521996138E-6</v>
      </c>
      <c r="J34">
        <v>0</v>
      </c>
      <c r="K34">
        <v>-1.5597012162400434E-5</v>
      </c>
      <c r="L34">
        <v>-1.6660247802295636E-4</v>
      </c>
      <c r="M34">
        <v>1.1736391462654873E-3</v>
      </c>
      <c r="N34">
        <v>-7.6410635162442453E-5</v>
      </c>
      <c r="O34">
        <v>1.0707331003936274E-3</v>
      </c>
      <c r="P34" s="3">
        <v>1.7834591589700266E-4</v>
      </c>
      <c r="Q34" s="3">
        <v>0</v>
      </c>
      <c r="R34" s="3">
        <v>6.4576835547661554E-3</v>
      </c>
      <c r="S34" s="3">
        <v>0</v>
      </c>
      <c r="T34">
        <f>Constraint[[#This Row],[nx]]</f>
        <v>9</v>
      </c>
      <c r="U34">
        <v>15</v>
      </c>
    </row>
    <row r="35" spans="1:21" x14ac:dyDescent="0.3">
      <c r="A35">
        <v>0</v>
      </c>
      <c r="B35">
        <v>0</v>
      </c>
      <c r="C35">
        <v>0</v>
      </c>
      <c r="D35">
        <v>0</v>
      </c>
      <c r="E35">
        <v>4.6417617744990564E-6</v>
      </c>
      <c r="F35">
        <v>0</v>
      </c>
      <c r="G35">
        <v>-1.0621512933798455E-5</v>
      </c>
      <c r="H35">
        <v>0</v>
      </c>
      <c r="I35">
        <v>2.726875234299736E-6</v>
      </c>
      <c r="J35">
        <v>0</v>
      </c>
      <c r="K35">
        <v>-8.2095577860000213E-6</v>
      </c>
      <c r="L35">
        <v>-3.186564147253379E-4</v>
      </c>
      <c r="M35">
        <v>7.2916564762918763E-4</v>
      </c>
      <c r="N35">
        <v>-1.871996728352171E-4</v>
      </c>
      <c r="O35">
        <v>5.6358520270023259E-4</v>
      </c>
      <c r="P35" s="3">
        <v>1.9074209817994154E-4</v>
      </c>
      <c r="Q35" s="3">
        <v>0</v>
      </c>
      <c r="R35" s="3">
        <v>6.514763308967525E-3</v>
      </c>
      <c r="S35" s="3">
        <v>0</v>
      </c>
      <c r="T35">
        <f>Constraint[[#This Row],[nx]]</f>
        <v>6</v>
      </c>
      <c r="U35">
        <v>15</v>
      </c>
    </row>
    <row r="36" spans="1:21" x14ac:dyDescent="0.3">
      <c r="A36">
        <v>0</v>
      </c>
      <c r="B36">
        <v>0</v>
      </c>
      <c r="C36">
        <v>0</v>
      </c>
      <c r="D36">
        <v>0</v>
      </c>
      <c r="E36">
        <v>-2.2177905869100178E-5</v>
      </c>
      <c r="F36">
        <v>0</v>
      </c>
      <c r="G36">
        <v>-2.3686972613500001E-4</v>
      </c>
      <c r="H36">
        <v>0</v>
      </c>
      <c r="I36">
        <v>-2.3373876970898821E-5</v>
      </c>
      <c r="J36">
        <v>0</v>
      </c>
      <c r="K36">
        <v>-3.0968879131120126E-4</v>
      </c>
      <c r="L36">
        <v>1.5225107003958988E-3</v>
      </c>
      <c r="M36">
        <v>1.6261079597368496E-2</v>
      </c>
      <c r="N36">
        <v>1.6046139796955794E-3</v>
      </c>
      <c r="O36">
        <v>2.1260100090013914E-2</v>
      </c>
      <c r="P36" s="3">
        <v>1.5769177841437181E-4</v>
      </c>
      <c r="Q36" s="3">
        <v>0</v>
      </c>
      <c r="R36" s="3">
        <v>6.2441979836225427E-3</v>
      </c>
      <c r="S36" s="3">
        <v>0</v>
      </c>
      <c r="T36">
        <f>Constraint[[#This Row],[nx]]</f>
        <v>120</v>
      </c>
      <c r="U36">
        <v>11</v>
      </c>
    </row>
    <row r="37" spans="1:21" x14ac:dyDescent="0.3">
      <c r="A37">
        <v>0</v>
      </c>
      <c r="B37">
        <v>0</v>
      </c>
      <c r="C37">
        <v>0</v>
      </c>
      <c r="D37">
        <v>0</v>
      </c>
      <c r="E37">
        <v>-1.7825807174100955E-5</v>
      </c>
      <c r="F37">
        <v>0</v>
      </c>
      <c r="G37">
        <v>-2.2286668175760041E-4</v>
      </c>
      <c r="H37">
        <v>0</v>
      </c>
      <c r="I37">
        <v>-1.8685614712599455E-5</v>
      </c>
      <c r="J37">
        <v>0</v>
      </c>
      <c r="K37">
        <v>-2.825754772788E-4</v>
      </c>
      <c r="L37">
        <v>1.2237396229359959E-3</v>
      </c>
      <c r="M37">
        <v>1.5299772203039002E-2</v>
      </c>
      <c r="N37">
        <v>1.2827653120777716E-3</v>
      </c>
      <c r="O37">
        <v>1.9398774183899403E-2</v>
      </c>
      <c r="P37" s="3">
        <v>1.5780470719946026E-4</v>
      </c>
      <c r="Q37" s="3">
        <v>0</v>
      </c>
      <c r="R37" s="3">
        <v>6.2504584328213139E-3</v>
      </c>
      <c r="S37" s="3">
        <v>0</v>
      </c>
      <c r="T37">
        <f>Constraint[[#This Row],[nx]]</f>
        <v>102</v>
      </c>
      <c r="U37">
        <v>11</v>
      </c>
    </row>
    <row r="38" spans="1:21" x14ac:dyDescent="0.3">
      <c r="A38">
        <v>0</v>
      </c>
      <c r="B38">
        <v>0</v>
      </c>
      <c r="C38">
        <v>0</v>
      </c>
      <c r="D38">
        <v>0</v>
      </c>
      <c r="E38">
        <v>-1.4043279863500471E-5</v>
      </c>
      <c r="F38">
        <v>0</v>
      </c>
      <c r="G38">
        <v>-2.0784133367570019E-4</v>
      </c>
      <c r="H38">
        <v>0</v>
      </c>
      <c r="I38">
        <v>-1.4589753628599378E-5</v>
      </c>
      <c r="J38">
        <v>0</v>
      </c>
      <c r="K38">
        <v>-2.5474968366459919E-4</v>
      </c>
      <c r="L38">
        <v>9.640695558467173E-4</v>
      </c>
      <c r="M38">
        <v>1.4268283776363921E-2</v>
      </c>
      <c r="N38">
        <v>1.0015849172951563E-3</v>
      </c>
      <c r="O38">
        <v>1.7488536636013758E-2</v>
      </c>
      <c r="P38" s="3">
        <v>1.57935452299739E-4</v>
      </c>
      <c r="Q38" s="3">
        <v>0</v>
      </c>
      <c r="R38" s="3">
        <v>6.2573450316018766E-3</v>
      </c>
      <c r="S38" s="3">
        <v>0</v>
      </c>
      <c r="T38">
        <f>Constraint[[#This Row],[nx]]</f>
        <v>87</v>
      </c>
      <c r="U38">
        <v>11</v>
      </c>
    </row>
    <row r="39" spans="1:21" x14ac:dyDescent="0.3">
      <c r="A39">
        <v>0</v>
      </c>
      <c r="B39">
        <v>0</v>
      </c>
      <c r="C39">
        <v>0</v>
      </c>
      <c r="D39">
        <v>0</v>
      </c>
      <c r="E39">
        <v>-1.0321117263199786E-5</v>
      </c>
      <c r="F39">
        <v>0</v>
      </c>
      <c r="G39">
        <v>-1.8883548775499963E-4</v>
      </c>
      <c r="H39">
        <v>0</v>
      </c>
      <c r="I39">
        <v>-1.0547854176101018E-5</v>
      </c>
      <c r="J39">
        <v>0</v>
      </c>
      <c r="K39">
        <v>-2.2143185814629991E-4</v>
      </c>
      <c r="L39">
        <v>7.0854351921280541E-4</v>
      </c>
      <c r="M39">
        <v>1.2963534628489738E-2</v>
      </c>
      <c r="N39">
        <v>7.2410898234103599E-4</v>
      </c>
      <c r="O39">
        <v>1.5201271726290683E-2</v>
      </c>
      <c r="P39" s="3">
        <v>1.5812991072956817E-4</v>
      </c>
      <c r="Q39" s="3">
        <v>0</v>
      </c>
      <c r="R39" s="3">
        <v>6.2664509840116168E-3</v>
      </c>
      <c r="S39" s="3">
        <v>0</v>
      </c>
      <c r="T39">
        <f>Constraint[[#This Row],[nx]]</f>
        <v>72</v>
      </c>
      <c r="U39">
        <v>11</v>
      </c>
    </row>
    <row r="40" spans="1:21" x14ac:dyDescent="0.3">
      <c r="A40">
        <v>0</v>
      </c>
      <c r="B40">
        <v>0</v>
      </c>
      <c r="C40">
        <v>0</v>
      </c>
      <c r="D40">
        <v>0</v>
      </c>
      <c r="E40">
        <v>-8.2158253544989401E-6</v>
      </c>
      <c r="F40">
        <v>0</v>
      </c>
      <c r="G40">
        <v>-1.7500546577059982E-4</v>
      </c>
      <c r="H40">
        <v>0</v>
      </c>
      <c r="I40">
        <v>-8.2594919304998515E-6</v>
      </c>
      <c r="J40">
        <v>0</v>
      </c>
      <c r="K40">
        <v>-1.9860794489849967E-4</v>
      </c>
      <c r="L40">
        <v>5.6401547056057072E-4</v>
      </c>
      <c r="M40">
        <v>1.2014105201643064E-2</v>
      </c>
      <c r="N40">
        <v>5.6701317600685655E-4</v>
      </c>
      <c r="O40">
        <v>1.3634412693260909E-2</v>
      </c>
      <c r="P40" s="3">
        <v>1.5830426618940223E-4</v>
      </c>
      <c r="Q40" s="3">
        <v>0</v>
      </c>
      <c r="R40" s="3">
        <v>6.2734663287192091E-3</v>
      </c>
      <c r="S40" s="3">
        <v>0</v>
      </c>
      <c r="T40">
        <f>Constraint[[#This Row],[nx]]</f>
        <v>63</v>
      </c>
      <c r="U40">
        <v>11</v>
      </c>
    </row>
    <row r="41" spans="1:21" x14ac:dyDescent="0.3">
      <c r="A41">
        <v>0</v>
      </c>
      <c r="B41">
        <v>0</v>
      </c>
      <c r="C41">
        <v>0</v>
      </c>
      <c r="D41">
        <v>0</v>
      </c>
      <c r="E41">
        <v>-6.2752459164001212E-6</v>
      </c>
      <c r="F41">
        <v>0</v>
      </c>
      <c r="G41">
        <v>-1.5891516312329865E-4</v>
      </c>
      <c r="H41">
        <v>0</v>
      </c>
      <c r="I41">
        <v>-6.1509133679991945E-6</v>
      </c>
      <c r="J41">
        <v>0</v>
      </c>
      <c r="K41">
        <v>-1.7365722507639916E-4</v>
      </c>
      <c r="L41">
        <v>4.3079491416934609E-4</v>
      </c>
      <c r="M41">
        <v>1.0909507765901556E-2</v>
      </c>
      <c r="N41">
        <v>4.2225949894731524E-4</v>
      </c>
      <c r="O41">
        <v>1.1921548632247137E-2</v>
      </c>
      <c r="P41" s="3">
        <v>1.58559533662443E-4</v>
      </c>
      <c r="Q41" s="3">
        <v>0</v>
      </c>
      <c r="R41" s="3">
        <v>6.2821776406755854E-3</v>
      </c>
      <c r="S41" s="3">
        <v>0</v>
      </c>
      <c r="T41">
        <f>Constraint[[#This Row],[nx]]</f>
        <v>54</v>
      </c>
      <c r="U41">
        <v>11</v>
      </c>
    </row>
    <row r="42" spans="1:21" x14ac:dyDescent="0.3">
      <c r="A42">
        <v>0</v>
      </c>
      <c r="B42">
        <v>0</v>
      </c>
      <c r="C42">
        <v>0</v>
      </c>
      <c r="D42">
        <v>0</v>
      </c>
      <c r="E42">
        <v>-4.5521823842011727E-6</v>
      </c>
      <c r="F42">
        <v>0</v>
      </c>
      <c r="G42">
        <v>-1.4012203117079979E-4</v>
      </c>
      <c r="H42">
        <v>0</v>
      </c>
      <c r="I42">
        <v>-4.2835803626007501E-6</v>
      </c>
      <c r="J42">
        <v>0</v>
      </c>
      <c r="K42">
        <v>-1.4673012845159948E-4</v>
      </c>
      <c r="L42">
        <v>3.1250679983074563E-4</v>
      </c>
      <c r="M42">
        <v>9.6193614076064381E-3</v>
      </c>
      <c r="N42">
        <v>2.9406730178037355E-4</v>
      </c>
      <c r="O42">
        <v>1.0073006529858135E-2</v>
      </c>
      <c r="P42" s="3">
        <v>1.5896359232875045E-4</v>
      </c>
      <c r="Q42" s="3">
        <v>0</v>
      </c>
      <c r="R42" s="3">
        <v>6.2933269000390113E-3</v>
      </c>
      <c r="S42" s="3">
        <v>0</v>
      </c>
      <c r="T42">
        <f>Constraint[[#This Row],[nx]]</f>
        <v>45</v>
      </c>
      <c r="U42">
        <v>11</v>
      </c>
    </row>
    <row r="43" spans="1:21" x14ac:dyDescent="0.3">
      <c r="A43">
        <v>0</v>
      </c>
      <c r="B43">
        <v>0</v>
      </c>
      <c r="C43">
        <v>0</v>
      </c>
      <c r="D43">
        <v>0</v>
      </c>
      <c r="E43">
        <v>-3.5430876687992524E-6</v>
      </c>
      <c r="F43">
        <v>0</v>
      </c>
      <c r="G43">
        <v>-1.2586055764159977E-4</v>
      </c>
      <c r="H43">
        <v>0</v>
      </c>
      <c r="I43">
        <v>-3.1984218899997613E-6</v>
      </c>
      <c r="J43">
        <v>0</v>
      </c>
      <c r="K43">
        <v>-1.2783321209799969E-4</v>
      </c>
      <c r="L43">
        <v>2.4323256307546507E-4</v>
      </c>
      <c r="M43">
        <v>8.640312881574394E-3</v>
      </c>
      <c r="N43">
        <v>2.1957129679632537E-4</v>
      </c>
      <c r="O43">
        <v>8.7757353843020761E-3</v>
      </c>
      <c r="P43" s="3">
        <v>1.5938477719611342E-4</v>
      </c>
      <c r="Q43" s="3">
        <v>0</v>
      </c>
      <c r="R43" s="3">
        <v>6.3027113996970661E-3</v>
      </c>
      <c r="S43" s="3">
        <v>0</v>
      </c>
      <c r="T43">
        <f>Constraint[[#This Row],[nx]]</f>
        <v>39</v>
      </c>
      <c r="U43">
        <v>11</v>
      </c>
    </row>
    <row r="44" spans="1:21" x14ac:dyDescent="0.3">
      <c r="A44">
        <v>0</v>
      </c>
      <c r="B44">
        <v>0</v>
      </c>
      <c r="C44">
        <v>0</v>
      </c>
      <c r="D44">
        <v>0</v>
      </c>
      <c r="E44">
        <v>-2.6460969970009546E-6</v>
      </c>
      <c r="F44">
        <v>0</v>
      </c>
      <c r="G44">
        <v>-1.100726529983994E-4</v>
      </c>
      <c r="H44">
        <v>0</v>
      </c>
      <c r="I44">
        <v>-2.2518752401008701E-6</v>
      </c>
      <c r="J44">
        <v>0</v>
      </c>
      <c r="K44">
        <v>-1.0834104397390056E-4</v>
      </c>
      <c r="L44">
        <v>1.8165425608702296E-4</v>
      </c>
      <c r="M44">
        <v>7.556475034215096E-3</v>
      </c>
      <c r="N44">
        <v>1.5459097758129502E-4</v>
      </c>
      <c r="O44">
        <v>7.4376002728078552E-3</v>
      </c>
      <c r="P44" s="3">
        <v>1.6003064510956174E-4</v>
      </c>
      <c r="Q44" s="3">
        <v>0</v>
      </c>
      <c r="R44" s="3">
        <v>6.314375970841923E-3</v>
      </c>
      <c r="S44" s="3">
        <v>0</v>
      </c>
      <c r="T44">
        <f>Constraint[[#This Row],[nx]]</f>
        <v>33</v>
      </c>
      <c r="U44">
        <v>11</v>
      </c>
    </row>
    <row r="45" spans="1:21" x14ac:dyDescent="0.3">
      <c r="A45">
        <v>0</v>
      </c>
      <c r="B45">
        <v>0</v>
      </c>
      <c r="C45">
        <v>0</v>
      </c>
      <c r="D45">
        <v>0</v>
      </c>
      <c r="E45">
        <v>-1.8360894663005389E-6</v>
      </c>
      <c r="F45">
        <v>0</v>
      </c>
      <c r="G45">
        <v>-9.2693505605199664E-5</v>
      </c>
      <c r="H45">
        <v>0</v>
      </c>
      <c r="I45">
        <v>-1.4409373625991206E-6</v>
      </c>
      <c r="J45">
        <v>0</v>
      </c>
      <c r="K45">
        <v>-8.843254631790004E-5</v>
      </c>
      <c r="L45">
        <v>1.2604733178264629E-4</v>
      </c>
      <c r="M45">
        <v>6.363398554132732E-3</v>
      </c>
      <c r="N45">
        <v>9.8920185075455566E-5</v>
      </c>
      <c r="O45">
        <v>6.0708841865835562E-3</v>
      </c>
      <c r="P45" s="3">
        <v>1.610992326354601E-4</v>
      </c>
      <c r="Q45" s="3">
        <v>0</v>
      </c>
      <c r="R45" s="3">
        <v>6.3294802633951583E-3</v>
      </c>
      <c r="S45" s="3">
        <v>0</v>
      </c>
      <c r="T45">
        <f>Constraint[[#This Row],[nx]]</f>
        <v>27</v>
      </c>
      <c r="U45">
        <v>11</v>
      </c>
    </row>
    <row r="46" spans="1:21" x14ac:dyDescent="0.3">
      <c r="A46">
        <v>0</v>
      </c>
      <c r="B46">
        <v>0</v>
      </c>
      <c r="C46">
        <v>0</v>
      </c>
      <c r="D46">
        <v>0</v>
      </c>
      <c r="E46">
        <v>-1.4413237079003577E-6</v>
      </c>
      <c r="F46">
        <v>0</v>
      </c>
      <c r="G46">
        <v>-8.3411397436198784E-5</v>
      </c>
      <c r="H46">
        <v>0</v>
      </c>
      <c r="I46">
        <v>-1.0791530407998351E-6</v>
      </c>
      <c r="J46">
        <v>0</v>
      </c>
      <c r="K46">
        <v>-7.8382628074800606E-5</v>
      </c>
      <c r="L46">
        <v>9.8946707636179618E-5</v>
      </c>
      <c r="M46">
        <v>5.7261828903569199E-3</v>
      </c>
      <c r="N46">
        <v>7.4083732778021383E-5</v>
      </c>
      <c r="O46">
        <v>5.3809584490710043E-3</v>
      </c>
      <c r="P46" s="3">
        <v>1.6191896481667408E-4</v>
      </c>
      <c r="Q46" s="3">
        <v>0</v>
      </c>
      <c r="R46" s="3">
        <v>6.3389914917119624E-3</v>
      </c>
      <c r="S46" s="3">
        <v>0</v>
      </c>
      <c r="T46">
        <f>Constraint[[#This Row],[nx]]</f>
        <v>24</v>
      </c>
      <c r="U46">
        <v>11</v>
      </c>
    </row>
    <row r="47" spans="1:21" x14ac:dyDescent="0.3">
      <c r="A47">
        <v>0</v>
      </c>
      <c r="B47">
        <v>0</v>
      </c>
      <c r="C47">
        <v>0</v>
      </c>
      <c r="D47">
        <v>0</v>
      </c>
      <c r="E47">
        <v>-1.0272076152000043E-6</v>
      </c>
      <c r="F47">
        <v>0</v>
      </c>
      <c r="G47">
        <v>-7.3752098997100293E-5</v>
      </c>
      <c r="H47">
        <v>0</v>
      </c>
      <c r="I47">
        <v>-7.3687571510057392E-7</v>
      </c>
      <c r="J47">
        <v>0</v>
      </c>
      <c r="K47">
        <v>-6.8324537729801474E-5</v>
      </c>
      <c r="L47">
        <v>7.0517685254005424E-5</v>
      </c>
      <c r="M47">
        <v>5.063073157695698E-3</v>
      </c>
      <c r="N47">
        <v>5.0586433530931674E-5</v>
      </c>
      <c r="O47">
        <v>4.6904716976980641E-3</v>
      </c>
      <c r="P47" s="3">
        <v>1.630640837801193E-4</v>
      </c>
      <c r="Q47" s="3">
        <v>0</v>
      </c>
      <c r="R47" s="3">
        <v>6.3504749547904239E-3</v>
      </c>
      <c r="S47" s="3">
        <v>0</v>
      </c>
      <c r="T47">
        <f>Constraint[[#This Row],[nx]]</f>
        <v>21</v>
      </c>
      <c r="U47">
        <v>11</v>
      </c>
    </row>
    <row r="48" spans="1:21" x14ac:dyDescent="0.3">
      <c r="A48">
        <v>0</v>
      </c>
      <c r="B48">
        <v>0</v>
      </c>
      <c r="C48">
        <v>0</v>
      </c>
      <c r="D48">
        <v>0</v>
      </c>
      <c r="E48">
        <v>-5.5553214809919704E-7</v>
      </c>
      <c r="F48">
        <v>0</v>
      </c>
      <c r="G48">
        <v>-6.3740790967400582E-5</v>
      </c>
      <c r="H48">
        <v>0</v>
      </c>
      <c r="I48">
        <v>-3.9911414980060844E-7</v>
      </c>
      <c r="J48">
        <v>0</v>
      </c>
      <c r="K48">
        <v>-5.8219000127601034E-5</v>
      </c>
      <c r="L48">
        <v>3.8137218404978718E-5</v>
      </c>
      <c r="M48">
        <v>4.3757980069153921E-3</v>
      </c>
      <c r="N48">
        <v>2.7399140718577415E-5</v>
      </c>
      <c r="O48">
        <v>3.9967276975470013E-3</v>
      </c>
      <c r="P48" s="3">
        <v>1.6472984137208763E-4</v>
      </c>
      <c r="Q48" s="3">
        <v>0</v>
      </c>
      <c r="R48" s="3">
        <v>6.3648554906876086E-3</v>
      </c>
      <c r="S48" s="3">
        <v>0</v>
      </c>
      <c r="T48">
        <f>Constraint[[#This Row],[nx]]</f>
        <v>18</v>
      </c>
      <c r="U48">
        <v>11</v>
      </c>
    </row>
    <row r="49" spans="1:21" x14ac:dyDescent="0.3">
      <c r="A49">
        <v>0</v>
      </c>
      <c r="B49">
        <v>0</v>
      </c>
      <c r="C49">
        <v>0</v>
      </c>
      <c r="D49">
        <v>0</v>
      </c>
      <c r="E49">
        <v>4.1811146300405055E-8</v>
      </c>
      <c r="F49">
        <v>0</v>
      </c>
      <c r="G49">
        <v>-5.3412525660699942E-5</v>
      </c>
      <c r="H49">
        <v>0</v>
      </c>
      <c r="I49">
        <v>-3.6518397200299701E-8</v>
      </c>
      <c r="J49">
        <v>0</v>
      </c>
      <c r="K49">
        <v>-4.8333579214899364E-5</v>
      </c>
      <c r="L49">
        <v>-2.870330409639188E-6</v>
      </c>
      <c r="M49">
        <v>3.6667637753341076E-3</v>
      </c>
      <c r="N49">
        <v>2.5069837894936553E-6</v>
      </c>
      <c r="O49">
        <v>3.3180946829450518E-3</v>
      </c>
      <c r="P49" s="3">
        <v>1.6727456976489439E-4</v>
      </c>
      <c r="Q49" s="3">
        <v>0</v>
      </c>
      <c r="R49" s="3">
        <v>6.3837948500883347E-3</v>
      </c>
      <c r="S49" s="3">
        <v>0</v>
      </c>
      <c r="T49">
        <f>Constraint[[#This Row],[nx]]</f>
        <v>15</v>
      </c>
      <c r="U49">
        <v>11</v>
      </c>
    </row>
    <row r="50" spans="1:21" x14ac:dyDescent="0.3">
      <c r="A50">
        <v>0</v>
      </c>
      <c r="B50">
        <v>0</v>
      </c>
      <c r="C50">
        <v>0</v>
      </c>
      <c r="D50">
        <v>0</v>
      </c>
      <c r="E50">
        <v>8.8847259679947221E-7</v>
      </c>
      <c r="F50">
        <v>0</v>
      </c>
      <c r="G50">
        <v>-4.2810150868899735E-5</v>
      </c>
      <c r="H50">
        <v>0</v>
      </c>
      <c r="I50">
        <v>4.1766841559973122E-7</v>
      </c>
      <c r="J50">
        <v>0</v>
      </c>
      <c r="K50">
        <v>-3.795304718559947E-5</v>
      </c>
      <c r="L50">
        <v>-6.0993542114376464E-5</v>
      </c>
      <c r="M50">
        <v>2.9389119589633816E-3</v>
      </c>
      <c r="N50">
        <v>-2.8672888942773977E-5</v>
      </c>
      <c r="O50">
        <v>2.6054723468375042E-3</v>
      </c>
      <c r="P50" s="3">
        <v>1.7139313741486767E-4</v>
      </c>
      <c r="Q50" s="3">
        <v>0</v>
      </c>
      <c r="R50" s="3">
        <v>6.4104806248623213E-3</v>
      </c>
      <c r="S50" s="3">
        <v>0</v>
      </c>
      <c r="T50">
        <f>Constraint[[#This Row],[nx]]</f>
        <v>12</v>
      </c>
      <c r="U50">
        <v>11</v>
      </c>
    </row>
    <row r="51" spans="1:21" x14ac:dyDescent="0.3">
      <c r="A51">
        <v>0</v>
      </c>
      <c r="B51">
        <v>0</v>
      </c>
      <c r="C51">
        <v>0</v>
      </c>
      <c r="D51">
        <v>0</v>
      </c>
      <c r="E51">
        <v>2.1984052780994051E-6</v>
      </c>
      <c r="F51">
        <v>0</v>
      </c>
      <c r="G51">
        <v>-3.1970013310299999E-5</v>
      </c>
      <c r="H51">
        <v>0</v>
      </c>
      <c r="I51">
        <v>1.1306084207983458E-6</v>
      </c>
      <c r="J51">
        <v>0</v>
      </c>
      <c r="K51">
        <v>-2.9412728399800039E-5</v>
      </c>
      <c r="L51">
        <v>-1.5092027080773618E-4</v>
      </c>
      <c r="M51">
        <v>2.1947377558558454E-3</v>
      </c>
      <c r="N51">
        <v>-7.7616138727573669E-5</v>
      </c>
      <c r="O51">
        <v>2.0191804393455497E-3</v>
      </c>
      <c r="P51" s="3">
        <v>1.7847245529295242E-4</v>
      </c>
      <c r="Q51" s="3">
        <v>0</v>
      </c>
      <c r="R51" s="3">
        <v>6.4511176892916751E-3</v>
      </c>
      <c r="S51" s="3">
        <v>0</v>
      </c>
      <c r="T51">
        <f>Constraint[[#This Row],[nx]]</f>
        <v>9</v>
      </c>
      <c r="U51">
        <v>11</v>
      </c>
    </row>
    <row r="52" spans="1:21" x14ac:dyDescent="0.3">
      <c r="A52">
        <v>0</v>
      </c>
      <c r="B52">
        <v>0</v>
      </c>
      <c r="C52">
        <v>0</v>
      </c>
      <c r="D52">
        <v>0</v>
      </c>
      <c r="E52">
        <v>4.5026880949004811E-6</v>
      </c>
      <c r="F52">
        <v>0</v>
      </c>
      <c r="G52">
        <v>-2.06190354747008E-5</v>
      </c>
      <c r="H52">
        <v>0</v>
      </c>
      <c r="I52">
        <v>2.8054173663999427E-6</v>
      </c>
      <c r="J52">
        <v>0</v>
      </c>
      <c r="K52">
        <v>-1.6216785924498545E-5</v>
      </c>
      <c r="L52">
        <v>-3.0910902253322714E-4</v>
      </c>
      <c r="M52">
        <v>1.41549442618084E-3</v>
      </c>
      <c r="N52">
        <v>-1.9259158121738562E-4</v>
      </c>
      <c r="O52">
        <v>1.1132804982493328E-3</v>
      </c>
      <c r="P52" s="3">
        <v>1.9081147038822838E-4</v>
      </c>
      <c r="Q52" s="3">
        <v>0</v>
      </c>
      <c r="R52" s="3">
        <v>6.51041122216078E-3</v>
      </c>
      <c r="S52" s="3">
        <v>0</v>
      </c>
      <c r="T52">
        <f>Constraint[[#This Row],[nx]]</f>
        <v>6</v>
      </c>
      <c r="U52">
        <v>11</v>
      </c>
    </row>
    <row r="53" spans="1:21" x14ac:dyDescent="0.3">
      <c r="A53">
        <v>0</v>
      </c>
      <c r="B53">
        <v>0</v>
      </c>
      <c r="C53">
        <v>0</v>
      </c>
      <c r="D53">
        <v>0</v>
      </c>
      <c r="E53">
        <v>-4.1765445966200632E-5</v>
      </c>
      <c r="F53">
        <v>0</v>
      </c>
      <c r="G53">
        <v>-3.204122598993997E-4</v>
      </c>
      <c r="H53">
        <v>0</v>
      </c>
      <c r="I53">
        <v>-4.3714058596600047E-5</v>
      </c>
      <c r="J53">
        <v>0</v>
      </c>
      <c r="K53">
        <v>-4.3126548482239936E-4</v>
      </c>
      <c r="L53">
        <v>2.867193086924541E-3</v>
      </c>
      <c r="M53">
        <v>2.1996264981652254E-2</v>
      </c>
      <c r="N53">
        <v>3.0009651210480721E-3</v>
      </c>
      <c r="O53">
        <v>2.9606326189180875E-2</v>
      </c>
      <c r="P53" s="3">
        <v>1.5785916494576144E-4</v>
      </c>
      <c r="Q53" s="3">
        <v>0</v>
      </c>
      <c r="R53" s="3">
        <v>6.212544126258112E-3</v>
      </c>
      <c r="S53" s="3">
        <v>0</v>
      </c>
      <c r="T53">
        <f>Constraint[[#This Row],[nx]]</f>
        <v>120</v>
      </c>
      <c r="U53">
        <v>9</v>
      </c>
    </row>
    <row r="54" spans="1:21" x14ac:dyDescent="0.3">
      <c r="A54">
        <v>0</v>
      </c>
      <c r="B54">
        <v>0</v>
      </c>
      <c r="C54">
        <v>0</v>
      </c>
      <c r="D54">
        <v>0</v>
      </c>
      <c r="E54">
        <v>-3.4909868618298451E-5</v>
      </c>
      <c r="F54">
        <v>0</v>
      </c>
      <c r="G54">
        <v>-3.0431694204840001E-4</v>
      </c>
      <c r="H54">
        <v>0</v>
      </c>
      <c r="I54">
        <v>-3.6470720683899963E-5</v>
      </c>
      <c r="J54">
        <v>0</v>
      </c>
      <c r="K54">
        <v>-4.000527975126008E-4</v>
      </c>
      <c r="L54">
        <v>2.3965584863820544E-3</v>
      </c>
      <c r="M54">
        <v>2.0891323252750667E-2</v>
      </c>
      <c r="N54">
        <v>2.5037108020984078E-3</v>
      </c>
      <c r="O54">
        <v>2.7463578776608877E-2</v>
      </c>
      <c r="P54" s="3">
        <v>1.579973866779469E-4</v>
      </c>
      <c r="Q54" s="3">
        <v>0</v>
      </c>
      <c r="R54" s="3">
        <v>6.2195755724383196E-3</v>
      </c>
      <c r="S54" s="3">
        <v>0</v>
      </c>
      <c r="T54">
        <f>Constraint[[#This Row],[nx]]</f>
        <v>102</v>
      </c>
      <c r="U54">
        <v>9</v>
      </c>
    </row>
    <row r="55" spans="1:21" x14ac:dyDescent="0.3">
      <c r="A55">
        <v>0</v>
      </c>
      <c r="B55">
        <v>0</v>
      </c>
      <c r="C55">
        <v>0</v>
      </c>
      <c r="D55">
        <v>0</v>
      </c>
      <c r="E55">
        <v>-2.8409565916600113E-5</v>
      </c>
      <c r="F55">
        <v>0</v>
      </c>
      <c r="G55">
        <v>-2.8614244562469998E-4</v>
      </c>
      <c r="H55">
        <v>0</v>
      </c>
      <c r="I55">
        <v>-2.9535735878501168E-5</v>
      </c>
      <c r="J55">
        <v>0</v>
      </c>
      <c r="K55">
        <v>-3.6619196106429941E-4</v>
      </c>
      <c r="L55">
        <v>1.9503134496521909E-3</v>
      </c>
      <c r="M55">
        <v>1.9643646152725489E-2</v>
      </c>
      <c r="N55">
        <v>2.0276248886842985E-3</v>
      </c>
      <c r="O55">
        <v>2.5139036228670558E-2</v>
      </c>
      <c r="P55" s="3">
        <v>1.5815390132113618E-4</v>
      </c>
      <c r="Q55" s="3">
        <v>0</v>
      </c>
      <c r="R55" s="3">
        <v>6.2276034815891045E-3</v>
      </c>
      <c r="S55" s="3">
        <v>0</v>
      </c>
      <c r="T55">
        <f>Constraint[[#This Row],[nx]]</f>
        <v>87</v>
      </c>
      <c r="U55">
        <v>9</v>
      </c>
    </row>
    <row r="56" spans="1:21" x14ac:dyDescent="0.3">
      <c r="A56">
        <v>0</v>
      </c>
      <c r="B56">
        <v>0</v>
      </c>
      <c r="C56">
        <v>0</v>
      </c>
      <c r="D56">
        <v>0</v>
      </c>
      <c r="E56">
        <v>-2.1507813991199567E-5</v>
      </c>
      <c r="F56">
        <v>0</v>
      </c>
      <c r="G56">
        <v>-2.6237920193649886E-4</v>
      </c>
      <c r="H56">
        <v>0</v>
      </c>
      <c r="I56">
        <v>-2.2128144617300505E-5</v>
      </c>
      <c r="J56">
        <v>0</v>
      </c>
      <c r="K56">
        <v>-3.2355818147169861E-4</v>
      </c>
      <c r="L56">
        <v>1.4765089696475754E-3</v>
      </c>
      <c r="M56">
        <v>1.8012302192437078E-2</v>
      </c>
      <c r="N56">
        <v>1.5190945961533614E-3</v>
      </c>
      <c r="O56">
        <v>2.2212232137645314E-2</v>
      </c>
      <c r="P56" s="3">
        <v>1.5837489644325928E-4</v>
      </c>
      <c r="Q56" s="3">
        <v>0</v>
      </c>
      <c r="R56" s="3">
        <v>6.2383628255952318E-3</v>
      </c>
      <c r="S56" s="3">
        <v>0</v>
      </c>
      <c r="T56">
        <f>Constraint[[#This Row],[nx]]</f>
        <v>72</v>
      </c>
      <c r="U56">
        <v>9</v>
      </c>
    </row>
    <row r="57" spans="1:21" x14ac:dyDescent="0.3">
      <c r="A57">
        <v>0</v>
      </c>
      <c r="B57">
        <v>0</v>
      </c>
      <c r="C57">
        <v>0</v>
      </c>
      <c r="D57">
        <v>0</v>
      </c>
      <c r="E57">
        <v>-1.7369986754799116E-5</v>
      </c>
      <c r="F57">
        <v>0</v>
      </c>
      <c r="G57">
        <v>-2.4475354058230148E-4</v>
      </c>
      <c r="H57">
        <v>0</v>
      </c>
      <c r="I57">
        <v>-1.7675744008800731E-5</v>
      </c>
      <c r="J57">
        <v>0</v>
      </c>
      <c r="K57">
        <v>-2.931272653385001E-4</v>
      </c>
      <c r="L57">
        <v>1.1924476033042929E-3</v>
      </c>
      <c r="M57">
        <v>1.680230255713748E-2</v>
      </c>
      <c r="N57">
        <v>1.2134378038078375E-3</v>
      </c>
      <c r="O57">
        <v>2.012315322689941E-2</v>
      </c>
      <c r="P57" s="3">
        <v>1.5856298346745925E-4</v>
      </c>
      <c r="Q57" s="3">
        <v>0</v>
      </c>
      <c r="R57" s="3">
        <v>6.246637212089322E-3</v>
      </c>
      <c r="S57" s="3">
        <v>0</v>
      </c>
      <c r="T57">
        <f>Constraint[[#This Row],[nx]]</f>
        <v>63</v>
      </c>
      <c r="U57">
        <v>9</v>
      </c>
    </row>
    <row r="58" spans="1:21" x14ac:dyDescent="0.3">
      <c r="A58">
        <v>0</v>
      </c>
      <c r="B58">
        <v>0</v>
      </c>
      <c r="C58">
        <v>0</v>
      </c>
      <c r="D58">
        <v>0</v>
      </c>
      <c r="E58">
        <v>-1.3395616053299766E-5</v>
      </c>
      <c r="F58">
        <v>0</v>
      </c>
      <c r="G58">
        <v>-2.2398873670730068E-4</v>
      </c>
      <c r="H58">
        <v>0</v>
      </c>
      <c r="I58">
        <v>-1.3398782148900737E-5</v>
      </c>
      <c r="J58">
        <v>0</v>
      </c>
      <c r="K58">
        <v>-2.5876218095910106E-4</v>
      </c>
      <c r="L58">
        <v>9.196075093798519E-4</v>
      </c>
      <c r="M58">
        <v>1.5376801146954354E-2</v>
      </c>
      <c r="N58">
        <v>9.1982486148060524E-4</v>
      </c>
      <c r="O58">
        <v>1.7763994116185511E-2</v>
      </c>
      <c r="P58" s="3">
        <v>1.5882807836696834E-4</v>
      </c>
      <c r="Q58" s="3">
        <v>0</v>
      </c>
      <c r="R58" s="3">
        <v>6.2568445736516341E-3</v>
      </c>
      <c r="S58" s="3">
        <v>0</v>
      </c>
      <c r="T58">
        <f>Constraint[[#This Row],[nx]]</f>
        <v>54</v>
      </c>
      <c r="U58">
        <v>9</v>
      </c>
    </row>
    <row r="59" spans="1:21" x14ac:dyDescent="0.3">
      <c r="A59">
        <v>0</v>
      </c>
      <c r="B59">
        <v>0</v>
      </c>
      <c r="C59">
        <v>0</v>
      </c>
      <c r="D59">
        <v>0</v>
      </c>
      <c r="E59">
        <v>-9.7312144548000745E-6</v>
      </c>
      <c r="F59">
        <v>0</v>
      </c>
      <c r="G59">
        <v>-1.9939094179930068E-4</v>
      </c>
      <c r="H59">
        <v>0</v>
      </c>
      <c r="I59">
        <v>-9.4641231165003281E-6</v>
      </c>
      <c r="J59">
        <v>0</v>
      </c>
      <c r="K59">
        <v>-2.2044901207110036E-4</v>
      </c>
      <c r="L59">
        <v>6.6804675891076262E-4</v>
      </c>
      <c r="M59">
        <v>1.3688165340913151E-2</v>
      </c>
      <c r="N59">
        <v>6.4971096909613793E-4</v>
      </c>
      <c r="O59">
        <v>1.513379945568202E-2</v>
      </c>
      <c r="P59" s="3">
        <v>1.5923602821831304E-4</v>
      </c>
      <c r="Q59" s="3">
        <v>0</v>
      </c>
      <c r="R59" s="3">
        <v>6.2698183273316973E-3</v>
      </c>
      <c r="S59" s="3">
        <v>0</v>
      </c>
      <c r="T59">
        <f>Constraint[[#This Row],[nx]]</f>
        <v>45</v>
      </c>
      <c r="U59">
        <v>9</v>
      </c>
    </row>
    <row r="60" spans="1:21" x14ac:dyDescent="0.3">
      <c r="A60">
        <v>0</v>
      </c>
      <c r="B60">
        <v>0</v>
      </c>
      <c r="C60">
        <v>0</v>
      </c>
      <c r="D60">
        <v>0</v>
      </c>
      <c r="E60">
        <v>-7.5288369884001644E-6</v>
      </c>
      <c r="F60">
        <v>0</v>
      </c>
      <c r="G60">
        <v>-1.8043521269439991E-4</v>
      </c>
      <c r="H60">
        <v>0</v>
      </c>
      <c r="I60">
        <v>-7.112514851300572E-6</v>
      </c>
      <c r="J60">
        <v>0</v>
      </c>
      <c r="K60">
        <v>-1.9286883067779967E-4</v>
      </c>
      <c r="L60">
        <v>5.1685379783067767E-4</v>
      </c>
      <c r="M60">
        <v>1.2386856706709432E-2</v>
      </c>
      <c r="N60">
        <v>4.8827333075290164E-4</v>
      </c>
      <c r="O60">
        <v>1.3240423158659077E-2</v>
      </c>
      <c r="P60" s="3">
        <v>1.5965557424656577E-4</v>
      </c>
      <c r="Q60" s="3">
        <v>0</v>
      </c>
      <c r="R60" s="3">
        <v>6.2806959856527792E-3</v>
      </c>
      <c r="S60" s="3">
        <v>0</v>
      </c>
      <c r="T60">
        <f>Constraint[[#This Row],[nx]]</f>
        <v>39</v>
      </c>
      <c r="U60">
        <v>9</v>
      </c>
    </row>
    <row r="61" spans="1:21" x14ac:dyDescent="0.3">
      <c r="A61">
        <v>0</v>
      </c>
      <c r="B61">
        <v>0</v>
      </c>
      <c r="C61">
        <v>0</v>
      </c>
      <c r="D61">
        <v>0</v>
      </c>
      <c r="E61">
        <v>-5.5523384502997181E-6</v>
      </c>
      <c r="F61">
        <v>0</v>
      </c>
      <c r="G61">
        <v>-1.5910098381750025E-4</v>
      </c>
      <c r="H61">
        <v>0</v>
      </c>
      <c r="I61">
        <v>-5.0263017409013511E-6</v>
      </c>
      <c r="J61">
        <v>0</v>
      </c>
      <c r="K61">
        <v>-1.6390854898319998E-4</v>
      </c>
      <c r="L61">
        <v>3.8116739933407857E-4</v>
      </c>
      <c r="M61">
        <v>1.0922264335297548E-2</v>
      </c>
      <c r="N61">
        <v>3.4505503942114726E-4</v>
      </c>
      <c r="O61">
        <v>1.1252303133858176E-2</v>
      </c>
      <c r="P61" s="3">
        <v>1.6029571994987096E-4</v>
      </c>
      <c r="Q61" s="3">
        <v>0</v>
      </c>
      <c r="R61" s="3">
        <v>6.2941842251900198E-3</v>
      </c>
      <c r="S61" s="3">
        <v>0</v>
      </c>
      <c r="T61">
        <f>Constraint[[#This Row],[nx]]</f>
        <v>33</v>
      </c>
      <c r="U61">
        <v>9</v>
      </c>
    </row>
    <row r="62" spans="1:21" x14ac:dyDescent="0.3">
      <c r="A62">
        <v>0</v>
      </c>
      <c r="B62">
        <v>0</v>
      </c>
      <c r="C62">
        <v>0</v>
      </c>
      <c r="D62">
        <v>0</v>
      </c>
      <c r="E62">
        <v>-3.799214356999675E-6</v>
      </c>
      <c r="F62">
        <v>0</v>
      </c>
      <c r="G62">
        <v>-1.3513259688959986E-4</v>
      </c>
      <c r="H62">
        <v>0</v>
      </c>
      <c r="I62">
        <v>-3.2286743447997035E-6</v>
      </c>
      <c r="J62">
        <v>0</v>
      </c>
      <c r="K62">
        <v>-1.3390738857699952E-4</v>
      </c>
      <c r="L62">
        <v>2.6081563091531149E-4</v>
      </c>
      <c r="M62">
        <v>9.2768373150755486E-3</v>
      </c>
      <c r="N62">
        <v>2.2164812435696013E-4</v>
      </c>
      <c r="O62">
        <v>9.1927269045995533E-3</v>
      </c>
      <c r="P62" s="3">
        <v>1.6135335322705049E-4</v>
      </c>
      <c r="Q62" s="3">
        <v>0</v>
      </c>
      <c r="R62" s="3">
        <v>6.3115649273777757E-3</v>
      </c>
      <c r="S62" s="3">
        <v>0</v>
      </c>
      <c r="T62">
        <f>Constraint[[#This Row],[nx]]</f>
        <v>27</v>
      </c>
      <c r="U62">
        <v>9</v>
      </c>
    </row>
    <row r="63" spans="1:21" x14ac:dyDescent="0.3">
      <c r="A63">
        <v>0</v>
      </c>
      <c r="B63">
        <v>0</v>
      </c>
      <c r="C63">
        <v>0</v>
      </c>
      <c r="D63">
        <v>0</v>
      </c>
      <c r="E63">
        <v>-2.9888040573005509E-6</v>
      </c>
      <c r="F63">
        <v>0</v>
      </c>
      <c r="G63">
        <v>-1.221107405112009E-4</v>
      </c>
      <c r="H63">
        <v>0</v>
      </c>
      <c r="I63">
        <v>-2.4361520773990425E-6</v>
      </c>
      <c r="J63">
        <v>0</v>
      </c>
      <c r="K63">
        <v>-1.1864660427460087E-4</v>
      </c>
      <c r="L63">
        <v>2.0518105656525468E-4</v>
      </c>
      <c r="M63">
        <v>8.3828883646133723E-3</v>
      </c>
      <c r="N63">
        <v>1.6724156137750898E-4</v>
      </c>
      <c r="O63">
        <v>8.1450758083250405E-3</v>
      </c>
      <c r="P63" s="3">
        <v>1.6216482941063952E-4</v>
      </c>
      <c r="Q63" s="3">
        <v>0</v>
      </c>
      <c r="R63" s="3">
        <v>6.322423800201123E-3</v>
      </c>
      <c r="S63" s="3">
        <v>0</v>
      </c>
      <c r="T63">
        <f>Constraint[[#This Row],[nx]]</f>
        <v>24</v>
      </c>
      <c r="U63">
        <v>9</v>
      </c>
    </row>
    <row r="64" spans="1:21" x14ac:dyDescent="0.3">
      <c r="A64">
        <v>0</v>
      </c>
      <c r="B64">
        <v>0</v>
      </c>
      <c r="C64">
        <v>0</v>
      </c>
      <c r="D64">
        <v>0</v>
      </c>
      <c r="E64">
        <v>-2.1980672613997054E-6</v>
      </c>
      <c r="F64">
        <v>0</v>
      </c>
      <c r="G64">
        <v>-1.0839683817489947E-4</v>
      </c>
      <c r="H64">
        <v>0</v>
      </c>
      <c r="I64">
        <v>-1.7055372796004331E-6</v>
      </c>
      <c r="J64">
        <v>0</v>
      </c>
      <c r="K64">
        <v>-1.0331971968370081E-4</v>
      </c>
      <c r="L64">
        <v>1.5089706599998032E-4</v>
      </c>
      <c r="M64">
        <v>7.4414305383226527E-3</v>
      </c>
      <c r="N64">
        <v>1.1708493910300537E-4</v>
      </c>
      <c r="O64">
        <v>7.0928869348078662E-3</v>
      </c>
      <c r="P64" s="3">
        <v>1.6329891507623574E-4</v>
      </c>
      <c r="Q64" s="3">
        <v>0</v>
      </c>
      <c r="R64" s="3">
        <v>6.3354128141369882E-3</v>
      </c>
      <c r="S64" s="3">
        <v>0</v>
      </c>
      <c r="T64">
        <f>Constraint[[#This Row],[nx]]</f>
        <v>21</v>
      </c>
      <c r="U64">
        <v>9</v>
      </c>
    </row>
    <row r="65" spans="1:21" x14ac:dyDescent="0.3">
      <c r="A65">
        <v>0</v>
      </c>
      <c r="B65">
        <v>0</v>
      </c>
      <c r="C65">
        <v>0</v>
      </c>
      <c r="D65">
        <v>0</v>
      </c>
      <c r="E65">
        <v>-1.3908871170000697E-6</v>
      </c>
      <c r="F65">
        <v>0</v>
      </c>
      <c r="G65">
        <v>-9.4015276641700243E-5</v>
      </c>
      <c r="H65">
        <v>0</v>
      </c>
      <c r="I65">
        <v>-1.020565653599495E-6</v>
      </c>
      <c r="J65">
        <v>0</v>
      </c>
      <c r="K65">
        <v>-8.7900082285100739E-5</v>
      </c>
      <c r="L65">
        <v>9.5484241441651241E-5</v>
      </c>
      <c r="M65">
        <v>6.4541379845561089E-3</v>
      </c>
      <c r="N65">
        <v>7.0061715350080121E-5</v>
      </c>
      <c r="O65">
        <v>6.0343305916545423E-3</v>
      </c>
      <c r="P65" s="3">
        <v>1.6494954806255929E-4</v>
      </c>
      <c r="Q65" s="3">
        <v>0</v>
      </c>
      <c r="R65" s="3">
        <v>6.3514666931291548E-3</v>
      </c>
      <c r="S65" s="3">
        <v>0</v>
      </c>
      <c r="T65">
        <f>Constraint[[#This Row],[nx]]</f>
        <v>18</v>
      </c>
      <c r="U65">
        <v>9</v>
      </c>
    </row>
    <row r="66" spans="1:21" x14ac:dyDescent="0.3">
      <c r="A66">
        <v>0</v>
      </c>
      <c r="B66">
        <v>0</v>
      </c>
      <c r="C66">
        <v>0</v>
      </c>
      <c r="D66">
        <v>0</v>
      </c>
      <c r="E66">
        <v>-5.0438945700150006E-7</v>
      </c>
      <c r="F66">
        <v>0</v>
      </c>
      <c r="G66">
        <v>-7.9014975332501042E-5</v>
      </c>
      <c r="H66">
        <v>0</v>
      </c>
      <c r="I66">
        <v>-3.4889916990070435E-7</v>
      </c>
      <c r="J66">
        <v>0</v>
      </c>
      <c r="K66">
        <v>-7.2800399129900606E-5</v>
      </c>
      <c r="L66">
        <v>3.4626278512688013E-5</v>
      </c>
      <c r="M66">
        <v>5.4243690159611942E-3</v>
      </c>
      <c r="N66">
        <v>2.3951888093869632E-5</v>
      </c>
      <c r="O66">
        <v>4.9977390707025802E-3</v>
      </c>
      <c r="P66" s="3">
        <v>1.6747285418832993E-4</v>
      </c>
      <c r="Q66" s="3">
        <v>0</v>
      </c>
      <c r="R66" s="3">
        <v>6.372253355670948E-3</v>
      </c>
      <c r="S66" s="3">
        <v>0</v>
      </c>
      <c r="T66">
        <f>Constraint[[#This Row],[nx]]</f>
        <v>15</v>
      </c>
      <c r="U66">
        <v>9</v>
      </c>
    </row>
    <row r="67" spans="1:21" x14ac:dyDescent="0.3">
      <c r="A67">
        <v>0</v>
      </c>
      <c r="B67">
        <v>0</v>
      </c>
      <c r="C67">
        <v>0</v>
      </c>
      <c r="D67">
        <v>0</v>
      </c>
      <c r="E67">
        <v>5.7421016419999249E-7</v>
      </c>
      <c r="F67">
        <v>0</v>
      </c>
      <c r="G67">
        <v>-6.346957626299915E-5</v>
      </c>
      <c r="H67">
        <v>0</v>
      </c>
      <c r="I67">
        <v>3.8112770220019576E-7</v>
      </c>
      <c r="J67">
        <v>0</v>
      </c>
      <c r="K67">
        <v>-5.7002615203898682E-5</v>
      </c>
      <c r="L67">
        <v>-3.9419462073225775E-5</v>
      </c>
      <c r="M67">
        <v>4.3571791484896642E-3</v>
      </c>
      <c r="N67">
        <v>-2.6164373148753611E-5</v>
      </c>
      <c r="O67">
        <v>3.913223011709311E-3</v>
      </c>
      <c r="P67" s="3">
        <v>1.7156021864424731E-4</v>
      </c>
      <c r="Q67" s="3">
        <v>0</v>
      </c>
      <c r="R67" s="3">
        <v>6.4009643939480785E-3</v>
      </c>
      <c r="S67" s="3">
        <v>0</v>
      </c>
      <c r="T67">
        <f>Constraint[[#This Row],[nx]]</f>
        <v>12</v>
      </c>
      <c r="U67">
        <v>9</v>
      </c>
    </row>
    <row r="68" spans="1:21" x14ac:dyDescent="0.3">
      <c r="A68">
        <v>0</v>
      </c>
      <c r="B68">
        <v>0</v>
      </c>
      <c r="C68">
        <v>0</v>
      </c>
      <c r="D68">
        <v>0</v>
      </c>
      <c r="E68">
        <v>2.0519130262009605E-6</v>
      </c>
      <c r="F68">
        <v>0</v>
      </c>
      <c r="G68">
        <v>-4.7457912395701407E-5</v>
      </c>
      <c r="H68">
        <v>0</v>
      </c>
      <c r="I68">
        <v>1.3409952754998844E-6</v>
      </c>
      <c r="J68">
        <v>0</v>
      </c>
      <c r="K68">
        <v>-4.4000410395799577E-5</v>
      </c>
      <c r="L68">
        <v>-1.408635944760428E-4</v>
      </c>
      <c r="M68">
        <v>3.2579802559978238E-3</v>
      </c>
      <c r="N68">
        <v>-9.205917223110982E-5</v>
      </c>
      <c r="O68">
        <v>3.0206231392997562E-3</v>
      </c>
      <c r="P68" s="3">
        <v>1.7859443933575817E-4</v>
      </c>
      <c r="Q68" s="3">
        <v>0</v>
      </c>
      <c r="R68" s="3">
        <v>6.4438166185060959E-3</v>
      </c>
      <c r="S68" s="3">
        <v>0</v>
      </c>
      <c r="T68">
        <f>Constraint[[#This Row],[nx]]</f>
        <v>9</v>
      </c>
      <c r="U68">
        <v>9</v>
      </c>
    </row>
    <row r="69" spans="1:21" x14ac:dyDescent="0.3">
      <c r="A69">
        <v>0</v>
      </c>
      <c r="B69">
        <v>0</v>
      </c>
      <c r="C69">
        <v>0</v>
      </c>
      <c r="D69">
        <v>0</v>
      </c>
      <c r="E69">
        <v>4.573709107100199E-6</v>
      </c>
      <c r="F69">
        <v>0</v>
      </c>
      <c r="G69">
        <v>-3.074874355740026E-5</v>
      </c>
      <c r="H69">
        <v>0</v>
      </c>
      <c r="I69">
        <v>3.2810986124991864E-6</v>
      </c>
      <c r="J69">
        <v>0</v>
      </c>
      <c r="K69">
        <v>-2.4306139097599738E-5</v>
      </c>
      <c r="L69">
        <v>-3.1398460689477381E-4</v>
      </c>
      <c r="M69">
        <v>2.1108977270526594E-3</v>
      </c>
      <c r="N69">
        <v>-2.2524704433632414E-4</v>
      </c>
      <c r="O69">
        <v>1.6686136680274495E-3</v>
      </c>
      <c r="P69" s="3">
        <v>1.9087718362361948E-4</v>
      </c>
      <c r="Q69" s="3">
        <v>0</v>
      </c>
      <c r="R69" s="3">
        <v>6.505587149561955E-3</v>
      </c>
      <c r="S69" s="3">
        <v>0</v>
      </c>
      <c r="T69">
        <f>Constraint[[#This Row],[nx]]</f>
        <v>6</v>
      </c>
      <c r="U69">
        <v>9</v>
      </c>
    </row>
    <row r="70" spans="1:21" x14ac:dyDescent="0.3">
      <c r="A70">
        <v>0</v>
      </c>
      <c r="B70">
        <v>0</v>
      </c>
      <c r="C70">
        <v>0</v>
      </c>
      <c r="D70">
        <v>0</v>
      </c>
      <c r="E70">
        <v>-8.4329163996799822E-5</v>
      </c>
      <c r="F70">
        <v>0</v>
      </c>
      <c r="G70">
        <v>-4.6398377638309958E-4</v>
      </c>
      <c r="H70">
        <v>0</v>
      </c>
      <c r="I70">
        <v>-8.7144455226199555E-5</v>
      </c>
      <c r="J70">
        <v>0</v>
      </c>
      <c r="K70">
        <v>-6.3754277734959924E-4</v>
      </c>
      <c r="L70">
        <v>5.7891874597345676E-3</v>
      </c>
      <c r="M70">
        <v>3.1852433161311339E-2</v>
      </c>
      <c r="N70">
        <v>5.9824568805171598E-3</v>
      </c>
      <c r="O70">
        <v>4.3767238719652324E-2</v>
      </c>
      <c r="P70" s="3">
        <v>1.580748442948457E-4</v>
      </c>
      <c r="Q70" s="3">
        <v>0</v>
      </c>
      <c r="R70" s="3">
        <v>6.1573381154111572E-3</v>
      </c>
      <c r="S70" s="3">
        <v>0</v>
      </c>
      <c r="T70">
        <f>Constraint[[#This Row],[nx]]</f>
        <v>120</v>
      </c>
      <c r="U70">
        <v>7</v>
      </c>
    </row>
    <row r="71" spans="1:21" x14ac:dyDescent="0.3">
      <c r="A71">
        <v>0</v>
      </c>
      <c r="B71">
        <v>0</v>
      </c>
      <c r="C71">
        <v>0</v>
      </c>
      <c r="D71">
        <v>0</v>
      </c>
      <c r="E71">
        <v>-7.4480354834800463E-5</v>
      </c>
      <c r="F71">
        <v>0</v>
      </c>
      <c r="G71">
        <v>-4.4750869835060055E-4</v>
      </c>
      <c r="H71">
        <v>0</v>
      </c>
      <c r="I71">
        <v>-7.7140198852699779E-5</v>
      </c>
      <c r="J71">
        <v>0</v>
      </c>
      <c r="K71">
        <v>-6.0501837123700004E-4</v>
      </c>
      <c r="L71">
        <v>5.1130678376293467E-3</v>
      </c>
      <c r="M71">
        <v>3.0721420939400636E-2</v>
      </c>
      <c r="N71">
        <v>5.2956658251281548E-3</v>
      </c>
      <c r="O71">
        <v>4.153444196135031E-2</v>
      </c>
      <c r="P71" s="3">
        <v>1.5824386122638667E-4</v>
      </c>
      <c r="Q71" s="3">
        <v>0</v>
      </c>
      <c r="R71" s="3">
        <v>6.1644122359811471E-3</v>
      </c>
      <c r="S71" s="3">
        <v>0</v>
      </c>
      <c r="T71">
        <f>Constraint[[#This Row],[nx]]</f>
        <v>102</v>
      </c>
      <c r="U71">
        <v>7</v>
      </c>
    </row>
    <row r="72" spans="1:21" x14ac:dyDescent="0.3">
      <c r="A72">
        <v>0</v>
      </c>
      <c r="B72">
        <v>0</v>
      </c>
      <c r="C72">
        <v>0</v>
      </c>
      <c r="D72">
        <v>0</v>
      </c>
      <c r="E72">
        <v>-6.3659736852000187E-5</v>
      </c>
      <c r="F72">
        <v>0</v>
      </c>
      <c r="G72">
        <v>-4.2616737991149969E-4</v>
      </c>
      <c r="H72">
        <v>0</v>
      </c>
      <c r="I72">
        <v>-6.5920228153900848E-5</v>
      </c>
      <c r="J72">
        <v>0</v>
      </c>
      <c r="K72">
        <v>-5.656950192068997E-4</v>
      </c>
      <c r="L72">
        <v>4.3702336511670815E-3</v>
      </c>
      <c r="M72">
        <v>2.9256341870354804E-2</v>
      </c>
      <c r="N72">
        <v>4.5254161204051138E-3</v>
      </c>
      <c r="O72">
        <v>3.8834898343723279E-2</v>
      </c>
      <c r="P72" s="3">
        <v>1.5844422911755795E-4</v>
      </c>
      <c r="Q72" s="3">
        <v>0</v>
      </c>
      <c r="R72" s="3">
        <v>6.1735639505117327E-3</v>
      </c>
      <c r="S72" s="3">
        <v>0</v>
      </c>
      <c r="T72">
        <f>Constraint[[#This Row],[nx]]</f>
        <v>87</v>
      </c>
      <c r="U72">
        <v>7</v>
      </c>
    </row>
    <row r="73" spans="1:21" x14ac:dyDescent="0.3">
      <c r="A73">
        <v>0</v>
      </c>
      <c r="B73">
        <v>0</v>
      </c>
      <c r="C73">
        <v>0</v>
      </c>
      <c r="D73">
        <v>0</v>
      </c>
      <c r="E73">
        <v>-5.0629256251499138E-5</v>
      </c>
      <c r="F73">
        <v>0</v>
      </c>
      <c r="G73">
        <v>-3.9563704135919982E-4</v>
      </c>
      <c r="H73">
        <v>0</v>
      </c>
      <c r="I73">
        <v>-5.2219246646501016E-5</v>
      </c>
      <c r="J73">
        <v>0</v>
      </c>
      <c r="K73">
        <v>-5.1170981563909874E-4</v>
      </c>
      <c r="L73">
        <v>3.4756926488443505E-3</v>
      </c>
      <c r="M73">
        <v>2.7160437621913155E-2</v>
      </c>
      <c r="N73">
        <v>3.5848453075401319E-3</v>
      </c>
      <c r="O73">
        <v>3.512882029559046E-2</v>
      </c>
      <c r="P73" s="3">
        <v>1.5872504074202035E-4</v>
      </c>
      <c r="Q73" s="3">
        <v>0</v>
      </c>
      <c r="R73" s="3">
        <v>6.1867829558033749E-3</v>
      </c>
      <c r="S73" s="3">
        <v>0</v>
      </c>
      <c r="T73">
        <f>Constraint[[#This Row],[nx]]</f>
        <v>72</v>
      </c>
      <c r="U73">
        <v>7</v>
      </c>
    </row>
    <row r="74" spans="1:21" x14ac:dyDescent="0.3">
      <c r="A74">
        <v>0</v>
      </c>
      <c r="B74">
        <v>0</v>
      </c>
      <c r="C74">
        <v>0</v>
      </c>
      <c r="D74">
        <v>0</v>
      </c>
      <c r="E74">
        <v>-4.2033790462000023E-5</v>
      </c>
      <c r="F74">
        <v>0</v>
      </c>
      <c r="G74">
        <v>-3.7182220842130013E-4</v>
      </c>
      <c r="H74">
        <v>0</v>
      </c>
      <c r="I74">
        <v>-4.3111106214801034E-5</v>
      </c>
      <c r="J74">
        <v>0</v>
      </c>
      <c r="K74">
        <v>-4.7064704362810052E-4</v>
      </c>
      <c r="L74">
        <v>2.8856149058581384E-3</v>
      </c>
      <c r="M74">
        <v>2.5525552065535594E-2</v>
      </c>
      <c r="N74">
        <v>2.9595725090252566E-3</v>
      </c>
      <c r="O74">
        <v>3.2309865695293094E-2</v>
      </c>
      <c r="P74" s="3">
        <v>1.5895377668086657E-4</v>
      </c>
      <c r="Q74" s="3">
        <v>0</v>
      </c>
      <c r="R74" s="3">
        <v>6.1972831784592617E-3</v>
      </c>
      <c r="S74" s="3">
        <v>0</v>
      </c>
      <c r="T74">
        <f>Constraint[[#This Row],[nx]]</f>
        <v>63</v>
      </c>
      <c r="U74">
        <v>7</v>
      </c>
    </row>
    <row r="75" spans="1:21" x14ac:dyDescent="0.3">
      <c r="A75">
        <v>0</v>
      </c>
      <c r="B75">
        <v>0</v>
      </c>
      <c r="C75">
        <v>0</v>
      </c>
      <c r="D75">
        <v>0</v>
      </c>
      <c r="E75">
        <v>-3.3196123059299823E-5</v>
      </c>
      <c r="F75">
        <v>0</v>
      </c>
      <c r="G75">
        <v>-3.4301365805399983E-4</v>
      </c>
      <c r="H75">
        <v>0</v>
      </c>
      <c r="I75">
        <v>-3.3716099494100066E-5</v>
      </c>
      <c r="J75">
        <v>0</v>
      </c>
      <c r="K75">
        <v>-4.2197535913819986E-4</v>
      </c>
      <c r="L75">
        <v>2.2789100498375268E-3</v>
      </c>
      <c r="M75">
        <v>2.3547848378993232E-2</v>
      </c>
      <c r="N75">
        <v>2.3146063725926931E-3</v>
      </c>
      <c r="O75">
        <v>2.8968560123904016E-2</v>
      </c>
      <c r="P75" s="3">
        <v>1.5925878142531718E-4</v>
      </c>
      <c r="Q75" s="3">
        <v>0</v>
      </c>
      <c r="R75" s="3">
        <v>6.210322660485189E-3</v>
      </c>
      <c r="S75" s="3">
        <v>0</v>
      </c>
      <c r="T75">
        <f>Constraint[[#This Row],[nx]]</f>
        <v>54</v>
      </c>
      <c r="U75">
        <v>7</v>
      </c>
    </row>
    <row r="76" spans="1:21" x14ac:dyDescent="0.3">
      <c r="A76">
        <v>0</v>
      </c>
      <c r="B76">
        <v>0</v>
      </c>
      <c r="C76">
        <v>0</v>
      </c>
      <c r="D76">
        <v>0</v>
      </c>
      <c r="E76">
        <v>-2.4517007849301012E-5</v>
      </c>
      <c r="F76">
        <v>0</v>
      </c>
      <c r="G76">
        <v>-3.0824019317099959E-4</v>
      </c>
      <c r="H76">
        <v>0</v>
      </c>
      <c r="I76">
        <v>-2.4487465444998635E-5</v>
      </c>
      <c r="J76">
        <v>0</v>
      </c>
      <c r="K76">
        <v>-3.6492969024080023E-4</v>
      </c>
      <c r="L76">
        <v>1.6830897837048827E-3</v>
      </c>
      <c r="M76">
        <v>2.1160653993432563E-2</v>
      </c>
      <c r="N76">
        <v>1.6810617010296625E-3</v>
      </c>
      <c r="O76">
        <v>2.5052381481061922E-2</v>
      </c>
      <c r="P76" s="3">
        <v>1.5970004320203419E-4</v>
      </c>
      <c r="Q76" s="3">
        <v>0</v>
      </c>
      <c r="R76" s="3">
        <v>6.2267813227603408E-3</v>
      </c>
      <c r="S76" s="3">
        <v>0</v>
      </c>
      <c r="T76">
        <f>Constraint[[#This Row],[nx]]</f>
        <v>45</v>
      </c>
      <c r="U76">
        <v>7</v>
      </c>
    </row>
    <row r="77" spans="1:21" x14ac:dyDescent="0.3">
      <c r="A77">
        <v>0</v>
      </c>
      <c r="B77">
        <v>0</v>
      </c>
      <c r="C77">
        <v>0</v>
      </c>
      <c r="D77">
        <v>0</v>
      </c>
      <c r="E77">
        <v>-1.9051333009599894E-5</v>
      </c>
      <c r="F77">
        <v>0</v>
      </c>
      <c r="G77">
        <v>-2.8108455728909944E-4</v>
      </c>
      <c r="H77">
        <v>0</v>
      </c>
      <c r="I77">
        <v>-1.8694212746798999E-5</v>
      </c>
      <c r="J77">
        <v>0</v>
      </c>
      <c r="K77">
        <v>-3.2209200830629961E-4</v>
      </c>
      <c r="L77">
        <v>1.307871831322653E-3</v>
      </c>
      <c r="M77">
        <v>1.929642269719227E-2</v>
      </c>
      <c r="N77">
        <v>1.2833555661418139E-3</v>
      </c>
      <c r="O77">
        <v>2.2111579517595042E-2</v>
      </c>
      <c r="P77" s="3">
        <v>1.6013431132957541E-4</v>
      </c>
      <c r="Q77" s="3">
        <v>0</v>
      </c>
      <c r="R77" s="3">
        <v>6.2404144491894934E-3</v>
      </c>
      <c r="S77" s="3">
        <v>0</v>
      </c>
      <c r="T77">
        <f>Constraint[[#This Row],[nx]]</f>
        <v>39</v>
      </c>
      <c r="U77">
        <v>7</v>
      </c>
    </row>
    <row r="78" spans="1:21" x14ac:dyDescent="0.3">
      <c r="A78">
        <v>0</v>
      </c>
      <c r="B78">
        <v>0</v>
      </c>
      <c r="C78">
        <v>0</v>
      </c>
      <c r="D78">
        <v>0</v>
      </c>
      <c r="E78">
        <v>-1.4005642175900224E-5</v>
      </c>
      <c r="F78">
        <v>0</v>
      </c>
      <c r="G78">
        <v>-2.5012658810229932E-4</v>
      </c>
      <c r="H78">
        <v>0</v>
      </c>
      <c r="I78">
        <v>-1.3383574656399347E-5</v>
      </c>
      <c r="J78">
        <v>0</v>
      </c>
      <c r="K78">
        <v>-2.7560573488479879E-4</v>
      </c>
      <c r="L78">
        <v>9.6148573289933333E-4</v>
      </c>
      <c r="M78">
        <v>1.7171161654620171E-2</v>
      </c>
      <c r="N78">
        <v>9.1878086886037179E-4</v>
      </c>
      <c r="O78">
        <v>1.8920302166004585E-2</v>
      </c>
      <c r="P78" s="3">
        <v>1.6077993614234515E-4</v>
      </c>
      <c r="Q78" s="3">
        <v>0</v>
      </c>
      <c r="R78" s="3">
        <v>6.2571313133225927E-3</v>
      </c>
      <c r="S78" s="3">
        <v>0</v>
      </c>
      <c r="T78">
        <f>Constraint[[#This Row],[nx]]</f>
        <v>33</v>
      </c>
      <c r="U78">
        <v>7</v>
      </c>
    </row>
    <row r="79" spans="1:21" x14ac:dyDescent="0.3">
      <c r="A79">
        <v>0</v>
      </c>
      <c r="B79">
        <v>0</v>
      </c>
      <c r="C79">
        <v>0</v>
      </c>
      <c r="D79">
        <v>0</v>
      </c>
      <c r="E79">
        <v>-9.4890601752013054E-6</v>
      </c>
      <c r="F79">
        <v>0</v>
      </c>
      <c r="G79">
        <v>-2.1471196941719867E-4</v>
      </c>
      <c r="H79">
        <v>0</v>
      </c>
      <c r="I79">
        <v>-8.703586114898465E-6</v>
      </c>
      <c r="J79">
        <v>0</v>
      </c>
      <c r="K79">
        <v>-2.2602326825820092E-4</v>
      </c>
      <c r="L79">
        <v>6.5142289532274782E-4</v>
      </c>
      <c r="M79">
        <v>1.4739952133903864E-2</v>
      </c>
      <c r="N79">
        <v>5.9750019095413179E-4</v>
      </c>
      <c r="O79">
        <v>1.5516471505139722E-2</v>
      </c>
      <c r="P79" s="3">
        <v>1.6183009599815429E-4</v>
      </c>
      <c r="Q79" s="3">
        <v>0</v>
      </c>
      <c r="R79" s="3">
        <v>6.2784287691008793E-3</v>
      </c>
      <c r="S79" s="3">
        <v>0</v>
      </c>
      <c r="T79">
        <f>Constraint[[#This Row],[nx]]</f>
        <v>27</v>
      </c>
      <c r="U79">
        <v>7</v>
      </c>
    </row>
    <row r="80" spans="1:21" x14ac:dyDescent="0.3">
      <c r="A80">
        <v>0</v>
      </c>
      <c r="B80">
        <v>0</v>
      </c>
      <c r="C80">
        <v>0</v>
      </c>
      <c r="D80">
        <v>0</v>
      </c>
      <c r="E80">
        <v>-7.4438587308999632E-6</v>
      </c>
      <c r="F80">
        <v>0</v>
      </c>
      <c r="G80">
        <v>-1.9512581207619881E-4</v>
      </c>
      <c r="H80">
        <v>0</v>
      </c>
      <c r="I80">
        <v>-6.6322084182005719E-6</v>
      </c>
      <c r="J80">
        <v>0</v>
      </c>
      <c r="K80">
        <v>-2.0035486627870136E-4</v>
      </c>
      <c r="L80">
        <v>5.1102005017620092E-4</v>
      </c>
      <c r="M80">
        <v>1.339536467342332E-2</v>
      </c>
      <c r="N80">
        <v>4.5530034907555542E-4</v>
      </c>
      <c r="O80">
        <v>1.3754338646135168E-2</v>
      </c>
      <c r="P80" s="3">
        <v>1.6263112063574949E-4</v>
      </c>
      <c r="Q80" s="3">
        <v>0</v>
      </c>
      <c r="R80" s="3">
        <v>6.2916007448062458E-3</v>
      </c>
      <c r="S80" s="3">
        <v>0</v>
      </c>
      <c r="T80">
        <f>Constraint[[#This Row],[nx]]</f>
        <v>24</v>
      </c>
      <c r="U80">
        <v>7</v>
      </c>
    </row>
    <row r="81" spans="1:21" x14ac:dyDescent="0.3">
      <c r="A81">
        <v>0</v>
      </c>
      <c r="B81">
        <v>0</v>
      </c>
      <c r="C81">
        <v>0</v>
      </c>
      <c r="D81">
        <v>0</v>
      </c>
      <c r="E81">
        <v>-5.5327091667990019E-6</v>
      </c>
      <c r="F81">
        <v>0</v>
      </c>
      <c r="G81">
        <v>-1.7420117558390041E-4</v>
      </c>
      <c r="H81">
        <v>0</v>
      </c>
      <c r="I81">
        <v>-4.7444803249006157E-6</v>
      </c>
      <c r="J81">
        <v>0</v>
      </c>
      <c r="K81">
        <v>-1.7433946506269921E-4</v>
      </c>
      <c r="L81">
        <v>3.7981985126766746E-4</v>
      </c>
      <c r="M81">
        <v>1.1958890772350197E-2</v>
      </c>
      <c r="N81">
        <v>3.2570803145770977E-4</v>
      </c>
      <c r="O81">
        <v>1.1968384329247139E-2</v>
      </c>
      <c r="P81" s="3">
        <v>1.6374845356859159E-4</v>
      </c>
      <c r="Q81" s="3">
        <v>0</v>
      </c>
      <c r="R81" s="3">
        <v>6.3071998972206644E-3</v>
      </c>
      <c r="S81" s="3">
        <v>0</v>
      </c>
      <c r="T81">
        <f>Constraint[[#This Row],[nx]]</f>
        <v>21</v>
      </c>
      <c r="U81">
        <v>7</v>
      </c>
    </row>
    <row r="82" spans="1:21" x14ac:dyDescent="0.3">
      <c r="A82">
        <v>0</v>
      </c>
      <c r="B82">
        <v>0</v>
      </c>
      <c r="C82">
        <v>0</v>
      </c>
      <c r="D82">
        <v>0</v>
      </c>
      <c r="E82">
        <v>-3.7340325137000946E-6</v>
      </c>
      <c r="F82">
        <v>0</v>
      </c>
      <c r="G82">
        <v>-1.5191482820149996E-4</v>
      </c>
      <c r="H82">
        <v>0</v>
      </c>
      <c r="I82">
        <v>-3.0299991676009663E-6</v>
      </c>
      <c r="J82">
        <v>0</v>
      </c>
      <c r="K82">
        <v>-1.4803531363070076E-4</v>
      </c>
      <c r="L82">
        <v>2.5634090483067293E-4</v>
      </c>
      <c r="M82">
        <v>1.0428935574473731E-2</v>
      </c>
      <c r="N82">
        <v>2.0800909617398034E-4</v>
      </c>
      <c r="O82">
        <v>1.0162607343068748E-2</v>
      </c>
      <c r="P82" s="3">
        <v>1.6537351329884748E-4</v>
      </c>
      <c r="Q82" s="3">
        <v>0</v>
      </c>
      <c r="R82" s="3">
        <v>6.3262052776611915E-3</v>
      </c>
      <c r="S82" s="3">
        <v>0</v>
      </c>
      <c r="T82">
        <f>Constraint[[#This Row],[nx]]</f>
        <v>18</v>
      </c>
      <c r="U82">
        <v>7</v>
      </c>
    </row>
    <row r="83" spans="1:21" x14ac:dyDescent="0.3">
      <c r="A83">
        <v>0</v>
      </c>
      <c r="B83">
        <v>0</v>
      </c>
      <c r="C83">
        <v>0</v>
      </c>
      <c r="D83">
        <v>0</v>
      </c>
      <c r="E83">
        <v>-2.0068751075998092E-6</v>
      </c>
      <c r="F83">
        <v>0</v>
      </c>
      <c r="G83">
        <v>-1.2830041597489995E-4</v>
      </c>
      <c r="H83">
        <v>0</v>
      </c>
      <c r="I83">
        <v>-1.4578547614003956E-6</v>
      </c>
      <c r="J83">
        <v>0</v>
      </c>
      <c r="K83">
        <v>-1.2216191601150013E-4</v>
      </c>
      <c r="L83">
        <v>1.3777174651714852E-4</v>
      </c>
      <c r="M83">
        <v>8.8078088769954609E-3</v>
      </c>
      <c r="N83">
        <v>1.0008156256753262E-4</v>
      </c>
      <c r="O83">
        <v>8.3864015568535961E-3</v>
      </c>
      <c r="P83" s="3">
        <v>1.6785818844885985E-4</v>
      </c>
      <c r="Q83" s="3">
        <v>0</v>
      </c>
      <c r="R83" s="3">
        <v>6.3503218770740218E-3</v>
      </c>
      <c r="S83" s="3">
        <v>0</v>
      </c>
      <c r="T83">
        <f>Constraint[[#This Row],[nx]]</f>
        <v>15</v>
      </c>
      <c r="U83">
        <v>7</v>
      </c>
    </row>
    <row r="84" spans="1:21" x14ac:dyDescent="0.3">
      <c r="A84">
        <v>0</v>
      </c>
      <c r="B84">
        <v>0</v>
      </c>
      <c r="C84">
        <v>0</v>
      </c>
      <c r="D84">
        <v>0</v>
      </c>
      <c r="E84">
        <v>-2.745846540003205E-7</v>
      </c>
      <c r="F84">
        <v>0</v>
      </c>
      <c r="G84">
        <v>-1.0346599804310005E-4</v>
      </c>
      <c r="H84">
        <v>0</v>
      </c>
      <c r="I84">
        <v>4.6037092700512705E-8</v>
      </c>
      <c r="J84">
        <v>0</v>
      </c>
      <c r="K84">
        <v>-9.5226493113800131E-5</v>
      </c>
      <c r="L84">
        <v>1.8850205080106486E-5</v>
      </c>
      <c r="M84">
        <v>7.102928927443972E-3</v>
      </c>
      <c r="N84">
        <v>-3.1604411464894455E-6</v>
      </c>
      <c r="O84">
        <v>6.5372878567826493E-3</v>
      </c>
      <c r="P84" s="3">
        <v>1.7188714233299621E-4</v>
      </c>
      <c r="Q84" s="3">
        <v>0</v>
      </c>
      <c r="R84" s="3">
        <v>6.382768606008166E-3</v>
      </c>
      <c r="S84" s="3">
        <v>0</v>
      </c>
      <c r="T84">
        <f>Constraint[[#This Row],[nx]]</f>
        <v>12</v>
      </c>
      <c r="U84">
        <v>7</v>
      </c>
    </row>
    <row r="85" spans="1:21" x14ac:dyDescent="0.3">
      <c r="A85">
        <v>0</v>
      </c>
      <c r="B85">
        <v>0</v>
      </c>
      <c r="C85">
        <v>0</v>
      </c>
      <c r="D85">
        <v>0</v>
      </c>
      <c r="E85">
        <v>1.6306036758010484E-6</v>
      </c>
      <c r="F85">
        <v>0</v>
      </c>
      <c r="G85">
        <v>-7.7578873016400512E-5</v>
      </c>
      <c r="H85">
        <v>0</v>
      </c>
      <c r="I85">
        <v>1.6527910254009875E-6</v>
      </c>
      <c r="J85">
        <v>0</v>
      </c>
      <c r="K85">
        <v>-7.3011623098299949E-5</v>
      </c>
      <c r="L85">
        <v>-1.1194075577582174E-4</v>
      </c>
      <c r="M85">
        <v>5.3257807562746597E-3</v>
      </c>
      <c r="N85">
        <v>-1.1346391478725404E-4</v>
      </c>
      <c r="O85">
        <v>5.0122395719656952E-3</v>
      </c>
      <c r="P85" s="3">
        <v>1.788351572054245E-4</v>
      </c>
      <c r="Q85" s="3">
        <v>0</v>
      </c>
      <c r="R85" s="3">
        <v>6.4297939837268236E-3</v>
      </c>
      <c r="S85" s="3">
        <v>0</v>
      </c>
      <c r="T85">
        <f>Constraint[[#This Row],[nx]]</f>
        <v>9</v>
      </c>
      <c r="U85">
        <v>7</v>
      </c>
    </row>
    <row r="86" spans="1:21" x14ac:dyDescent="0.3">
      <c r="A86">
        <v>0</v>
      </c>
      <c r="B86">
        <v>0</v>
      </c>
      <c r="C86">
        <v>0</v>
      </c>
      <c r="D86">
        <v>0</v>
      </c>
      <c r="E86">
        <v>4.3495922021005717E-6</v>
      </c>
      <c r="F86">
        <v>0</v>
      </c>
      <c r="G86">
        <v>-5.071558821779891E-5</v>
      </c>
      <c r="H86">
        <v>0</v>
      </c>
      <c r="I86">
        <v>3.9871966133996073E-6</v>
      </c>
      <c r="J86">
        <v>0</v>
      </c>
      <c r="K86">
        <v>-4.0498462969900187E-5</v>
      </c>
      <c r="L86">
        <v>-2.9859900700918152E-4</v>
      </c>
      <c r="M86">
        <v>3.48161932845303E-3</v>
      </c>
      <c r="N86">
        <v>-2.7372059130889581E-4</v>
      </c>
      <c r="O86">
        <v>2.7802148491922456E-3</v>
      </c>
      <c r="P86" s="3">
        <v>1.9100612801444791E-4</v>
      </c>
      <c r="Q86" s="3">
        <v>0</v>
      </c>
      <c r="R86" s="3">
        <v>6.4962249964510346E-3</v>
      </c>
      <c r="S86" s="3">
        <v>0</v>
      </c>
      <c r="T86">
        <f>Constraint[[#This Row],[nx]]</f>
        <v>6</v>
      </c>
      <c r="U86">
        <v>7</v>
      </c>
    </row>
    <row r="87" spans="1:21" x14ac:dyDescent="0.3">
      <c r="A87">
        <v>0</v>
      </c>
      <c r="B87">
        <v>0</v>
      </c>
      <c r="C87">
        <v>0</v>
      </c>
      <c r="D87">
        <v>0</v>
      </c>
      <c r="E87">
        <v>-1.842024874535008E-4</v>
      </c>
      <c r="F87">
        <v>0</v>
      </c>
      <c r="G87">
        <v>-7.371696313394991E-4</v>
      </c>
      <c r="H87">
        <v>0</v>
      </c>
      <c r="I87">
        <v>-1.8624543603990018E-4</v>
      </c>
      <c r="J87">
        <v>0</v>
      </c>
      <c r="K87">
        <v>-1.0171948857775996E-3</v>
      </c>
      <c r="L87">
        <v>1.2645479687883409E-2</v>
      </c>
      <c r="M87">
        <v>5.0606610847105438E-2</v>
      </c>
      <c r="N87">
        <v>1.2785727874592746E-2</v>
      </c>
      <c r="O87">
        <v>6.9830312524778337E-2</v>
      </c>
      <c r="P87" s="3">
        <v>1.5842345569539709E-4</v>
      </c>
      <c r="Q87" s="3">
        <v>0</v>
      </c>
      <c r="R87" s="3">
        <v>6.0514788394757683E-3</v>
      </c>
      <c r="S87" s="3">
        <v>0</v>
      </c>
      <c r="T87">
        <f>Constraint[[#This Row],[nx]]</f>
        <v>120</v>
      </c>
      <c r="U87">
        <v>5</v>
      </c>
    </row>
    <row r="88" spans="1:21" x14ac:dyDescent="0.3">
      <c r="A88">
        <v>0</v>
      </c>
      <c r="B88">
        <v>0</v>
      </c>
      <c r="C88">
        <v>0</v>
      </c>
      <c r="D88">
        <v>0</v>
      </c>
      <c r="E88">
        <v>-1.7555952358280086E-4</v>
      </c>
      <c r="F88">
        <v>0</v>
      </c>
      <c r="G88">
        <v>-7.3171161137399951E-4</v>
      </c>
      <c r="H88">
        <v>0</v>
      </c>
      <c r="I88">
        <v>-1.787122984426015E-4</v>
      </c>
      <c r="J88">
        <v>0</v>
      </c>
      <c r="K88">
        <v>-9.9936874772610026E-4</v>
      </c>
      <c r="L88">
        <v>1.2052141207057323E-2</v>
      </c>
      <c r="M88">
        <v>5.0231918400961299E-2</v>
      </c>
      <c r="N88">
        <v>1.2268578840453247E-2</v>
      </c>
      <c r="O88">
        <v>6.8606550187146786E-2</v>
      </c>
      <c r="P88" s="3">
        <v>1.5857621156842693E-4</v>
      </c>
      <c r="Q88" s="3">
        <v>0</v>
      </c>
      <c r="R88" s="3">
        <v>6.0540440702987596E-3</v>
      </c>
      <c r="S88" s="3">
        <v>0</v>
      </c>
      <c r="T88">
        <f>Constraint[[#This Row],[nx]]</f>
        <v>102</v>
      </c>
      <c r="U88">
        <v>5</v>
      </c>
    </row>
    <row r="89" spans="1:21" x14ac:dyDescent="0.3">
      <c r="A89">
        <v>0</v>
      </c>
      <c r="B89">
        <v>0</v>
      </c>
      <c r="C89">
        <v>0</v>
      </c>
      <c r="D89">
        <v>0</v>
      </c>
      <c r="E89">
        <v>-1.6157375782739972E-4</v>
      </c>
      <c r="F89">
        <v>0</v>
      </c>
      <c r="G89">
        <v>-7.1510337496999941E-4</v>
      </c>
      <c r="H89">
        <v>0</v>
      </c>
      <c r="I89">
        <v>-1.6534042454699992E-4</v>
      </c>
      <c r="J89">
        <v>0</v>
      </c>
      <c r="K89">
        <v>-9.662927656294007E-4</v>
      </c>
      <c r="L89">
        <v>1.1092019988151063E-2</v>
      </c>
      <c r="M89">
        <v>4.9091764872082569E-2</v>
      </c>
      <c r="N89">
        <v>1.1350601227482889E-2</v>
      </c>
      <c r="O89">
        <v>6.6335887800645671E-2</v>
      </c>
      <c r="P89" s="3">
        <v>1.5880618978878375E-4</v>
      </c>
      <c r="Q89" s="3">
        <v>0</v>
      </c>
      <c r="R89" s="3">
        <v>6.0610459922708177E-3</v>
      </c>
      <c r="S89" s="3">
        <v>0</v>
      </c>
      <c r="T89">
        <f>Constraint[[#This Row],[nx]]</f>
        <v>87</v>
      </c>
      <c r="U89">
        <v>5</v>
      </c>
    </row>
    <row r="90" spans="1:21" x14ac:dyDescent="0.3">
      <c r="A90">
        <v>0</v>
      </c>
      <c r="B90">
        <v>0</v>
      </c>
      <c r="C90">
        <v>0</v>
      </c>
      <c r="D90">
        <v>0</v>
      </c>
      <c r="E90">
        <v>-1.3953656305479983E-4</v>
      </c>
      <c r="F90">
        <v>0</v>
      </c>
      <c r="G90">
        <v>-6.8124738483530019E-4</v>
      </c>
      <c r="H90">
        <v>0</v>
      </c>
      <c r="I90">
        <v>-1.4333287909959989E-4</v>
      </c>
      <c r="J90">
        <v>0</v>
      </c>
      <c r="K90">
        <v>-9.0763312530509933E-4</v>
      </c>
      <c r="L90">
        <v>9.5791690884302391E-3</v>
      </c>
      <c r="M90">
        <v>4.6767555023018534E-2</v>
      </c>
      <c r="N90">
        <v>9.8397857505446613E-3</v>
      </c>
      <c r="O90">
        <v>6.2308910204011678E-2</v>
      </c>
      <c r="P90" s="3">
        <v>1.5917617319534963E-4</v>
      </c>
      <c r="Q90" s="3">
        <v>0</v>
      </c>
      <c r="R90" s="3">
        <v>6.075089884398842E-3</v>
      </c>
      <c r="S90" s="3">
        <v>0</v>
      </c>
      <c r="T90">
        <f>Constraint[[#This Row],[nx]]</f>
        <v>72</v>
      </c>
      <c r="U90">
        <v>5</v>
      </c>
    </row>
    <row r="91" spans="1:21" x14ac:dyDescent="0.3">
      <c r="A91">
        <v>0</v>
      </c>
      <c r="B91">
        <v>0</v>
      </c>
      <c r="C91">
        <v>0</v>
      </c>
      <c r="D91">
        <v>0</v>
      </c>
      <c r="E91">
        <v>-1.2199658374350067E-4</v>
      </c>
      <c r="F91">
        <v>0</v>
      </c>
      <c r="G91">
        <v>-6.4951938083249866E-4</v>
      </c>
      <c r="H91">
        <v>0</v>
      </c>
      <c r="I91">
        <v>-1.2540240184139885E-4</v>
      </c>
      <c r="J91">
        <v>0</v>
      </c>
      <c r="K91">
        <v>-8.5556796304030007E-4</v>
      </c>
      <c r="L91">
        <v>8.3750515155721662E-3</v>
      </c>
      <c r="M91">
        <v>4.4589431178432608E-2</v>
      </c>
      <c r="N91">
        <v>8.6088605383111763E-3</v>
      </c>
      <c r="O91">
        <v>5.8734642771645584E-2</v>
      </c>
      <c r="P91" s="3">
        <v>1.5949310593929149E-4</v>
      </c>
      <c r="Q91" s="3">
        <v>0</v>
      </c>
      <c r="R91" s="3">
        <v>6.0882819173414208E-3</v>
      </c>
      <c r="S91" s="3">
        <v>0</v>
      </c>
      <c r="T91">
        <f>Constraint[[#This Row],[nx]]</f>
        <v>63</v>
      </c>
      <c r="U91">
        <v>5</v>
      </c>
    </row>
    <row r="92" spans="1:21" x14ac:dyDescent="0.3">
      <c r="A92">
        <v>0</v>
      </c>
      <c r="B92">
        <v>0</v>
      </c>
      <c r="C92">
        <v>0</v>
      </c>
      <c r="D92">
        <v>0</v>
      </c>
      <c r="E92">
        <v>-1.0137794199739994E-4</v>
      </c>
      <c r="F92">
        <v>0</v>
      </c>
      <c r="G92">
        <v>-6.0697519380920051E-4</v>
      </c>
      <c r="H92">
        <v>0</v>
      </c>
      <c r="I92">
        <v>-1.0404317743110091E-4</v>
      </c>
      <c r="J92">
        <v>0</v>
      </c>
      <c r="K92">
        <v>-7.8737466184759797E-4</v>
      </c>
      <c r="L92">
        <v>6.9595841188146729E-3</v>
      </c>
      <c r="M92">
        <v>4.1668777607039131E-2</v>
      </c>
      <c r="N92">
        <v>7.1425522263913986E-3</v>
      </c>
      <c r="O92">
        <v>5.405318044720378E-2</v>
      </c>
      <c r="P92" s="3">
        <v>1.5991134587903011E-4</v>
      </c>
      <c r="Q92" s="3">
        <v>0</v>
      </c>
      <c r="R92" s="3">
        <v>6.1061618551868256E-3</v>
      </c>
      <c r="S92" s="3">
        <v>0</v>
      </c>
      <c r="T92">
        <f>Constraint[[#This Row],[nx]]</f>
        <v>54</v>
      </c>
      <c r="U92">
        <v>5</v>
      </c>
    </row>
    <row r="93" spans="1:21" x14ac:dyDescent="0.3">
      <c r="A93">
        <v>0</v>
      </c>
      <c r="B93">
        <v>0</v>
      </c>
      <c r="C93">
        <v>0</v>
      </c>
      <c r="D93">
        <v>0</v>
      </c>
      <c r="E93">
        <v>-7.8405776360200227E-5</v>
      </c>
      <c r="F93">
        <v>0</v>
      </c>
      <c r="G93">
        <v>-5.5168657240090013E-4</v>
      </c>
      <c r="H93">
        <v>0</v>
      </c>
      <c r="I93">
        <v>-8.0027765176600776E-5</v>
      </c>
      <c r="J93">
        <v>0</v>
      </c>
      <c r="K93">
        <v>-6.9985891814130022E-4</v>
      </c>
      <c r="L93">
        <v>5.382547576215143E-3</v>
      </c>
      <c r="M93">
        <v>3.7873220073288513E-2</v>
      </c>
      <c r="N93">
        <v>5.4938969228787958E-3</v>
      </c>
      <c r="O93">
        <v>4.8045234655009393E-2</v>
      </c>
      <c r="P93" s="3">
        <v>1.604818298308873E-4</v>
      </c>
      <c r="Q93" s="3">
        <v>0</v>
      </c>
      <c r="R93" s="3">
        <v>6.1299106220944286E-3</v>
      </c>
      <c r="S93" s="3">
        <v>0</v>
      </c>
      <c r="T93">
        <f>Constraint[[#This Row],[nx]]</f>
        <v>45</v>
      </c>
      <c r="U93">
        <v>5</v>
      </c>
    </row>
    <row r="94" spans="1:21" x14ac:dyDescent="0.3">
      <c r="A94">
        <v>0</v>
      </c>
      <c r="B94">
        <v>0</v>
      </c>
      <c r="C94">
        <v>0</v>
      </c>
      <c r="D94">
        <v>0</v>
      </c>
      <c r="E94">
        <v>-6.2458259188300641E-5</v>
      </c>
      <c r="F94">
        <v>0</v>
      </c>
      <c r="G94">
        <v>-5.0674878718509966E-4</v>
      </c>
      <c r="H94">
        <v>0</v>
      </c>
      <c r="I94">
        <v>-6.3297773586700259E-5</v>
      </c>
      <c r="J94">
        <v>0</v>
      </c>
      <c r="K94">
        <v>-6.2916125674379944E-4</v>
      </c>
      <c r="L94">
        <v>4.2877523470229474E-3</v>
      </c>
      <c r="M94">
        <v>3.478824625984682E-2</v>
      </c>
      <c r="N94">
        <v>4.3453849144188018E-3</v>
      </c>
      <c r="O94">
        <v>4.3191848289048221E-2</v>
      </c>
      <c r="P94" s="3">
        <v>1.610011031428732E-4</v>
      </c>
      <c r="Q94" s="3">
        <v>0</v>
      </c>
      <c r="R94" s="3">
        <v>6.1498338941866626E-3</v>
      </c>
      <c r="S94" s="3">
        <v>0</v>
      </c>
      <c r="T94">
        <f>Constraint[[#This Row],[nx]]</f>
        <v>39</v>
      </c>
      <c r="U94">
        <v>5</v>
      </c>
    </row>
    <row r="95" spans="1:21" x14ac:dyDescent="0.3">
      <c r="A95">
        <v>0</v>
      </c>
      <c r="B95">
        <v>0</v>
      </c>
      <c r="C95">
        <v>0</v>
      </c>
      <c r="D95">
        <v>0</v>
      </c>
      <c r="E95">
        <v>-4.6684976503799658E-5</v>
      </c>
      <c r="F95">
        <v>0</v>
      </c>
      <c r="G95">
        <v>-4.5451080132510001E-4</v>
      </c>
      <c r="H95">
        <v>0</v>
      </c>
      <c r="I95">
        <v>-4.6774531330199751E-5</v>
      </c>
      <c r="J95">
        <v>0</v>
      </c>
      <c r="K95">
        <v>-5.4765754100650002E-4</v>
      </c>
      <c r="L95">
        <v>3.2049182954553687E-3</v>
      </c>
      <c r="M95">
        <v>3.1202114507444083E-2</v>
      </c>
      <c r="N95">
        <v>3.2110662240411869E-3</v>
      </c>
      <c r="O95">
        <v>3.7596627529050519E-2</v>
      </c>
      <c r="P95" s="3">
        <v>1.6171876449064102E-4</v>
      </c>
      <c r="Q95" s="3">
        <v>0</v>
      </c>
      <c r="R95" s="3">
        <v>6.1740138621328849E-3</v>
      </c>
      <c r="S95" s="3">
        <v>0</v>
      </c>
      <c r="T95">
        <f>Constraint[[#This Row],[nx]]</f>
        <v>33</v>
      </c>
      <c r="U95">
        <v>5</v>
      </c>
    </row>
    <row r="96" spans="1:21" x14ac:dyDescent="0.3">
      <c r="A96">
        <v>0</v>
      </c>
      <c r="B96">
        <v>0</v>
      </c>
      <c r="C96">
        <v>0</v>
      </c>
      <c r="D96">
        <v>0</v>
      </c>
      <c r="E96">
        <v>-3.1781436415198941E-5</v>
      </c>
      <c r="F96">
        <v>0</v>
      </c>
      <c r="G96">
        <v>-3.9394382016000144E-4</v>
      </c>
      <c r="H96">
        <v>0</v>
      </c>
      <c r="I96">
        <v>-3.1267074205700365E-5</v>
      </c>
      <c r="J96">
        <v>0</v>
      </c>
      <c r="K96">
        <v>-4.552396470613989E-4</v>
      </c>
      <c r="L96">
        <v>2.181791973583461E-3</v>
      </c>
      <c r="M96">
        <v>2.7044198180320594E-2</v>
      </c>
      <c r="N96">
        <v>2.1464810667528953E-3</v>
      </c>
      <c r="O96">
        <v>3.125214968384904E-2</v>
      </c>
      <c r="P96" s="3">
        <v>1.6281225739413912E-4</v>
      </c>
      <c r="Q96" s="3">
        <v>0</v>
      </c>
      <c r="R96" s="3">
        <v>6.2040816364714356E-3</v>
      </c>
      <c r="S96" s="3">
        <v>0</v>
      </c>
      <c r="T96">
        <f>Constraint[[#This Row],[nx]]</f>
        <v>27</v>
      </c>
      <c r="U96">
        <v>5</v>
      </c>
    </row>
    <row r="97" spans="1:21" x14ac:dyDescent="0.3">
      <c r="A97">
        <v>0</v>
      </c>
      <c r="B97">
        <v>0</v>
      </c>
      <c r="C97">
        <v>0</v>
      </c>
      <c r="D97">
        <v>0</v>
      </c>
      <c r="E97">
        <v>-2.4879391584299929E-5</v>
      </c>
      <c r="F97">
        <v>0</v>
      </c>
      <c r="G97">
        <v>-3.6008341797630003E-4</v>
      </c>
      <c r="H97">
        <v>0</v>
      </c>
      <c r="I97">
        <v>-2.4151150418698364E-5</v>
      </c>
      <c r="J97">
        <v>0</v>
      </c>
      <c r="K97">
        <v>-4.0527850735489965E-4</v>
      </c>
      <c r="L97">
        <v>1.7079673856498917E-3</v>
      </c>
      <c r="M97">
        <v>2.4719685444597374E-2</v>
      </c>
      <c r="N97">
        <v>1.6579737129541298E-3</v>
      </c>
      <c r="O97">
        <v>2.7822323159375394E-2</v>
      </c>
      <c r="P97" s="3">
        <v>1.6361716269661274E-4</v>
      </c>
      <c r="Q97" s="3">
        <v>0</v>
      </c>
      <c r="R97" s="3">
        <v>6.2222533041415996E-3</v>
      </c>
      <c r="S97" s="3">
        <v>0</v>
      </c>
      <c r="T97">
        <f>Constraint[[#This Row],[nx]]</f>
        <v>24</v>
      </c>
      <c r="U97">
        <v>5</v>
      </c>
    </row>
    <row r="98" spans="1:21" x14ac:dyDescent="0.3">
      <c r="A98">
        <v>0</v>
      </c>
      <c r="B98">
        <v>0</v>
      </c>
      <c r="C98">
        <v>0</v>
      </c>
      <c r="D98">
        <v>0</v>
      </c>
      <c r="E98">
        <v>-1.8456452375401056E-5</v>
      </c>
      <c r="F98">
        <v>0</v>
      </c>
      <c r="G98">
        <v>-3.2353406176439947E-4</v>
      </c>
      <c r="H98">
        <v>0</v>
      </c>
      <c r="I98">
        <v>-1.758164758410008E-5</v>
      </c>
      <c r="J98">
        <v>0</v>
      </c>
      <c r="K98">
        <v>-3.5328811922110022E-4</v>
      </c>
      <c r="L98">
        <v>1.2670333438490472E-3</v>
      </c>
      <c r="M98">
        <v>2.2210576322498923E-2</v>
      </c>
      <c r="N98">
        <v>1.2069780950183179E-3</v>
      </c>
      <c r="O98">
        <v>2.4253188962547037E-2</v>
      </c>
      <c r="P98" s="3">
        <v>1.6472090251579328E-4</v>
      </c>
      <c r="Q98" s="3">
        <v>0</v>
      </c>
      <c r="R98" s="3">
        <v>6.2433916538906387E-3</v>
      </c>
      <c r="S98" s="3">
        <v>0</v>
      </c>
      <c r="T98">
        <f>Constraint[[#This Row],[nx]]</f>
        <v>21</v>
      </c>
      <c r="U98">
        <v>5</v>
      </c>
    </row>
    <row r="99" spans="1:21" x14ac:dyDescent="0.3">
      <c r="A99">
        <v>0</v>
      </c>
      <c r="B99">
        <v>0</v>
      </c>
      <c r="C99">
        <v>0</v>
      </c>
      <c r="D99">
        <v>0</v>
      </c>
      <c r="E99">
        <v>-1.2588352063100036E-5</v>
      </c>
      <c r="F99">
        <v>0</v>
      </c>
      <c r="G99">
        <v>-2.8406283418450085E-4</v>
      </c>
      <c r="H99">
        <v>0</v>
      </c>
      <c r="I99">
        <v>-1.1624785042999367E-5</v>
      </c>
      <c r="J99">
        <v>0</v>
      </c>
      <c r="K99">
        <v>-2.9969319822320019E-4</v>
      </c>
      <c r="L99">
        <v>8.6418892881694187E-4</v>
      </c>
      <c r="M99">
        <v>1.9500881065297633E-2</v>
      </c>
      <c r="N99">
        <v>7.9804016313497175E-4</v>
      </c>
      <c r="O99">
        <v>2.0573903768183174E-2</v>
      </c>
      <c r="P99" s="3">
        <v>1.6630822570377958E-4</v>
      </c>
      <c r="Q99" s="3">
        <v>0</v>
      </c>
      <c r="R99" s="3">
        <v>6.2686189284381485E-3</v>
      </c>
      <c r="S99" s="3">
        <v>0</v>
      </c>
      <c r="T99">
        <f>Constraint[[#This Row],[nx]]</f>
        <v>18</v>
      </c>
      <c r="U99">
        <v>5</v>
      </c>
    </row>
    <row r="100" spans="1:21" x14ac:dyDescent="0.3">
      <c r="A100">
        <v>0</v>
      </c>
      <c r="B100">
        <v>0</v>
      </c>
      <c r="C100">
        <v>0</v>
      </c>
      <c r="D100">
        <v>0</v>
      </c>
      <c r="E100">
        <v>-7.3396236253998881E-6</v>
      </c>
      <c r="F100">
        <v>0</v>
      </c>
      <c r="G100">
        <v>-2.4150067445889885E-4</v>
      </c>
      <c r="H100">
        <v>0</v>
      </c>
      <c r="I100">
        <v>-6.3064058051995331E-6</v>
      </c>
      <c r="J100">
        <v>0</v>
      </c>
      <c r="K100">
        <v>-2.4595184103650032E-4</v>
      </c>
      <c r="L100">
        <v>5.0386432210983156E-4</v>
      </c>
      <c r="M100">
        <v>1.6578993669947369E-2</v>
      </c>
      <c r="N100">
        <v>4.3293403697022229E-4</v>
      </c>
      <c r="O100">
        <v>1.6884565746212915E-2</v>
      </c>
      <c r="P100" s="3">
        <v>1.6872059651861171E-4</v>
      </c>
      <c r="Q100" s="3">
        <v>0</v>
      </c>
      <c r="R100" s="3">
        <v>6.2998097575153941E-3</v>
      </c>
      <c r="S100" s="3">
        <v>0</v>
      </c>
      <c r="T100">
        <f>Constraint[[#This Row],[nx]]</f>
        <v>15</v>
      </c>
      <c r="U100">
        <v>5</v>
      </c>
    </row>
    <row r="101" spans="1:21" x14ac:dyDescent="0.3">
      <c r="A101">
        <v>0</v>
      </c>
      <c r="B101">
        <v>0</v>
      </c>
      <c r="C101">
        <v>0</v>
      </c>
      <c r="D101">
        <v>0</v>
      </c>
      <c r="E101">
        <v>-2.7453598757005981E-6</v>
      </c>
      <c r="F101">
        <v>0</v>
      </c>
      <c r="G101">
        <v>-1.9583246724740044E-4</v>
      </c>
      <c r="H101">
        <v>0</v>
      </c>
      <c r="I101">
        <v>-1.5755491907989277E-6</v>
      </c>
      <c r="J101">
        <v>0</v>
      </c>
      <c r="K101">
        <v>-1.9013102343949997E-4</v>
      </c>
      <c r="L101">
        <v>1.8846864135244057E-4</v>
      </c>
      <c r="M101">
        <v>1.3443876470073319E-2</v>
      </c>
      <c r="N101">
        <v>1.0816127167956324E-4</v>
      </c>
      <c r="O101">
        <v>1.305247300500006E-2</v>
      </c>
      <c r="P101" s="3">
        <v>1.7262672998585824E-4</v>
      </c>
      <c r="Q101" s="3">
        <v>0</v>
      </c>
      <c r="R101" s="3">
        <v>6.3403621817707742E-3</v>
      </c>
      <c r="S101" s="3">
        <v>0</v>
      </c>
      <c r="T101">
        <f>Constraint[[#This Row],[nx]]</f>
        <v>12</v>
      </c>
      <c r="U101">
        <v>5</v>
      </c>
    </row>
    <row r="102" spans="1:21" x14ac:dyDescent="0.3">
      <c r="A102">
        <v>0</v>
      </c>
      <c r="B102">
        <v>0</v>
      </c>
      <c r="C102">
        <v>0</v>
      </c>
      <c r="D102">
        <v>0</v>
      </c>
      <c r="E102">
        <v>1.2891945438998909E-6</v>
      </c>
      <c r="F102">
        <v>0</v>
      </c>
      <c r="G102">
        <v>-1.4725118975750066E-4</v>
      </c>
      <c r="H102">
        <v>0</v>
      </c>
      <c r="I102">
        <v>2.773930964199145E-6</v>
      </c>
      <c r="J102">
        <v>0</v>
      </c>
      <c r="K102">
        <v>-1.4339083309870132E-4</v>
      </c>
      <c r="L102">
        <v>-8.8503057933633777E-5</v>
      </c>
      <c r="M102">
        <v>1.0108777328890251E-2</v>
      </c>
      <c r="N102">
        <v>-1.9043004330886876E-4</v>
      </c>
      <c r="O102">
        <v>9.8437642859520794E-3</v>
      </c>
      <c r="P102" s="3">
        <v>1.793827897638268E-4</v>
      </c>
      <c r="Q102" s="3">
        <v>0</v>
      </c>
      <c r="R102" s="3">
        <v>6.3967251127785649E-3</v>
      </c>
      <c r="S102" s="3">
        <v>0</v>
      </c>
      <c r="T102">
        <f>Constraint[[#This Row],[nx]]</f>
        <v>9</v>
      </c>
      <c r="U102">
        <v>5</v>
      </c>
    </row>
    <row r="103" spans="1:21" x14ac:dyDescent="0.3">
      <c r="A103">
        <v>0</v>
      </c>
      <c r="B103">
        <v>0</v>
      </c>
      <c r="C103">
        <v>0</v>
      </c>
      <c r="D103">
        <v>0</v>
      </c>
      <c r="E103">
        <v>5.4819427468995319E-6</v>
      </c>
      <c r="F103">
        <v>0</v>
      </c>
      <c r="G103">
        <v>-9.6341040781999093E-5</v>
      </c>
      <c r="H103">
        <v>0</v>
      </c>
      <c r="I103">
        <v>7.2729494650005527E-6</v>
      </c>
      <c r="J103">
        <v>0</v>
      </c>
      <c r="K103">
        <v>-7.8343115855300863E-5</v>
      </c>
      <c r="L103">
        <v>-3.76334742350104E-4</v>
      </c>
      <c r="M103">
        <v>6.6138014266818902E-3</v>
      </c>
      <c r="N103">
        <v>-4.9928714862705614E-4</v>
      </c>
      <c r="O103">
        <v>5.3782459397231962E-3</v>
      </c>
      <c r="P103" s="3">
        <v>1.9130017770885334E-4</v>
      </c>
      <c r="Q103" s="3">
        <v>0</v>
      </c>
      <c r="R103" s="3">
        <v>6.4739874903328486E-3</v>
      </c>
      <c r="S103" s="3">
        <v>0</v>
      </c>
      <c r="T103">
        <f>Constraint[[#This Row],[nx]]</f>
        <v>6</v>
      </c>
      <c r="U103">
        <v>5</v>
      </c>
    </row>
    <row r="104" spans="1:21" x14ac:dyDescent="0.3">
      <c r="A104">
        <v>0</v>
      </c>
      <c r="B104">
        <v>0</v>
      </c>
      <c r="C104">
        <v>0</v>
      </c>
      <c r="D104">
        <v>0</v>
      </c>
      <c r="E104">
        <v>-2.7956622664690109E-4</v>
      </c>
      <c r="F104">
        <v>0</v>
      </c>
      <c r="G104">
        <v>-9.664203057996E-4</v>
      </c>
      <c r="H104">
        <v>0</v>
      </c>
      <c r="I104">
        <v>-2.7856599157660006E-4</v>
      </c>
      <c r="J104">
        <v>0</v>
      </c>
      <c r="K104">
        <v>-1.3190700868523E-3</v>
      </c>
      <c r="L104">
        <v>1.9192189472327394E-2</v>
      </c>
      <c r="M104">
        <v>6.6344643418737151E-2</v>
      </c>
      <c r="N104">
        <v>1.9123523449194602E-2</v>
      </c>
      <c r="O104">
        <v>9.0554010539059912E-2</v>
      </c>
      <c r="P104" s="3">
        <v>1.588353655532479E-4</v>
      </c>
      <c r="Q104" s="3">
        <v>0</v>
      </c>
      <c r="R104" s="3">
        <v>5.9633494239231654E-3</v>
      </c>
      <c r="S104" s="3">
        <v>0</v>
      </c>
      <c r="T104">
        <f>Constraint[[#This Row],[nx]]</f>
        <v>120</v>
      </c>
      <c r="U104">
        <v>4</v>
      </c>
    </row>
    <row r="105" spans="1:21" x14ac:dyDescent="0.3">
      <c r="A105">
        <v>0</v>
      </c>
      <c r="B105">
        <v>0</v>
      </c>
      <c r="C105">
        <v>0</v>
      </c>
      <c r="D105">
        <v>0</v>
      </c>
      <c r="E105">
        <v>-2.7920652752720133E-4</v>
      </c>
      <c r="F105">
        <v>0</v>
      </c>
      <c r="G105">
        <v>-9.8070914969819803E-4</v>
      </c>
      <c r="H105">
        <v>0</v>
      </c>
      <c r="I105">
        <v>-2.8075890128359884E-4</v>
      </c>
      <c r="J105">
        <v>0</v>
      </c>
      <c r="K105">
        <v>-1.3282995068160993E-3</v>
      </c>
      <c r="L105">
        <v>1.9167496168915513E-2</v>
      </c>
      <c r="M105">
        <v>6.7325570917496746E-2</v>
      </c>
      <c r="N105">
        <v>1.9274066449675064E-2</v>
      </c>
      <c r="O105">
        <v>9.118760916357703E-2</v>
      </c>
      <c r="P105" s="3">
        <v>1.5889487793762543E-4</v>
      </c>
      <c r="Q105" s="3">
        <v>0</v>
      </c>
      <c r="R105" s="3">
        <v>5.9584008298266796E-3</v>
      </c>
      <c r="S105" s="3">
        <v>0</v>
      </c>
      <c r="T105">
        <f>Constraint[[#This Row],[nx]]</f>
        <v>102</v>
      </c>
      <c r="U105">
        <v>4</v>
      </c>
    </row>
    <row r="106" spans="1:21" x14ac:dyDescent="0.3">
      <c r="A106">
        <v>0</v>
      </c>
      <c r="B106">
        <v>0</v>
      </c>
      <c r="C106">
        <v>0</v>
      </c>
      <c r="D106">
        <v>0</v>
      </c>
      <c r="E106">
        <v>-2.698672745623E-4</v>
      </c>
      <c r="F106">
        <v>0</v>
      </c>
      <c r="G106">
        <v>-9.8037694363510043E-4</v>
      </c>
      <c r="H106">
        <v>0</v>
      </c>
      <c r="I106">
        <v>-2.7362061610869924E-4</v>
      </c>
      <c r="J106">
        <v>0</v>
      </c>
      <c r="K106">
        <v>-1.317968958013201E-3</v>
      </c>
      <c r="L106">
        <v>1.8526357521439444E-2</v>
      </c>
      <c r="M106">
        <v>6.7302765009274942E-2</v>
      </c>
      <c r="N106">
        <v>1.8784023989155643E-2</v>
      </c>
      <c r="O106">
        <v>9.0478418170243047E-2</v>
      </c>
      <c r="P106" s="3">
        <v>1.5906965260644679E-4</v>
      </c>
      <c r="Q106" s="3">
        <v>0</v>
      </c>
      <c r="R106" s="3">
        <v>5.9590579599786749E-3</v>
      </c>
      <c r="S106" s="3">
        <v>0</v>
      </c>
      <c r="T106">
        <f>Constraint[[#This Row],[nx]]</f>
        <v>87</v>
      </c>
      <c r="U106">
        <v>4</v>
      </c>
    </row>
    <row r="107" spans="1:21" x14ac:dyDescent="0.3">
      <c r="A107">
        <v>0</v>
      </c>
      <c r="B107">
        <v>0</v>
      </c>
      <c r="C107">
        <v>0</v>
      </c>
      <c r="D107">
        <v>0</v>
      </c>
      <c r="E107">
        <v>-2.4732810809389993E-4</v>
      </c>
      <c r="F107">
        <v>0</v>
      </c>
      <c r="G107">
        <v>-9.5829341302969794E-4</v>
      </c>
      <c r="H107">
        <v>0</v>
      </c>
      <c r="I107">
        <v>-2.5285186630510069E-4</v>
      </c>
      <c r="J107">
        <v>0</v>
      </c>
      <c r="K107">
        <v>-1.2767208810552013E-3</v>
      </c>
      <c r="L107">
        <v>1.697904632223577E-2</v>
      </c>
      <c r="M107">
        <v>6.5786733159933802E-2</v>
      </c>
      <c r="N107">
        <v>1.7358251691425755E-2</v>
      </c>
      <c r="O107">
        <v>8.7646742406535971E-2</v>
      </c>
      <c r="P107" s="3">
        <v>1.5943677739171591E-4</v>
      </c>
      <c r="Q107" s="3">
        <v>0</v>
      </c>
      <c r="R107" s="3">
        <v>5.9681999909953383E-3</v>
      </c>
      <c r="S107" s="3">
        <v>0</v>
      </c>
      <c r="T107">
        <f>Constraint[[#This Row],[nx]]</f>
        <v>72</v>
      </c>
      <c r="U107">
        <v>4</v>
      </c>
    </row>
    <row r="108" spans="1:21" x14ac:dyDescent="0.3">
      <c r="A108">
        <v>0</v>
      </c>
      <c r="B108">
        <v>0</v>
      </c>
      <c r="C108">
        <v>0</v>
      </c>
      <c r="D108">
        <v>0</v>
      </c>
      <c r="E108">
        <v>-2.2520257214999999E-4</v>
      </c>
      <c r="F108">
        <v>0</v>
      </c>
      <c r="G108">
        <v>-9.2830783378530096E-4</v>
      </c>
      <c r="H108">
        <v>0</v>
      </c>
      <c r="I108">
        <v>-2.3124306830740043E-4</v>
      </c>
      <c r="J108">
        <v>0</v>
      </c>
      <c r="K108">
        <v>-1.2285199827920014E-3</v>
      </c>
      <c r="L108">
        <v>1.5460130811212884E-2</v>
      </c>
      <c r="M108">
        <v>6.3728226575650249E-2</v>
      </c>
      <c r="N108">
        <v>1.5874810181286145E-2</v>
      </c>
      <c r="O108">
        <v>8.433775625574419E-2</v>
      </c>
      <c r="P108" s="3">
        <v>1.5979557740637251E-4</v>
      </c>
      <c r="Q108" s="3">
        <v>0</v>
      </c>
      <c r="R108" s="3">
        <v>5.9802806872277991E-3</v>
      </c>
      <c r="S108" s="3">
        <v>0</v>
      </c>
      <c r="T108">
        <f>Constraint[[#This Row],[nx]]</f>
        <v>63</v>
      </c>
      <c r="U108">
        <v>4</v>
      </c>
    </row>
    <row r="109" spans="1:21" x14ac:dyDescent="0.3">
      <c r="A109">
        <v>0</v>
      </c>
      <c r="B109">
        <v>0</v>
      </c>
      <c r="C109">
        <v>0</v>
      </c>
      <c r="D109">
        <v>0</v>
      </c>
      <c r="E109">
        <v>-1.9546779855499942E-4</v>
      </c>
      <c r="F109">
        <v>0</v>
      </c>
      <c r="G109">
        <v>-8.8060549574290117E-4</v>
      </c>
      <c r="H109">
        <v>0</v>
      </c>
      <c r="I109">
        <v>-2.0135440753889927E-4</v>
      </c>
      <c r="J109">
        <v>0</v>
      </c>
      <c r="K109">
        <v>-1.1554953138107997E-3</v>
      </c>
      <c r="L109">
        <v>1.3418842006064096E-2</v>
      </c>
      <c r="M109">
        <v>6.0453466526972893E-2</v>
      </c>
      <c r="N109">
        <v>1.3822957039283768E-2</v>
      </c>
      <c r="O109">
        <v>7.9324621085409969E-2</v>
      </c>
      <c r="P109" s="3">
        <v>1.6030105147240095E-4</v>
      </c>
      <c r="Q109" s="3">
        <v>0</v>
      </c>
      <c r="R109" s="3">
        <v>5.9994968313365369E-3</v>
      </c>
      <c r="S109" s="3">
        <v>0</v>
      </c>
      <c r="T109">
        <f>Constraint[[#This Row],[nx]]</f>
        <v>54</v>
      </c>
      <c r="U109">
        <v>4</v>
      </c>
    </row>
    <row r="110" spans="1:21" x14ac:dyDescent="0.3">
      <c r="A110">
        <v>0</v>
      </c>
      <c r="B110">
        <v>0</v>
      </c>
      <c r="C110">
        <v>0</v>
      </c>
      <c r="D110">
        <v>0</v>
      </c>
      <c r="E110">
        <v>-1.5805742829720117E-4</v>
      </c>
      <c r="F110">
        <v>0</v>
      </c>
      <c r="G110">
        <v>-8.1054561621200089E-4</v>
      </c>
      <c r="H110">
        <v>0</v>
      </c>
      <c r="I110">
        <v>-1.6298631901479933E-4</v>
      </c>
      <c r="J110">
        <v>0</v>
      </c>
      <c r="K110">
        <v>-1.050643041563399E-3</v>
      </c>
      <c r="L110">
        <v>1.0850624368228964E-2</v>
      </c>
      <c r="M110">
        <v>5.5643863813181108E-2</v>
      </c>
      <c r="N110">
        <v>1.1188992152045774E-2</v>
      </c>
      <c r="O110">
        <v>7.2126524592453348E-2</v>
      </c>
      <c r="P110" s="3">
        <v>1.6100937707152864E-4</v>
      </c>
      <c r="Q110" s="3">
        <v>0</v>
      </c>
      <c r="R110" s="3">
        <v>6.0280577071294486E-3</v>
      </c>
      <c r="S110" s="3">
        <v>0</v>
      </c>
      <c r="T110">
        <f>Constraint[[#This Row],[nx]]</f>
        <v>45</v>
      </c>
      <c r="U110">
        <v>4</v>
      </c>
    </row>
    <row r="111" spans="1:21" x14ac:dyDescent="0.3">
      <c r="A111">
        <v>0</v>
      </c>
      <c r="B111">
        <v>0</v>
      </c>
      <c r="C111">
        <v>0</v>
      </c>
      <c r="D111">
        <v>0</v>
      </c>
      <c r="E111">
        <v>-1.2952099513019975E-4</v>
      </c>
      <c r="F111">
        <v>0</v>
      </c>
      <c r="G111">
        <v>-7.4927862891660015E-4</v>
      </c>
      <c r="H111">
        <v>0</v>
      </c>
      <c r="I111">
        <v>-1.3341444430410056E-4</v>
      </c>
      <c r="J111">
        <v>0</v>
      </c>
      <c r="K111">
        <v>-9.5936139408119882E-4</v>
      </c>
      <c r="L111">
        <v>8.8916014963524269E-3</v>
      </c>
      <c r="M111">
        <v>5.1437892145304601E-2</v>
      </c>
      <c r="N111">
        <v>9.1588863366659848E-3</v>
      </c>
      <c r="O111">
        <v>6.5860049936924708E-2</v>
      </c>
      <c r="P111" s="3">
        <v>1.6164479193135441E-4</v>
      </c>
      <c r="Q111" s="3">
        <v>0</v>
      </c>
      <c r="R111" s="3">
        <v>6.0535581494641387E-3</v>
      </c>
      <c r="S111" s="3">
        <v>0</v>
      </c>
      <c r="T111">
        <f>Constraint[[#This Row],[nx]]</f>
        <v>39</v>
      </c>
      <c r="U111">
        <v>4</v>
      </c>
    </row>
    <row r="112" spans="1:21" x14ac:dyDescent="0.3">
      <c r="A112">
        <v>0</v>
      </c>
      <c r="B112">
        <v>0</v>
      </c>
      <c r="C112">
        <v>0</v>
      </c>
      <c r="D112">
        <v>0</v>
      </c>
      <c r="E112">
        <v>-9.9220970838601041E-5</v>
      </c>
      <c r="F112">
        <v>0</v>
      </c>
      <c r="G112">
        <v>-6.7510857001319875E-4</v>
      </c>
      <c r="H112">
        <v>0</v>
      </c>
      <c r="I112">
        <v>-1.0192218662300086E-4</v>
      </c>
      <c r="J112">
        <v>0</v>
      </c>
      <c r="K112">
        <v>-8.4843096421890161E-4</v>
      </c>
      <c r="L112">
        <v>6.8115082955561672E-3</v>
      </c>
      <c r="M112">
        <v>4.634612608786283E-2</v>
      </c>
      <c r="N112">
        <v>6.9969464500916224E-3</v>
      </c>
      <c r="O112">
        <v>5.8244688619146834E-2</v>
      </c>
      <c r="P112" s="3">
        <v>1.6248703410039038E-4</v>
      </c>
      <c r="Q112" s="3">
        <v>0</v>
      </c>
      <c r="R112" s="3">
        <v>6.0853617720648123E-3</v>
      </c>
      <c r="S112" s="3">
        <v>0</v>
      </c>
      <c r="T112">
        <f>Constraint[[#This Row],[nx]]</f>
        <v>33</v>
      </c>
      <c r="U112">
        <v>4</v>
      </c>
    </row>
    <row r="113" spans="1:21" x14ac:dyDescent="0.3">
      <c r="A113">
        <v>0</v>
      </c>
      <c r="B113">
        <v>0</v>
      </c>
      <c r="C113">
        <v>0</v>
      </c>
      <c r="D113">
        <v>0</v>
      </c>
      <c r="E113">
        <v>-6.8682466417099852E-5</v>
      </c>
      <c r="F113">
        <v>0</v>
      </c>
      <c r="G113">
        <v>-5.8703016560840079E-4</v>
      </c>
      <c r="H113">
        <v>0</v>
      </c>
      <c r="I113">
        <v>-7.0273052814999806E-5</v>
      </c>
      <c r="J113">
        <v>0</v>
      </c>
      <c r="K113">
        <v>-7.1613551165609912E-4</v>
      </c>
      <c r="L113">
        <v>4.7150434611281586E-3</v>
      </c>
      <c r="M113">
        <v>4.0299553703094057E-2</v>
      </c>
      <c r="N113">
        <v>4.8242370353547004E-3</v>
      </c>
      <c r="O113">
        <v>4.9162620937489868E-2</v>
      </c>
      <c r="P113" s="3">
        <v>1.6369317554883246E-4</v>
      </c>
      <c r="Q113" s="3">
        <v>0</v>
      </c>
      <c r="R113" s="3">
        <v>6.1250652325814245E-3</v>
      </c>
      <c r="S113" s="3">
        <v>0</v>
      </c>
      <c r="T113">
        <f>Constraint[[#This Row],[nx]]</f>
        <v>27</v>
      </c>
      <c r="U113">
        <v>4</v>
      </c>
    </row>
    <row r="114" spans="1:21" x14ac:dyDescent="0.3">
      <c r="A114">
        <v>0</v>
      </c>
      <c r="B114">
        <v>0</v>
      </c>
      <c r="C114">
        <v>0</v>
      </c>
      <c r="D114">
        <v>0</v>
      </c>
      <c r="E114">
        <v>-5.392778740610088E-5</v>
      </c>
      <c r="F114">
        <v>0</v>
      </c>
      <c r="G114">
        <v>-5.3736929980540034E-4</v>
      </c>
      <c r="H114">
        <v>0</v>
      </c>
      <c r="I114">
        <v>-5.5076663385300942E-5</v>
      </c>
      <c r="J114">
        <v>0</v>
      </c>
      <c r="K114">
        <v>-6.4182360494439983E-4</v>
      </c>
      <c r="L114">
        <v>3.7021364352014495E-3</v>
      </c>
      <c r="M114">
        <v>3.6890340947739325E-2</v>
      </c>
      <c r="N114">
        <v>3.7810066397231945E-3</v>
      </c>
      <c r="O114">
        <v>4.4061117044238179E-2</v>
      </c>
      <c r="P114" s="3">
        <v>1.6453936504811433E-4</v>
      </c>
      <c r="Q114" s="3">
        <v>0</v>
      </c>
      <c r="R114" s="3">
        <v>6.1487861527663437E-3</v>
      </c>
      <c r="S114" s="3">
        <v>0</v>
      </c>
      <c r="T114">
        <f>Constraint[[#This Row],[nx]]</f>
        <v>24</v>
      </c>
      <c r="U114">
        <v>4</v>
      </c>
    </row>
    <row r="115" spans="1:21" x14ac:dyDescent="0.3">
      <c r="A115">
        <v>0</v>
      </c>
      <c r="B115">
        <v>0</v>
      </c>
      <c r="C115">
        <v>0</v>
      </c>
      <c r="D115">
        <v>0</v>
      </c>
      <c r="E115">
        <v>-3.988117906610078E-5</v>
      </c>
      <c r="F115">
        <v>0</v>
      </c>
      <c r="G115">
        <v>-4.8364147647970111E-4</v>
      </c>
      <c r="H115">
        <v>0</v>
      </c>
      <c r="I115">
        <v>-4.069886704530061E-5</v>
      </c>
      <c r="J115">
        <v>0</v>
      </c>
      <c r="K115">
        <v>-5.6239314827079973E-4</v>
      </c>
      <c r="L115">
        <v>2.7378383798238627E-3</v>
      </c>
      <c r="M115">
        <v>3.3201932023778261E-2</v>
      </c>
      <c r="N115">
        <v>2.7939725660389558E-3</v>
      </c>
      <c r="O115">
        <v>3.860822528174844E-2</v>
      </c>
      <c r="P115" s="3">
        <v>1.656657262882789E-4</v>
      </c>
      <c r="Q115" s="3">
        <v>0</v>
      </c>
      <c r="R115" s="3">
        <v>6.1759795138953133E-3</v>
      </c>
      <c r="S115" s="3">
        <v>0</v>
      </c>
      <c r="T115">
        <f>Constraint[[#This Row],[nx]]</f>
        <v>21</v>
      </c>
      <c r="U115">
        <v>4</v>
      </c>
    </row>
    <row r="116" spans="1:21" x14ac:dyDescent="0.3">
      <c r="A116">
        <v>0</v>
      </c>
      <c r="B116">
        <v>0</v>
      </c>
      <c r="C116">
        <v>0</v>
      </c>
      <c r="D116">
        <v>0</v>
      </c>
      <c r="E116">
        <v>-2.6823573613599799E-5</v>
      </c>
      <c r="F116">
        <v>0</v>
      </c>
      <c r="G116">
        <v>-4.255309239263004E-4</v>
      </c>
      <c r="H116">
        <v>0</v>
      </c>
      <c r="I116">
        <v>-2.7430197118301011E-5</v>
      </c>
      <c r="J116">
        <v>0</v>
      </c>
      <c r="K116">
        <v>-4.7849427467169976E-4</v>
      </c>
      <c r="L116">
        <v>1.8414352595148703E-3</v>
      </c>
      <c r="M116">
        <v>2.9212649239791926E-2</v>
      </c>
      <c r="N116">
        <v>1.8830798937048837E-3</v>
      </c>
      <c r="O116">
        <v>3.2848577208583661E-2</v>
      </c>
      <c r="P116" s="3">
        <v>1.672474181140206E-4</v>
      </c>
      <c r="Q116" s="3">
        <v>0</v>
      </c>
      <c r="R116" s="3">
        <v>6.2078354582824321E-3</v>
      </c>
      <c r="S116" s="3">
        <v>0</v>
      </c>
      <c r="T116">
        <f>Constraint[[#This Row],[nx]]</f>
        <v>18</v>
      </c>
      <c r="U116">
        <v>4</v>
      </c>
    </row>
    <row r="117" spans="1:21" x14ac:dyDescent="0.3">
      <c r="A117">
        <v>0</v>
      </c>
      <c r="B117">
        <v>0</v>
      </c>
      <c r="C117">
        <v>0</v>
      </c>
      <c r="D117">
        <v>0</v>
      </c>
      <c r="E117">
        <v>-1.5004624763599247E-5</v>
      </c>
      <c r="F117">
        <v>0</v>
      </c>
      <c r="G117">
        <v>-3.6270630253469952E-4</v>
      </c>
      <c r="H117">
        <v>0</v>
      </c>
      <c r="I117">
        <v>-1.5500940850199721E-5</v>
      </c>
      <c r="J117">
        <v>0</v>
      </c>
      <c r="K117">
        <v>-3.9208888907880067E-4</v>
      </c>
      <c r="L117">
        <v>1.0300657732448051E-3</v>
      </c>
      <c r="M117">
        <v>2.489974616943029E-2</v>
      </c>
      <c r="N117">
        <v>1.0641378158031895E-3</v>
      </c>
      <c r="O117">
        <v>2.6916857373830833E-2</v>
      </c>
      <c r="P117" s="3">
        <v>1.6961218202698751E-4</v>
      </c>
      <c r="Q117" s="3">
        <v>0</v>
      </c>
      <c r="R117" s="3">
        <v>6.2463686474927517E-3</v>
      </c>
      <c r="S117" s="3">
        <v>0</v>
      </c>
      <c r="T117">
        <f>Constraint[[#This Row],[nx]]</f>
        <v>15</v>
      </c>
      <c r="U117">
        <v>4</v>
      </c>
    </row>
    <row r="118" spans="1:21" x14ac:dyDescent="0.3">
      <c r="A118">
        <v>0</v>
      </c>
      <c r="B118">
        <v>0</v>
      </c>
      <c r="C118">
        <v>0</v>
      </c>
      <c r="D118">
        <v>0</v>
      </c>
      <c r="E118">
        <v>-4.5583946471014491E-6</v>
      </c>
      <c r="F118">
        <v>0</v>
      </c>
      <c r="G118">
        <v>-2.949293590299995E-4</v>
      </c>
      <c r="H118">
        <v>0</v>
      </c>
      <c r="I118">
        <v>-4.9873997212002835E-6</v>
      </c>
      <c r="J118">
        <v>0</v>
      </c>
      <c r="K118">
        <v>-3.0175308710780023E-4</v>
      </c>
      <c r="L118">
        <v>3.129332709680549E-4</v>
      </c>
      <c r="M118">
        <v>2.0246866752631636E-2</v>
      </c>
      <c r="N118">
        <v>3.4238442021970045E-4</v>
      </c>
      <c r="O118">
        <v>2.0715314904425741E-2</v>
      </c>
      <c r="P118" s="3">
        <v>1.7340925810848859E-4</v>
      </c>
      <c r="Q118" s="3">
        <v>0</v>
      </c>
      <c r="R118" s="3">
        <v>6.2952091529114625E-3</v>
      </c>
      <c r="S118" s="3">
        <v>0</v>
      </c>
      <c r="T118">
        <f>Constraint[[#This Row],[nx]]</f>
        <v>12</v>
      </c>
      <c r="U118">
        <v>4</v>
      </c>
    </row>
    <row r="119" spans="1:21" x14ac:dyDescent="0.3">
      <c r="A119">
        <v>0</v>
      </c>
      <c r="B119">
        <v>0</v>
      </c>
      <c r="C119">
        <v>0</v>
      </c>
      <c r="D119">
        <v>0</v>
      </c>
      <c r="E119">
        <v>4.7068587015995644E-6</v>
      </c>
      <c r="F119">
        <v>0</v>
      </c>
      <c r="G119">
        <v>-2.2217942078359837E-4</v>
      </c>
      <c r="H119">
        <v>0</v>
      </c>
      <c r="I119">
        <v>4.4366484864000189E-6</v>
      </c>
      <c r="J119">
        <v>0</v>
      </c>
      <c r="K119">
        <v>-2.2424108267599975E-4</v>
      </c>
      <c r="L119">
        <v>-3.231253113226279E-4</v>
      </c>
      <c r="M119">
        <v>1.5252591815807738E-2</v>
      </c>
      <c r="N119">
        <v>-3.0457541096567259E-4</v>
      </c>
      <c r="O119">
        <v>1.5394124668833005E-2</v>
      </c>
      <c r="P119" s="3">
        <v>1.7997277808407984E-4</v>
      </c>
      <c r="Q119" s="3">
        <v>0</v>
      </c>
      <c r="R119" s="3">
        <v>6.3611585861418872E-3</v>
      </c>
      <c r="S119" s="3">
        <v>0</v>
      </c>
      <c r="T119">
        <f>Constraint[[#This Row],[nx]]</f>
        <v>9</v>
      </c>
      <c r="U119">
        <v>4</v>
      </c>
    </row>
    <row r="120" spans="1:21" x14ac:dyDescent="0.3">
      <c r="A120">
        <v>0</v>
      </c>
      <c r="B120">
        <v>0</v>
      </c>
      <c r="C120">
        <v>0</v>
      </c>
      <c r="D120">
        <v>0</v>
      </c>
      <c r="E120">
        <v>1.3552927641199974E-5</v>
      </c>
      <c r="F120">
        <v>0</v>
      </c>
      <c r="G120">
        <v>-1.4530476382989925E-4</v>
      </c>
      <c r="H120">
        <v>0</v>
      </c>
      <c r="I120">
        <v>1.3502648930300426E-5</v>
      </c>
      <c r="J120">
        <v>0</v>
      </c>
      <c r="K120">
        <v>-1.2070368675060061E-4</v>
      </c>
      <c r="L120">
        <v>-9.3040693189017087E-4</v>
      </c>
      <c r="M120">
        <v>9.9751554116636106E-3</v>
      </c>
      <c r="N120">
        <v>-9.2695530413962335E-4</v>
      </c>
      <c r="O120">
        <v>8.2862942849382948E-3</v>
      </c>
      <c r="P120" s="3">
        <v>1.916192633158883E-4</v>
      </c>
      <c r="Q120" s="3">
        <v>0</v>
      </c>
      <c r="R120" s="3">
        <v>6.4497517543097684E-3</v>
      </c>
      <c r="S120" s="3">
        <v>0</v>
      </c>
      <c r="T120">
        <f>Constraint[[#This Row],[nx]]</f>
        <v>6</v>
      </c>
      <c r="U120">
        <v>4</v>
      </c>
    </row>
    <row r="121" spans="1:21" x14ac:dyDescent="0.3">
      <c r="A121">
        <v>0</v>
      </c>
      <c r="B121">
        <v>0</v>
      </c>
      <c r="C121">
        <v>0</v>
      </c>
      <c r="D121">
        <v>0</v>
      </c>
      <c r="E121">
        <v>-4.2389918168659994E-4</v>
      </c>
      <c r="F121">
        <v>0</v>
      </c>
      <c r="G121">
        <v>-1.2860823579080999E-3</v>
      </c>
      <c r="H121">
        <v>0</v>
      </c>
      <c r="I121">
        <v>-4.2074248194400032E-4</v>
      </c>
      <c r="J121">
        <v>0</v>
      </c>
      <c r="K121">
        <v>-1.6901016761080995E-3</v>
      </c>
      <c r="L121">
        <v>2.9100630321734683E-2</v>
      </c>
      <c r="M121">
        <v>8.8289406721380276E-2</v>
      </c>
      <c r="N121">
        <v>2.8883923245583677E-2</v>
      </c>
      <c r="O121">
        <v>0.11602528668934374</v>
      </c>
      <c r="P121" s="3">
        <v>1.5999145792932926E-4</v>
      </c>
      <c r="Q121" s="3">
        <v>0</v>
      </c>
      <c r="R121" s="3">
        <v>5.8424092151191306E-3</v>
      </c>
      <c r="S121" s="3">
        <v>0</v>
      </c>
      <c r="T121">
        <f>Constraint[[#This Row],[nx]]</f>
        <v>120</v>
      </c>
      <c r="U121">
        <v>3</v>
      </c>
    </row>
    <row r="122" spans="1:21" x14ac:dyDescent="0.3">
      <c r="A122">
        <v>0</v>
      </c>
      <c r="B122">
        <v>0</v>
      </c>
      <c r="C122">
        <v>0</v>
      </c>
      <c r="D122">
        <v>0</v>
      </c>
      <c r="E122">
        <v>-4.4558928973859914E-4</v>
      </c>
      <c r="F122">
        <v>0</v>
      </c>
      <c r="G122">
        <v>-1.3415271486019002E-3</v>
      </c>
      <c r="H122">
        <v>0</v>
      </c>
      <c r="I122">
        <v>-4.4592183807840025E-4</v>
      </c>
      <c r="J122">
        <v>0</v>
      </c>
      <c r="K122">
        <v>-1.7533133641717009E-3</v>
      </c>
      <c r="L122">
        <v>3.0589653757798711E-2</v>
      </c>
      <c r="M122">
        <v>9.2095685258712104E-2</v>
      </c>
      <c r="N122">
        <v>3.0612483163277047E-2</v>
      </c>
      <c r="O122">
        <v>0.1203647618424514</v>
      </c>
      <c r="P122" s="3">
        <v>1.5980272967514755E-4</v>
      </c>
      <c r="Q122" s="3">
        <v>0</v>
      </c>
      <c r="R122" s="3">
        <v>5.8228275365942075E-3</v>
      </c>
      <c r="S122" s="3">
        <v>0</v>
      </c>
      <c r="T122">
        <f>Constraint[[#This Row],[nx]]</f>
        <v>102</v>
      </c>
      <c r="U122">
        <v>3</v>
      </c>
    </row>
    <row r="123" spans="1:21" x14ac:dyDescent="0.3">
      <c r="A123">
        <v>0</v>
      </c>
      <c r="B123">
        <v>0</v>
      </c>
      <c r="C123">
        <v>0</v>
      </c>
      <c r="D123">
        <v>0</v>
      </c>
      <c r="E123">
        <v>-4.5605635012620042E-4</v>
      </c>
      <c r="F123">
        <v>0</v>
      </c>
      <c r="G123">
        <v>-1.3831549109923E-3</v>
      </c>
      <c r="H123">
        <v>0</v>
      </c>
      <c r="I123">
        <v>-4.6010854574939954E-4</v>
      </c>
      <c r="J123">
        <v>0</v>
      </c>
      <c r="K123">
        <v>-1.7990935610660008E-3</v>
      </c>
      <c r="L123">
        <v>3.1308216255803378E-2</v>
      </c>
      <c r="M123">
        <v>9.4953426383911202E-2</v>
      </c>
      <c r="N123">
        <v>3.1586399021698061E-2</v>
      </c>
      <c r="O123">
        <v>0.12350756712123633</v>
      </c>
      <c r="P123" s="3">
        <v>1.5975272689952461E-4</v>
      </c>
      <c r="Q123" s="3">
        <v>0</v>
      </c>
      <c r="R123" s="3">
        <v>5.8084145207831775E-3</v>
      </c>
      <c r="S123" s="3">
        <v>0</v>
      </c>
      <c r="T123">
        <f>Constraint[[#This Row],[nx]]</f>
        <v>87</v>
      </c>
      <c r="U123">
        <v>3</v>
      </c>
    </row>
    <row r="124" spans="1:21" x14ac:dyDescent="0.3">
      <c r="A124">
        <v>0</v>
      </c>
      <c r="B124">
        <v>0</v>
      </c>
      <c r="C124">
        <v>0</v>
      </c>
      <c r="D124">
        <v>0</v>
      </c>
      <c r="E124">
        <v>-4.506680834662994E-4</v>
      </c>
      <c r="F124">
        <v>0</v>
      </c>
      <c r="G124">
        <v>-1.4067862845961003E-3</v>
      </c>
      <c r="H124">
        <v>0</v>
      </c>
      <c r="I124">
        <v>-4.5902207151049881E-4</v>
      </c>
      <c r="J124">
        <v>0</v>
      </c>
      <c r="K124">
        <v>-1.8205083947778998E-3</v>
      </c>
      <c r="L124">
        <v>3.0938312366107654E-2</v>
      </c>
      <c r="M124">
        <v>9.6575717477993608E-2</v>
      </c>
      <c r="N124">
        <v>3.1511812689508076E-2</v>
      </c>
      <c r="O124">
        <v>0.12497769300534838</v>
      </c>
      <c r="P124" s="3">
        <v>1.5991836093906346E-4</v>
      </c>
      <c r="Q124" s="3">
        <v>0</v>
      </c>
      <c r="R124" s="3">
        <v>5.800763216498998E-3</v>
      </c>
      <c r="S124" s="3">
        <v>0</v>
      </c>
      <c r="T124">
        <f>Constraint[[#This Row],[nx]]</f>
        <v>72</v>
      </c>
      <c r="U124">
        <v>3</v>
      </c>
    </row>
    <row r="125" spans="1:21" x14ac:dyDescent="0.3">
      <c r="A125">
        <v>0</v>
      </c>
      <c r="B125">
        <v>0</v>
      </c>
      <c r="C125">
        <v>0</v>
      </c>
      <c r="D125">
        <v>0</v>
      </c>
      <c r="E125">
        <v>-4.3396087190470008E-4</v>
      </c>
      <c r="F125">
        <v>0</v>
      </c>
      <c r="G125">
        <v>-1.4015144187396016E-3</v>
      </c>
      <c r="H125">
        <v>0</v>
      </c>
      <c r="I125">
        <v>-4.4488601314890061E-4</v>
      </c>
      <c r="J125">
        <v>0</v>
      </c>
      <c r="K125">
        <v>-1.8075914085376003E-3</v>
      </c>
      <c r="L125">
        <v>2.9791364203984125E-2</v>
      </c>
      <c r="M125">
        <v>9.6213804490133281E-2</v>
      </c>
      <c r="N125">
        <v>3.0541373900382335E-2</v>
      </c>
      <c r="O125">
        <v>0.12409094337786787</v>
      </c>
      <c r="P125" s="3">
        <v>1.6020383390934933E-4</v>
      </c>
      <c r="Q125" s="3">
        <v>0</v>
      </c>
      <c r="R125" s="3">
        <v>5.803355193238947E-3</v>
      </c>
      <c r="S125" s="3">
        <v>0</v>
      </c>
      <c r="T125">
        <f>Constraint[[#This Row],[nx]]</f>
        <v>63</v>
      </c>
      <c r="U125">
        <v>3</v>
      </c>
    </row>
    <row r="126" spans="1:21" x14ac:dyDescent="0.3">
      <c r="A126">
        <v>0</v>
      </c>
      <c r="B126">
        <v>0</v>
      </c>
      <c r="C126">
        <v>0</v>
      </c>
      <c r="D126">
        <v>0</v>
      </c>
      <c r="E126">
        <v>-4.0195234716960092E-4</v>
      </c>
      <c r="F126">
        <v>0</v>
      </c>
      <c r="G126">
        <v>-1.3701969283607986E-3</v>
      </c>
      <c r="H126">
        <v>0</v>
      </c>
      <c r="I126">
        <v>-4.1502114072550049E-4</v>
      </c>
      <c r="J126">
        <v>0</v>
      </c>
      <c r="K126">
        <v>-1.7605732479056002E-3</v>
      </c>
      <c r="L126">
        <v>2.7593982643222159E-2</v>
      </c>
      <c r="M126">
        <v>9.4063862358865324E-2</v>
      </c>
      <c r="N126">
        <v>2.8491153825549367E-2</v>
      </c>
      <c r="O126">
        <v>0.1208631520301333</v>
      </c>
      <c r="P126" s="3">
        <v>1.6071260975570922E-4</v>
      </c>
      <c r="Q126" s="3">
        <v>0</v>
      </c>
      <c r="R126" s="3">
        <v>5.8155908136045065E-3</v>
      </c>
      <c r="S126" s="3">
        <v>0</v>
      </c>
      <c r="T126">
        <f>Constraint[[#This Row],[nx]]</f>
        <v>54</v>
      </c>
      <c r="U126">
        <v>3</v>
      </c>
    </row>
    <row r="127" spans="1:21" x14ac:dyDescent="0.3">
      <c r="A127">
        <v>0</v>
      </c>
      <c r="B127">
        <v>0</v>
      </c>
      <c r="C127">
        <v>0</v>
      </c>
      <c r="D127">
        <v>0</v>
      </c>
      <c r="E127">
        <v>-3.4993031150160059E-4</v>
      </c>
      <c r="F127">
        <v>0</v>
      </c>
      <c r="G127">
        <v>-1.299489357979999E-3</v>
      </c>
      <c r="H127">
        <v>0</v>
      </c>
      <c r="I127">
        <v>-3.6414426936529944E-4</v>
      </c>
      <c r="J127">
        <v>0</v>
      </c>
      <c r="K127">
        <v>-1.6624717393485013E-3</v>
      </c>
      <c r="L127">
        <v>2.4022675846791915E-2</v>
      </c>
      <c r="M127">
        <v>8.9209795742334438E-2</v>
      </c>
      <c r="N127">
        <v>2.4998462427823876E-2</v>
      </c>
      <c r="O127">
        <v>0.11412849469211732</v>
      </c>
      <c r="P127" s="3">
        <v>1.6154715624139783E-4</v>
      </c>
      <c r="Q127" s="3">
        <v>0</v>
      </c>
      <c r="R127" s="3">
        <v>5.8426734892910301E-3</v>
      </c>
      <c r="S127" s="3">
        <v>0</v>
      </c>
      <c r="T127">
        <f>Constraint[[#This Row],[nx]]</f>
        <v>45</v>
      </c>
      <c r="U127">
        <v>3</v>
      </c>
    </row>
    <row r="128" spans="1:21" x14ac:dyDescent="0.3">
      <c r="A128">
        <v>0</v>
      </c>
      <c r="B128">
        <v>0</v>
      </c>
      <c r="C128">
        <v>0</v>
      </c>
      <c r="D128">
        <v>0</v>
      </c>
      <c r="E128">
        <v>-3.023820620913012E-4</v>
      </c>
      <c r="F128">
        <v>0</v>
      </c>
      <c r="G128">
        <v>-1.2227055700391003E-3</v>
      </c>
      <c r="H128">
        <v>0</v>
      </c>
      <c r="I128">
        <v>-3.1645711308719848E-4</v>
      </c>
      <c r="J128">
        <v>0</v>
      </c>
      <c r="K128">
        <v>-1.5588538270057996E-3</v>
      </c>
      <c r="L128">
        <v>2.0758493965077986E-2</v>
      </c>
      <c r="M128">
        <v>8.3938597485522154E-2</v>
      </c>
      <c r="N128">
        <v>2.1724744605528597E-2</v>
      </c>
      <c r="O128">
        <v>0.10701513686538718</v>
      </c>
      <c r="P128" s="3">
        <v>1.623570380090651E-4</v>
      </c>
      <c r="Q128" s="3">
        <v>0</v>
      </c>
      <c r="R128" s="3">
        <v>5.8722787468050248E-3</v>
      </c>
      <c r="S128" s="3">
        <v>0</v>
      </c>
      <c r="T128">
        <f>Constraint[[#This Row],[nx]]</f>
        <v>39</v>
      </c>
      <c r="U128">
        <v>3</v>
      </c>
    </row>
    <row r="129" spans="1:21" x14ac:dyDescent="0.3">
      <c r="A129">
        <v>0</v>
      </c>
      <c r="B129">
        <v>0</v>
      </c>
      <c r="C129">
        <v>0</v>
      </c>
      <c r="D129">
        <v>0</v>
      </c>
      <c r="E129">
        <v>-2.445783871950994E-4</v>
      </c>
      <c r="F129">
        <v>0</v>
      </c>
      <c r="G129">
        <v>-1.1168144063183009E-3</v>
      </c>
      <c r="H129">
        <v>0</v>
      </c>
      <c r="I129">
        <v>-2.575650945250002E-4</v>
      </c>
      <c r="J129">
        <v>0</v>
      </c>
      <c r="K129">
        <v>-1.417462634056699E-3</v>
      </c>
      <c r="L129">
        <v>1.6790278297146487E-2</v>
      </c>
      <c r="M129">
        <v>7.6669181211783025E-2</v>
      </c>
      <c r="N129">
        <v>1.76818142694509E-2</v>
      </c>
      <c r="O129">
        <v>9.7308647646913438E-2</v>
      </c>
      <c r="P129" s="3">
        <v>1.634503544496431E-4</v>
      </c>
      <c r="Q129" s="3">
        <v>0</v>
      </c>
      <c r="R129" s="3">
        <v>5.9138594082118294E-3</v>
      </c>
      <c r="S129" s="3">
        <v>0</v>
      </c>
      <c r="T129">
        <f>Constraint[[#This Row],[nx]]</f>
        <v>33</v>
      </c>
      <c r="U129">
        <v>3</v>
      </c>
    </row>
    <row r="130" spans="1:21" x14ac:dyDescent="0.3">
      <c r="A130">
        <v>0</v>
      </c>
      <c r="B130">
        <v>0</v>
      </c>
      <c r="C130">
        <v>0</v>
      </c>
      <c r="D130">
        <v>0</v>
      </c>
      <c r="E130">
        <v>-1.7862671394129961E-4</v>
      </c>
      <c r="F130">
        <v>0</v>
      </c>
      <c r="G130">
        <v>-9.7831914263049949E-4</v>
      </c>
      <c r="H130">
        <v>0</v>
      </c>
      <c r="I130">
        <v>-1.894664838524001E-4</v>
      </c>
      <c r="J130">
        <v>0</v>
      </c>
      <c r="K130">
        <v>-1.2321214635288985E-3</v>
      </c>
      <c r="L130">
        <v>1.2262703474231151E-2</v>
      </c>
      <c r="M130">
        <v>6.7161497205755427E-2</v>
      </c>
      <c r="N130">
        <v>1.3006852438379929E-2</v>
      </c>
      <c r="O130">
        <v>8.4584997496263456E-2</v>
      </c>
      <c r="P130" s="3">
        <v>1.6496149319378522E-4</v>
      </c>
      <c r="Q130" s="3">
        <v>0</v>
      </c>
      <c r="R130" s="3">
        <v>5.9700995447207359E-3</v>
      </c>
      <c r="S130" s="3">
        <v>0</v>
      </c>
      <c r="T130">
        <f>Constraint[[#This Row],[nx]]</f>
        <v>27</v>
      </c>
      <c r="U130">
        <v>3</v>
      </c>
    </row>
    <row r="131" spans="1:21" x14ac:dyDescent="0.3">
      <c r="A131">
        <v>0</v>
      </c>
      <c r="B131">
        <v>0</v>
      </c>
      <c r="C131">
        <v>0</v>
      </c>
      <c r="D131">
        <v>0</v>
      </c>
      <c r="E131">
        <v>-1.4407135133229915E-4</v>
      </c>
      <c r="F131">
        <v>0</v>
      </c>
      <c r="G131">
        <v>-8.9633800251329859E-4</v>
      </c>
      <c r="H131">
        <v>0</v>
      </c>
      <c r="I131">
        <v>-1.5344013080370068E-4</v>
      </c>
      <c r="J131">
        <v>0</v>
      </c>
      <c r="K131">
        <v>-1.1209549024206004E-3</v>
      </c>
      <c r="L131">
        <v>9.8904817848260718E-3</v>
      </c>
      <c r="M131">
        <v>6.153350131670271E-2</v>
      </c>
      <c r="N131">
        <v>1.0533647423595062E-2</v>
      </c>
      <c r="O131">
        <v>7.6953425795464922E-2</v>
      </c>
      <c r="P131" s="3">
        <v>1.6595991875089608E-4</v>
      </c>
      <c r="Q131" s="3">
        <v>0</v>
      </c>
      <c r="R131" s="3">
        <v>6.0047308341315336E-3</v>
      </c>
      <c r="S131" s="3">
        <v>0</v>
      </c>
      <c r="T131">
        <f>Constraint[[#This Row],[nx]]</f>
        <v>24</v>
      </c>
      <c r="U131">
        <v>3</v>
      </c>
    </row>
    <row r="132" spans="1:21" x14ac:dyDescent="0.3">
      <c r="A132">
        <v>0</v>
      </c>
      <c r="B132">
        <v>0</v>
      </c>
      <c r="C132">
        <v>0</v>
      </c>
      <c r="D132">
        <v>0</v>
      </c>
      <c r="E132">
        <v>-1.0974229491379946E-4</v>
      </c>
      <c r="F132">
        <v>0</v>
      </c>
      <c r="G132">
        <v>-8.0598140156719865E-4</v>
      </c>
      <c r="H132">
        <v>0</v>
      </c>
      <c r="I132">
        <v>-1.1738523746220031E-4</v>
      </c>
      <c r="J132">
        <v>0</v>
      </c>
      <c r="K132">
        <v>-9.9640818272390096E-4</v>
      </c>
      <c r="L132">
        <v>7.5337959895057163E-3</v>
      </c>
      <c r="M132">
        <v>5.5330531000036778E-2</v>
      </c>
      <c r="N132">
        <v>8.0584831209748846E-3</v>
      </c>
      <c r="O132">
        <v>6.8403307738483216E-2</v>
      </c>
      <c r="P132" s="3">
        <v>1.6721705583955688E-4</v>
      </c>
      <c r="Q132" s="3">
        <v>0</v>
      </c>
      <c r="R132" s="3">
        <v>6.0444756713372034E-3</v>
      </c>
      <c r="S132" s="3">
        <v>0</v>
      </c>
      <c r="T132">
        <f>Constraint[[#This Row],[nx]]</f>
        <v>21</v>
      </c>
      <c r="U132">
        <v>3</v>
      </c>
    </row>
    <row r="133" spans="1:21" x14ac:dyDescent="0.3">
      <c r="A133">
        <v>0</v>
      </c>
      <c r="B133">
        <v>0</v>
      </c>
      <c r="C133">
        <v>0</v>
      </c>
      <c r="D133">
        <v>0</v>
      </c>
      <c r="E133">
        <v>-7.6925228021499509E-5</v>
      </c>
      <c r="F133">
        <v>0</v>
      </c>
      <c r="G133">
        <v>-7.0759416304919977E-4</v>
      </c>
      <c r="H133">
        <v>0</v>
      </c>
      <c r="I133">
        <v>-8.2586473088399129E-5</v>
      </c>
      <c r="J133">
        <v>0</v>
      </c>
      <c r="K133">
        <v>-8.5815059201799909E-4</v>
      </c>
      <c r="L133">
        <v>5.2809081021624668E-3</v>
      </c>
      <c r="M133">
        <v>4.8576258332897235E-2</v>
      </c>
      <c r="N133">
        <v>5.6695519282654126E-3</v>
      </c>
      <c r="O133">
        <v>5.8911939955469311E-2</v>
      </c>
      <c r="P133" s="3">
        <v>1.6888218355272654E-4</v>
      </c>
      <c r="Q133" s="3">
        <v>0</v>
      </c>
      <c r="R133" s="3">
        <v>6.0903171601936357E-3</v>
      </c>
      <c r="S133" s="3">
        <v>0</v>
      </c>
      <c r="T133">
        <f>Constraint[[#This Row],[nx]]</f>
        <v>18</v>
      </c>
      <c r="U133">
        <v>3</v>
      </c>
    </row>
    <row r="134" spans="1:21" x14ac:dyDescent="0.3">
      <c r="A134">
        <v>0</v>
      </c>
      <c r="B134">
        <v>0</v>
      </c>
      <c r="C134">
        <v>0</v>
      </c>
      <c r="D134">
        <v>0</v>
      </c>
      <c r="E134">
        <v>-4.707091344560016E-5</v>
      </c>
      <c r="F134">
        <v>0</v>
      </c>
      <c r="G134">
        <v>-6.0164943360439989E-4</v>
      </c>
      <c r="H134">
        <v>0</v>
      </c>
      <c r="I134">
        <v>-5.0463530958600594E-5</v>
      </c>
      <c r="J134">
        <v>0</v>
      </c>
      <c r="K134">
        <v>-7.0742006302449909E-4</v>
      </c>
      <c r="L134">
        <v>3.2314128223524322E-3</v>
      </c>
      <c r="M134">
        <v>4.1303164778334275E-2</v>
      </c>
      <c r="N134">
        <v>3.4643156264485692E-3</v>
      </c>
      <c r="O134">
        <v>4.8564306386121442E-2</v>
      </c>
      <c r="P134" s="3">
        <v>1.7124602990109647E-4</v>
      </c>
      <c r="Q134" s="3">
        <v>0</v>
      </c>
      <c r="R134" s="3">
        <v>6.1440453174362482E-3</v>
      </c>
      <c r="S134" s="3">
        <v>0</v>
      </c>
      <c r="T134">
        <f>Constraint[[#This Row],[nx]]</f>
        <v>15</v>
      </c>
      <c r="U134">
        <v>3</v>
      </c>
    </row>
    <row r="135" spans="1:21" x14ac:dyDescent="0.3">
      <c r="A135">
        <v>0</v>
      </c>
      <c r="B135">
        <v>0</v>
      </c>
      <c r="C135">
        <v>0</v>
      </c>
      <c r="D135">
        <v>0</v>
      </c>
      <c r="E135">
        <v>-2.1509095155001351E-5</v>
      </c>
      <c r="F135">
        <v>0</v>
      </c>
      <c r="G135">
        <v>-4.885382340775006E-4</v>
      </c>
      <c r="H135">
        <v>0</v>
      </c>
      <c r="I135">
        <v>-2.2257043396900142E-5</v>
      </c>
      <c r="J135">
        <v>0</v>
      </c>
      <c r="K135">
        <v>-5.4506646216869944E-4</v>
      </c>
      <c r="L135">
        <v>1.476596921395984E-3</v>
      </c>
      <c r="M135">
        <v>3.3538093872597451E-2</v>
      </c>
      <c r="N135">
        <v>1.5279434826247322E-3</v>
      </c>
      <c r="O135">
        <v>3.7418750263297614E-2</v>
      </c>
      <c r="P135" s="3">
        <v>1.7490747878711751E-4</v>
      </c>
      <c r="Q135" s="3">
        <v>0</v>
      </c>
      <c r="R135" s="3">
        <v>6.2092445467120021E-3</v>
      </c>
      <c r="S135" s="3">
        <v>0</v>
      </c>
      <c r="T135">
        <f>Constraint[[#This Row],[nx]]</f>
        <v>12</v>
      </c>
      <c r="U135">
        <v>3</v>
      </c>
    </row>
    <row r="136" spans="1:21" x14ac:dyDescent="0.3">
      <c r="A136">
        <v>0</v>
      </c>
      <c r="B136">
        <v>0</v>
      </c>
      <c r="C136">
        <v>0</v>
      </c>
      <c r="D136">
        <v>0</v>
      </c>
      <c r="E136">
        <v>-8.1701800700058336E-7</v>
      </c>
      <c r="F136">
        <v>0</v>
      </c>
      <c r="G136">
        <v>-3.6822074618850058E-4</v>
      </c>
      <c r="H136">
        <v>0</v>
      </c>
      <c r="I136">
        <v>1.5512178935007948E-6</v>
      </c>
      <c r="J136">
        <v>0</v>
      </c>
      <c r="K136">
        <v>-3.9666999928399983E-4</v>
      </c>
      <c r="L136">
        <v>5.6088192700268213E-5</v>
      </c>
      <c r="M136">
        <v>2.5278312095320523E-2</v>
      </c>
      <c r="N136">
        <v>-1.0649093090394496E-4</v>
      </c>
      <c r="O136">
        <v>2.7231350065263275E-2</v>
      </c>
      <c r="P136" s="3">
        <v>1.8114422754663125E-4</v>
      </c>
      <c r="Q136" s="3">
        <v>0</v>
      </c>
      <c r="R136" s="3">
        <v>6.293206369458436E-3</v>
      </c>
      <c r="S136" s="3">
        <v>0</v>
      </c>
      <c r="T136">
        <f>Constraint[[#This Row],[nx]]</f>
        <v>9</v>
      </c>
      <c r="U136">
        <v>3</v>
      </c>
    </row>
    <row r="137" spans="1:21" x14ac:dyDescent="0.3">
      <c r="A137">
        <v>0</v>
      </c>
      <c r="B137">
        <v>0</v>
      </c>
      <c r="C137">
        <v>0</v>
      </c>
      <c r="D137">
        <v>0</v>
      </c>
      <c r="E137">
        <v>1.4886553215300372E-5</v>
      </c>
      <c r="F137">
        <v>0</v>
      </c>
      <c r="G137">
        <v>-2.4153586214690007E-4</v>
      </c>
      <c r="H137">
        <v>0</v>
      </c>
      <c r="I137">
        <v>2.0763769536599405E-5</v>
      </c>
      <c r="J137">
        <v>0</v>
      </c>
      <c r="K137">
        <v>-2.1040145889970018E-4</v>
      </c>
      <c r="L137">
        <v>-1.0219601749634211E-3</v>
      </c>
      <c r="M137">
        <v>1.6581409300702597E-2</v>
      </c>
      <c r="N137">
        <v>-1.4254304029702181E-3</v>
      </c>
      <c r="O137">
        <v>1.4444036080071018E-2</v>
      </c>
      <c r="P137" s="3">
        <v>1.9225964810012906E-4</v>
      </c>
      <c r="Q137" s="3">
        <v>0</v>
      </c>
      <c r="R137" s="3">
        <v>6.4025022358110877E-3</v>
      </c>
      <c r="S137" s="3">
        <v>0</v>
      </c>
      <c r="T137">
        <f>Constraint[[#This Row],[nx]]</f>
        <v>6</v>
      </c>
      <c r="U137">
        <v>3</v>
      </c>
    </row>
    <row r="138" spans="1:21" x14ac:dyDescent="0.3">
      <c r="A138">
        <v>0</v>
      </c>
      <c r="B138">
        <v>0</v>
      </c>
      <c r="C138">
        <v>0</v>
      </c>
      <c r="D138">
        <v>0</v>
      </c>
      <c r="E138">
        <v>-5.8607935610810111E-4</v>
      </c>
      <c r="F138">
        <v>0</v>
      </c>
      <c r="G138">
        <v>-1.5342870073407986E-3</v>
      </c>
      <c r="H138">
        <v>0</v>
      </c>
      <c r="I138">
        <v>-5.9840861777599869E-4</v>
      </c>
      <c r="J138">
        <v>0</v>
      </c>
      <c r="K138">
        <v>-1.8333448067219989E-3</v>
      </c>
      <c r="L138">
        <v>4.023428073968676E-2</v>
      </c>
      <c r="M138">
        <v>0.10532862750623381</v>
      </c>
      <c r="N138">
        <v>4.1080683142517262E-2</v>
      </c>
      <c r="O138">
        <v>0.12585891121661377</v>
      </c>
      <c r="P138" s="3">
        <v>1.6440426390310642E-4</v>
      </c>
      <c r="Q138" s="3">
        <v>0</v>
      </c>
      <c r="R138" s="3">
        <v>5.7529681673043178E-3</v>
      </c>
      <c r="S138" s="3">
        <v>0</v>
      </c>
      <c r="T138">
        <f>Constraint[[#This Row],[nx]]</f>
        <v>120</v>
      </c>
      <c r="U138">
        <v>2</v>
      </c>
    </row>
    <row r="139" spans="1:21" x14ac:dyDescent="0.3">
      <c r="A139">
        <v>0</v>
      </c>
      <c r="B139">
        <v>0</v>
      </c>
      <c r="C139">
        <v>0</v>
      </c>
      <c r="D139">
        <v>0</v>
      </c>
      <c r="E139">
        <v>-6.647905373657996E-4</v>
      </c>
      <c r="F139">
        <v>0</v>
      </c>
      <c r="G139">
        <v>-1.6652253394382997E-3</v>
      </c>
      <c r="H139">
        <v>0</v>
      </c>
      <c r="I139">
        <v>-6.8435892207230169E-4</v>
      </c>
      <c r="J139">
        <v>0</v>
      </c>
      <c r="K139">
        <v>-1.9767644908710996E-3</v>
      </c>
      <c r="L139">
        <v>4.5637794327171813E-2</v>
      </c>
      <c r="M139">
        <v>0.11431752902322477</v>
      </c>
      <c r="N139">
        <v>4.698116169832757E-2</v>
      </c>
      <c r="O139">
        <v>0.13570465612387475</v>
      </c>
      <c r="P139" s="3">
        <v>1.6353467778048081E-4</v>
      </c>
      <c r="Q139" s="3">
        <v>0</v>
      </c>
      <c r="R139" s="3">
        <v>5.7077783905671491E-3</v>
      </c>
      <c r="S139" s="3">
        <v>0</v>
      </c>
      <c r="T139">
        <f>Constraint[[#This Row],[nx]]</f>
        <v>102</v>
      </c>
      <c r="U139">
        <v>2</v>
      </c>
    </row>
    <row r="140" spans="1:21" x14ac:dyDescent="0.3">
      <c r="A140">
        <v>0</v>
      </c>
      <c r="B140">
        <v>0</v>
      </c>
      <c r="C140">
        <v>0</v>
      </c>
      <c r="D140">
        <v>0</v>
      </c>
      <c r="E140">
        <v>-7.3887811905659975E-4</v>
      </c>
      <c r="F140">
        <v>0</v>
      </c>
      <c r="G140">
        <v>-1.8021025021102005E-3</v>
      </c>
      <c r="H140">
        <v>0</v>
      </c>
      <c r="I140">
        <v>-7.685245249656001E-4</v>
      </c>
      <c r="J140">
        <v>0</v>
      </c>
      <c r="K140">
        <v>-2.1289409356842013E-3</v>
      </c>
      <c r="L140">
        <v>5.0723898333405251E-2</v>
      </c>
      <c r="M140">
        <v>0.1237141305796482</v>
      </c>
      <c r="N140">
        <v>5.2759120707020851E-2</v>
      </c>
      <c r="O140">
        <v>0.14615155164880167</v>
      </c>
      <c r="P140" s="3">
        <v>1.6273816962418834E-4</v>
      </c>
      <c r="Q140" s="3">
        <v>0</v>
      </c>
      <c r="R140" s="3">
        <v>5.6613778827275859E-3</v>
      </c>
      <c r="S140" s="3">
        <v>0</v>
      </c>
      <c r="T140">
        <f>Constraint[[#This Row],[nx]]</f>
        <v>87</v>
      </c>
      <c r="U140">
        <v>2</v>
      </c>
    </row>
    <row r="141" spans="1:21" x14ac:dyDescent="0.3">
      <c r="A141">
        <v>0</v>
      </c>
      <c r="B141">
        <v>0</v>
      </c>
      <c r="C141">
        <v>0</v>
      </c>
      <c r="D141">
        <v>0</v>
      </c>
      <c r="E141">
        <v>-8.1360008016300063E-4</v>
      </c>
      <c r="F141">
        <v>0</v>
      </c>
      <c r="G141">
        <v>-1.9653898597696007E-3</v>
      </c>
      <c r="H141">
        <v>0</v>
      </c>
      <c r="I141">
        <v>-8.5940291606859988E-4</v>
      </c>
      <c r="J141">
        <v>0</v>
      </c>
      <c r="K141">
        <v>-2.3149245908698993E-3</v>
      </c>
      <c r="L141">
        <v>5.5853552413936226E-2</v>
      </c>
      <c r="M141">
        <v>0.13492378900020205</v>
      </c>
      <c r="N141">
        <v>5.8997911858256549E-2</v>
      </c>
      <c r="O141">
        <v>0.15891930829770551</v>
      </c>
      <c r="P141" s="3">
        <v>1.6197281186929439E-4</v>
      </c>
      <c r="Q141" s="3">
        <v>0</v>
      </c>
      <c r="R141" s="3">
        <v>5.6071838395556212E-3</v>
      </c>
      <c r="S141" s="3">
        <v>0</v>
      </c>
      <c r="T141">
        <f>Constraint[[#This Row],[nx]]</f>
        <v>72</v>
      </c>
      <c r="U141">
        <v>2</v>
      </c>
    </row>
    <row r="142" spans="1:21" x14ac:dyDescent="0.3">
      <c r="A142">
        <v>0</v>
      </c>
      <c r="B142">
        <v>0</v>
      </c>
      <c r="C142">
        <v>0</v>
      </c>
      <c r="D142">
        <v>0</v>
      </c>
      <c r="E142">
        <v>-8.5017362430520049E-4</v>
      </c>
      <c r="F142">
        <v>0</v>
      </c>
      <c r="G142">
        <v>-2.0701557640497997E-3</v>
      </c>
      <c r="H142">
        <v>0</v>
      </c>
      <c r="I142">
        <v>-9.0959075935440233E-4</v>
      </c>
      <c r="J142">
        <v>0</v>
      </c>
      <c r="K142">
        <v>-2.4386834723369982E-3</v>
      </c>
      <c r="L142">
        <v>5.8364322034682219E-2</v>
      </c>
      <c r="M142">
        <v>0.14211595634209218</v>
      </c>
      <c r="N142">
        <v>6.2443301557510746E-2</v>
      </c>
      <c r="O142">
        <v>0.16741534135036676</v>
      </c>
      <c r="P142" s="3">
        <v>1.6163656216981867E-4</v>
      </c>
      <c r="Q142" s="3">
        <v>0</v>
      </c>
      <c r="R142" s="3">
        <v>5.573154694961422E-3</v>
      </c>
      <c r="S142" s="3">
        <v>0</v>
      </c>
      <c r="T142">
        <f>Constraint[[#This Row],[nx]]</f>
        <v>63</v>
      </c>
      <c r="U142">
        <v>2</v>
      </c>
    </row>
    <row r="143" spans="1:21" x14ac:dyDescent="0.3">
      <c r="A143">
        <v>0</v>
      </c>
      <c r="B143">
        <v>0</v>
      </c>
      <c r="C143">
        <v>0</v>
      </c>
      <c r="D143">
        <v>0</v>
      </c>
      <c r="E143">
        <v>-8.6800331430869973E-4</v>
      </c>
      <c r="F143">
        <v>0</v>
      </c>
      <c r="G143">
        <v>-2.165550735981802E-3</v>
      </c>
      <c r="H143">
        <v>0</v>
      </c>
      <c r="I143">
        <v>-9.4386037820450019E-4</v>
      </c>
      <c r="J143">
        <v>0</v>
      </c>
      <c r="K143">
        <v>-2.5585580358334012E-3</v>
      </c>
      <c r="L143">
        <v>5.9588328213412152E-2</v>
      </c>
      <c r="M143">
        <v>0.14866481025046763</v>
      </c>
      <c r="N143">
        <v>6.4795906970560951E-2</v>
      </c>
      <c r="O143">
        <v>0.17564471641876978</v>
      </c>
      <c r="P143" s="3">
        <v>1.6154854265868789E-4</v>
      </c>
      <c r="Q143" s="3">
        <v>0</v>
      </c>
      <c r="R143" s="3">
        <v>5.5428861775884998E-3</v>
      </c>
      <c r="S143" s="3">
        <v>0</v>
      </c>
      <c r="T143">
        <f>Constraint[[#This Row],[nx]]</f>
        <v>54</v>
      </c>
      <c r="U143">
        <v>2</v>
      </c>
    </row>
    <row r="144" spans="1:21" x14ac:dyDescent="0.3">
      <c r="A144">
        <v>0</v>
      </c>
      <c r="B144">
        <v>0</v>
      </c>
      <c r="C144">
        <v>0</v>
      </c>
      <c r="D144">
        <v>0</v>
      </c>
      <c r="E144">
        <v>-8.4735094850109903E-4</v>
      </c>
      <c r="F144">
        <v>0</v>
      </c>
      <c r="G144">
        <v>-2.2206827740167984E-3</v>
      </c>
      <c r="H144">
        <v>0</v>
      </c>
      <c r="I144">
        <v>-9.4015228961410145E-4</v>
      </c>
      <c r="J144">
        <v>0</v>
      </c>
      <c r="K144">
        <v>-2.644269347224901E-3</v>
      </c>
      <c r="L144">
        <v>5.8170545663691273E-2</v>
      </c>
      <c r="M144">
        <v>0.15244961835355667</v>
      </c>
      <c r="N144">
        <v>6.4541347113096503E-2</v>
      </c>
      <c r="O144">
        <v>0.18152878813901005</v>
      </c>
      <c r="P144" s="3">
        <v>1.6196126400763502E-4</v>
      </c>
      <c r="Q144" s="3">
        <v>0</v>
      </c>
      <c r="R144" s="3">
        <v>5.5264718142786608E-3</v>
      </c>
      <c r="S144" s="3">
        <v>0</v>
      </c>
      <c r="T144">
        <f>Constraint[[#This Row],[nx]]</f>
        <v>45</v>
      </c>
      <c r="U144">
        <v>2</v>
      </c>
    </row>
    <row r="145" spans="1:21" x14ac:dyDescent="0.3">
      <c r="A145">
        <v>0</v>
      </c>
      <c r="B145">
        <v>0</v>
      </c>
      <c r="C145">
        <v>0</v>
      </c>
      <c r="D145">
        <v>0</v>
      </c>
      <c r="E145">
        <v>-7.97481326139899E-4</v>
      </c>
      <c r="F145">
        <v>0</v>
      </c>
      <c r="G145">
        <v>-2.2058126662210988E-3</v>
      </c>
      <c r="H145">
        <v>0</v>
      </c>
      <c r="I145">
        <v>-8.9868122179770187E-4</v>
      </c>
      <c r="J145">
        <v>0</v>
      </c>
      <c r="K145">
        <v>-2.6520726617254992E-3</v>
      </c>
      <c r="L145">
        <v>5.4747001794501329E-2</v>
      </c>
      <c r="M145">
        <v>0.15142878715476721</v>
      </c>
      <c r="N145">
        <v>6.1694363052474097E-2</v>
      </c>
      <c r="O145">
        <v>0.18206448478664838</v>
      </c>
      <c r="P145" s="3">
        <v>1.627184376368081E-4</v>
      </c>
      <c r="Q145" s="3">
        <v>0</v>
      </c>
      <c r="R145" s="3">
        <v>5.5328040214600895E-3</v>
      </c>
      <c r="S145" s="3">
        <v>0</v>
      </c>
      <c r="T145">
        <f>Constraint[[#This Row],[nx]]</f>
        <v>39</v>
      </c>
      <c r="U145">
        <v>2</v>
      </c>
    </row>
    <row r="146" spans="1:21" x14ac:dyDescent="0.3">
      <c r="A146">
        <v>0</v>
      </c>
      <c r="B146">
        <v>0</v>
      </c>
      <c r="C146">
        <v>0</v>
      </c>
      <c r="D146">
        <v>0</v>
      </c>
      <c r="E146">
        <v>-7.0632474980559905E-4</v>
      </c>
      <c r="F146">
        <v>0</v>
      </c>
      <c r="G146">
        <v>-2.1171994521984993E-3</v>
      </c>
      <c r="H146">
        <v>0</v>
      </c>
      <c r="I146">
        <v>-8.0946570301760126E-4</v>
      </c>
      <c r="J146">
        <v>0</v>
      </c>
      <c r="K146">
        <v>-2.5842584143307007E-3</v>
      </c>
      <c r="L146">
        <v>4.8489113258965835E-2</v>
      </c>
      <c r="M146">
        <v>0.1453455001509274</v>
      </c>
      <c r="N146">
        <v>5.5569727895945421E-2</v>
      </c>
      <c r="O146">
        <v>0.17740904446206265</v>
      </c>
      <c r="P146" s="3">
        <v>1.6406846082843483E-4</v>
      </c>
      <c r="Q146" s="3">
        <v>0</v>
      </c>
      <c r="R146" s="3">
        <v>5.5640134820392328E-3</v>
      </c>
      <c r="S146" s="3">
        <v>0</v>
      </c>
      <c r="T146">
        <f>Constraint[[#This Row],[nx]]</f>
        <v>33</v>
      </c>
      <c r="U146">
        <v>2</v>
      </c>
    </row>
    <row r="147" spans="1:21" x14ac:dyDescent="0.3">
      <c r="A147">
        <v>0</v>
      </c>
      <c r="B147">
        <v>0</v>
      </c>
      <c r="C147">
        <v>0</v>
      </c>
      <c r="D147">
        <v>0</v>
      </c>
      <c r="E147">
        <v>-5.6621631291619949E-4</v>
      </c>
      <c r="F147">
        <v>0</v>
      </c>
      <c r="G147">
        <v>-1.9212448948514003E-3</v>
      </c>
      <c r="H147">
        <v>0</v>
      </c>
      <c r="I147">
        <v>-6.6037255174570056E-4</v>
      </c>
      <c r="J147">
        <v>0</v>
      </c>
      <c r="K147">
        <v>-2.3978000814701989E-3</v>
      </c>
      <c r="L147">
        <v>3.8870685097222121E-2</v>
      </c>
      <c r="M147">
        <v>0.1318932422094789</v>
      </c>
      <c r="N147">
        <v>4.5334500119842358E-2</v>
      </c>
      <c r="O147">
        <v>0.16460870124509452</v>
      </c>
      <c r="P147" s="3">
        <v>1.6623763830112985E-4</v>
      </c>
      <c r="Q147" s="3">
        <v>0</v>
      </c>
      <c r="R147" s="3">
        <v>5.6329271300519087E-3</v>
      </c>
      <c r="S147" s="3">
        <v>0</v>
      </c>
      <c r="T147">
        <f>Constraint[[#This Row],[nx]]</f>
        <v>27</v>
      </c>
      <c r="U147">
        <v>2</v>
      </c>
    </row>
    <row r="148" spans="1:21" x14ac:dyDescent="0.3">
      <c r="A148">
        <v>0</v>
      </c>
      <c r="B148">
        <v>0</v>
      </c>
      <c r="C148">
        <v>0</v>
      </c>
      <c r="D148">
        <v>0</v>
      </c>
      <c r="E148">
        <v>-4.7844026368810098E-4</v>
      </c>
      <c r="F148">
        <v>0</v>
      </c>
      <c r="G148">
        <v>-1.7747754202584991E-3</v>
      </c>
      <c r="H148">
        <v>0</v>
      </c>
      <c r="I148">
        <v>-5.6303187278109942E-4</v>
      </c>
      <c r="J148">
        <v>0</v>
      </c>
      <c r="K148">
        <v>-2.2455488288807002E-3</v>
      </c>
      <c r="L148">
        <v>3.2844869360739354E-2</v>
      </c>
      <c r="M148">
        <v>0.12183812953719729</v>
      </c>
      <c r="N148">
        <v>3.8652073646299911E-2</v>
      </c>
      <c r="O148">
        <v>0.15415667017487714</v>
      </c>
      <c r="P148" s="3">
        <v>1.6771160660556222E-4</v>
      </c>
      <c r="Q148" s="3">
        <v>0</v>
      </c>
      <c r="R148" s="3">
        <v>5.6856280845856916E-3</v>
      </c>
      <c r="S148" s="3">
        <v>0</v>
      </c>
      <c r="T148">
        <f>Constraint[[#This Row],[nx]]</f>
        <v>24</v>
      </c>
      <c r="U148">
        <v>2</v>
      </c>
    </row>
    <row r="149" spans="1:21" x14ac:dyDescent="0.3">
      <c r="A149">
        <v>0</v>
      </c>
      <c r="B149">
        <v>0</v>
      </c>
      <c r="C149">
        <v>0</v>
      </c>
      <c r="D149">
        <v>0</v>
      </c>
      <c r="E149">
        <v>-3.8193155600419956E-4</v>
      </c>
      <c r="F149">
        <v>0</v>
      </c>
      <c r="G149">
        <v>-1.5955072434961984E-3</v>
      </c>
      <c r="H149">
        <v>0</v>
      </c>
      <c r="I149">
        <v>-4.5373408796030128E-4</v>
      </c>
      <c r="J149">
        <v>0</v>
      </c>
      <c r="K149">
        <v>-2.0474514375717016E-3</v>
      </c>
      <c r="L149">
        <v>2.6219557620425715E-2</v>
      </c>
      <c r="M149">
        <v>0.10953138971369833</v>
      </c>
      <c r="N149">
        <v>3.1148793223819457E-2</v>
      </c>
      <c r="O149">
        <v>0.14055730692711976</v>
      </c>
      <c r="P149" s="3">
        <v>1.6950277482797726E-4</v>
      </c>
      <c r="Q149" s="3">
        <v>0</v>
      </c>
      <c r="R149" s="3">
        <v>5.7520261369636786E-3</v>
      </c>
      <c r="S149" s="3">
        <v>0</v>
      </c>
      <c r="T149">
        <f>Constraint[[#This Row],[nx]]</f>
        <v>21</v>
      </c>
      <c r="U149">
        <v>2</v>
      </c>
    </row>
    <row r="150" spans="1:21" x14ac:dyDescent="0.3">
      <c r="A150">
        <v>0</v>
      </c>
      <c r="B150">
        <v>0</v>
      </c>
      <c r="C150">
        <v>0</v>
      </c>
      <c r="D150">
        <v>0</v>
      </c>
      <c r="E150">
        <v>-2.814393470733003E-4</v>
      </c>
      <c r="F150">
        <v>0</v>
      </c>
      <c r="G150">
        <v>-1.3875693915982E-3</v>
      </c>
      <c r="H150">
        <v>0</v>
      </c>
      <c r="I150">
        <v>-3.3807030430909983E-4</v>
      </c>
      <c r="J150">
        <v>0</v>
      </c>
      <c r="K150">
        <v>-1.8009475651458978E-3</v>
      </c>
      <c r="L150">
        <v>1.9320778975283864E-2</v>
      </c>
      <c r="M150">
        <v>9.5256479972416916E-2</v>
      </c>
      <c r="N150">
        <v>2.3208487710006959E-2</v>
      </c>
      <c r="O150">
        <v>0.12363484428919264</v>
      </c>
      <c r="P150" s="3">
        <v>1.7168896236361545E-4</v>
      </c>
      <c r="Q150" s="3">
        <v>0</v>
      </c>
      <c r="R150" s="3">
        <v>5.8323552854967348E-3</v>
      </c>
      <c r="S150" s="3">
        <v>0</v>
      </c>
      <c r="T150">
        <f>Constraint[[#This Row],[nx]]</f>
        <v>18</v>
      </c>
      <c r="U150">
        <v>2</v>
      </c>
    </row>
    <row r="151" spans="1:21" x14ac:dyDescent="0.3">
      <c r="A151">
        <v>0</v>
      </c>
      <c r="B151">
        <v>0</v>
      </c>
      <c r="C151">
        <v>0</v>
      </c>
      <c r="D151">
        <v>0</v>
      </c>
      <c r="E151">
        <v>-1.8365690611000032E-4</v>
      </c>
      <c r="F151">
        <v>0</v>
      </c>
      <c r="G151">
        <v>-1.1594187300012996E-3</v>
      </c>
      <c r="H151">
        <v>0</v>
      </c>
      <c r="I151">
        <v>-2.2422820496299962E-4</v>
      </c>
      <c r="J151">
        <v>0</v>
      </c>
      <c r="K151">
        <v>-1.5071347942994997E-3</v>
      </c>
      <c r="L151">
        <v>1.26080255910756E-2</v>
      </c>
      <c r="M151">
        <v>7.9593963157984324E-2</v>
      </c>
      <c r="N151">
        <v>1.5393240615308969E-2</v>
      </c>
      <c r="O151">
        <v>0.10346463118760915</v>
      </c>
      <c r="P151" s="3">
        <v>1.7443998322160017E-4</v>
      </c>
      <c r="Q151" s="3">
        <v>0</v>
      </c>
      <c r="R151" s="3">
        <v>5.9261197661914225E-3</v>
      </c>
      <c r="S151" s="3">
        <v>0</v>
      </c>
      <c r="T151">
        <f>Constraint[[#This Row],[nx]]</f>
        <v>15</v>
      </c>
      <c r="U151">
        <v>2</v>
      </c>
    </row>
    <row r="152" spans="1:21" x14ac:dyDescent="0.3">
      <c r="A152">
        <v>0</v>
      </c>
      <c r="B152">
        <v>0</v>
      </c>
      <c r="C152">
        <v>0</v>
      </c>
      <c r="D152">
        <v>0</v>
      </c>
      <c r="E152">
        <v>-9.618767900979909E-5</v>
      </c>
      <c r="F152">
        <v>0</v>
      </c>
      <c r="G152">
        <v>-9.2256450372200059E-4</v>
      </c>
      <c r="H152">
        <v>0</v>
      </c>
      <c r="I152">
        <v>-1.2187523971770101E-4</v>
      </c>
      <c r="J152">
        <v>0</v>
      </c>
      <c r="K152">
        <v>-1.1737174089962998E-3</v>
      </c>
      <c r="L152">
        <v>6.6032731585674714E-3</v>
      </c>
      <c r="M152">
        <v>6.3333947623936265E-2</v>
      </c>
      <c r="N152">
        <v>8.3667212620847746E-3</v>
      </c>
      <c r="O152">
        <v>8.0575565834986637E-2</v>
      </c>
      <c r="P152" s="3">
        <v>1.7817376631867922E-4</v>
      </c>
      <c r="Q152" s="3">
        <v>0</v>
      </c>
      <c r="R152" s="3">
        <v>6.0332811040421748E-3</v>
      </c>
      <c r="S152" s="3">
        <v>0</v>
      </c>
      <c r="T152">
        <f>Constraint[[#This Row],[nx]]</f>
        <v>12</v>
      </c>
      <c r="U152">
        <v>2</v>
      </c>
    </row>
    <row r="153" spans="1:21" x14ac:dyDescent="0.3">
      <c r="A153">
        <v>0</v>
      </c>
      <c r="B153">
        <v>0</v>
      </c>
      <c r="C153">
        <v>0</v>
      </c>
      <c r="D153">
        <v>0</v>
      </c>
      <c r="E153">
        <v>-2.5145730838300323E-5</v>
      </c>
      <c r="F153">
        <v>0</v>
      </c>
      <c r="G153">
        <v>-6.8732162841599921E-4</v>
      </c>
      <c r="H153">
        <v>0</v>
      </c>
      <c r="I153">
        <v>-3.8984783634898879E-5</v>
      </c>
      <c r="J153">
        <v>0</v>
      </c>
      <c r="K153">
        <v>-8.3283401163529967E-4</v>
      </c>
      <c r="L153">
        <v>1.7262515449634197E-3</v>
      </c>
      <c r="M153">
        <v>4.7184551149839979E-2</v>
      </c>
      <c r="N153">
        <v>2.6763009360342566E-3</v>
      </c>
      <c r="O153">
        <v>5.7173959608830906E-2</v>
      </c>
      <c r="P153" s="3">
        <v>1.839355942636353E-4</v>
      </c>
      <c r="Q153" s="3">
        <v>0</v>
      </c>
      <c r="R153" s="3">
        <v>6.1577210194912364E-3</v>
      </c>
      <c r="S153" s="3">
        <v>0</v>
      </c>
      <c r="T153">
        <f>Constraint[[#This Row],[nx]]</f>
        <v>9</v>
      </c>
      <c r="U153">
        <v>2</v>
      </c>
    </row>
    <row r="154" spans="1:21" x14ac:dyDescent="0.3">
      <c r="A154">
        <v>0</v>
      </c>
      <c r="B154">
        <v>0</v>
      </c>
      <c r="C154">
        <v>0</v>
      </c>
      <c r="D154">
        <v>0</v>
      </c>
      <c r="E154">
        <v>2.2621595743401238E-5</v>
      </c>
      <c r="F154">
        <v>0</v>
      </c>
      <c r="G154">
        <v>-4.6043377380629996E-4</v>
      </c>
      <c r="H154">
        <v>0</v>
      </c>
      <c r="I154">
        <v>1.5105598046899829E-5</v>
      </c>
      <c r="J154">
        <v>0</v>
      </c>
      <c r="K154">
        <v>-4.5456520777399992E-4</v>
      </c>
      <c r="L154">
        <v>-1.5529699595012436E-3</v>
      </c>
      <c r="M154">
        <v>3.1608725890592819E-2</v>
      </c>
      <c r="N154">
        <v>-1.0369975775903761E-3</v>
      </c>
      <c r="O154">
        <v>3.1205849503936064E-2</v>
      </c>
      <c r="P154" s="3">
        <v>1.9380196771530379E-4</v>
      </c>
      <c r="Q154" s="3">
        <v>0</v>
      </c>
      <c r="R154" s="3">
        <v>6.3045220660093281E-3</v>
      </c>
      <c r="S154" s="3">
        <v>0</v>
      </c>
      <c r="T154">
        <f>Constraint[[#This Row],[nx]]</f>
        <v>6</v>
      </c>
      <c r="U15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Constraint</vt:lpstr>
      <vt:lpstr>Penalty</vt:lpstr>
      <vt:lpstr>Lagrange</vt:lpstr>
      <vt:lpstr>Mortar</vt:lpstr>
      <vt:lpstr>FEM</vt:lpstr>
      <vt:lpstr>Midspan</vt:lpstr>
      <vt:lpstr>Block</vt:lpstr>
      <vt:lpstr>Constraint-Penalty</vt:lpstr>
      <vt:lpstr>Constraint-Lagrange</vt:lpstr>
      <vt:lpstr>Constraint-Mortar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Théo Legros</dc:creator>
  <cp:lastModifiedBy>Théo Legros</cp:lastModifiedBy>
  <dcterms:created xsi:type="dcterms:W3CDTF">2026-01-02T20:28:10Z</dcterms:created>
  <dcterms:modified xsi:type="dcterms:W3CDTF">2026-01-03T01:06:38Z</dcterms:modified>
</cp:coreProperties>
</file>